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tcon-my.sharepoint.com/personal/kconover_itcon-inc_com/Documents/Desktop/"/>
    </mc:Choice>
  </mc:AlternateContent>
  <xr:revisionPtr revIDLastSave="0" documentId="8_{30C8992A-74ED-4C41-BD8A-9D60A268FF5A}" xr6:coauthVersionLast="47" xr6:coauthVersionMax="47" xr10:uidLastSave="{00000000-0000-0000-0000-000000000000}"/>
  <bookViews>
    <workbookView xWindow="-108" yWindow="-108" windowWidth="23256" windowHeight="12456" activeTab="2" xr2:uid="{E8D70FDB-49A6-44A8-B2BE-CBABB629A0B0}"/>
  </bookViews>
  <sheets>
    <sheet name="QC_Data" sheetId="1" r:id="rId1"/>
    <sheet name="Attendance" sheetId="3" r:id="rId2"/>
    <sheet name="WFM" sheetId="4" r:id="rId3"/>
    <sheet name="Mapping Table" sheetId="2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M3" i="1"/>
  <c r="M4" i="1"/>
  <c r="M5" i="1"/>
  <c r="M6" i="1"/>
  <c r="L3" i="1"/>
  <c r="K3" i="1" s="1"/>
  <c r="L4" i="1"/>
  <c r="K4" i="1" s="1"/>
  <c r="L5" i="1"/>
  <c r="K5" i="1" s="1"/>
  <c r="L6" i="1"/>
  <c r="BI6" i="1" s="1" a="1"/>
  <c r="BI6" i="1" s="1"/>
  <c r="BI2" i="1" a="1"/>
  <c r="BI2" i="1"/>
  <c r="BI4" i="1" a="1"/>
  <c r="BI4" i="1" s="1"/>
  <c r="BI5" i="1" a="1"/>
  <c r="BI5" i="1" s="1"/>
  <c r="BI8" i="1" a="1"/>
  <c r="BI8" i="1"/>
  <c r="BI9" i="1" a="1"/>
  <c r="BI9" i="1"/>
  <c r="BI10" i="1" a="1"/>
  <c r="BI10" i="1"/>
  <c r="BI11" i="1" a="1"/>
  <c r="BI11" i="1"/>
  <c r="BI12" i="1" a="1"/>
  <c r="BI12" i="1"/>
  <c r="BI13" i="1" a="1"/>
  <c r="BI13" i="1"/>
  <c r="BI14" i="1" a="1"/>
  <c r="BI14" i="1"/>
  <c r="BI15" i="1" a="1"/>
  <c r="BI15" i="1"/>
  <c r="BI16" i="1" a="1"/>
  <c r="BI16" i="1"/>
  <c r="BI17" i="1" a="1"/>
  <c r="BI17" i="1"/>
  <c r="BI18" i="1" a="1"/>
  <c r="BI18" i="1"/>
  <c r="BI19" i="1" a="1"/>
  <c r="BI19" i="1"/>
  <c r="BI20" i="1" a="1"/>
  <c r="BI20" i="1"/>
  <c r="BI21" i="1" a="1"/>
  <c r="BI21" i="1"/>
  <c r="BI22" i="1" a="1"/>
  <c r="BI22" i="1"/>
  <c r="BI23" i="1" a="1"/>
  <c r="BI23" i="1"/>
  <c r="BI24" i="1" a="1"/>
  <c r="BI24" i="1"/>
  <c r="BI25" i="1" a="1"/>
  <c r="BI25" i="1"/>
  <c r="BI26" i="1" a="1"/>
  <c r="BI26" i="1"/>
  <c r="BI27" i="1" a="1"/>
  <c r="BI27" i="1"/>
  <c r="BI28" i="1" a="1"/>
  <c r="BI28" i="1"/>
  <c r="BI29" i="1" a="1"/>
  <c r="BI29" i="1"/>
  <c r="BI30" i="1" a="1"/>
  <c r="BI30" i="1"/>
  <c r="BI31" i="1" a="1"/>
  <c r="BI31" i="1"/>
  <c r="BI32" i="1" a="1"/>
  <c r="BI32" i="1"/>
  <c r="BI33" i="1" a="1"/>
  <c r="BI33" i="1"/>
  <c r="BI34" i="1" a="1"/>
  <c r="BI34" i="1"/>
  <c r="BI35" i="1" a="1"/>
  <c r="BI35" i="1"/>
  <c r="BI36" i="1" a="1"/>
  <c r="BI36" i="1"/>
  <c r="BI37" i="1" a="1"/>
  <c r="BI37" i="1"/>
  <c r="BI38" i="1" a="1"/>
  <c r="BI38" i="1"/>
  <c r="BI39" i="1" a="1"/>
  <c r="BI39" i="1"/>
  <c r="BI40" i="1" a="1"/>
  <c r="BI40" i="1"/>
  <c r="BI41" i="1" a="1"/>
  <c r="BI41" i="1"/>
  <c r="BI42" i="1" a="1"/>
  <c r="BI42" i="1"/>
  <c r="BI43" i="1" a="1"/>
  <c r="BI43" i="1"/>
  <c r="BI44" i="1" a="1"/>
  <c r="BI44" i="1"/>
  <c r="BI45" i="1" a="1"/>
  <c r="BI45" i="1"/>
  <c r="BI46" i="1" a="1"/>
  <c r="BI46" i="1"/>
  <c r="BI47" i="1" a="1"/>
  <c r="BI47" i="1"/>
  <c r="BI48" i="1" a="1"/>
  <c r="BI48" i="1"/>
  <c r="BI49" i="1" a="1"/>
  <c r="BI49" i="1"/>
  <c r="BI50" i="1" a="1"/>
  <c r="BI50" i="1"/>
  <c r="BI51" i="1" a="1"/>
  <c r="BI51" i="1"/>
  <c r="BI52" i="1" a="1"/>
  <c r="BI52" i="1"/>
  <c r="BI53" i="1" a="1"/>
  <c r="BI53" i="1"/>
  <c r="BI54" i="1" a="1"/>
  <c r="BI54" i="1"/>
  <c r="BI55" i="1" a="1"/>
  <c r="BI55" i="1"/>
  <c r="BI56" i="1" a="1"/>
  <c r="BI56" i="1"/>
  <c r="BI57" i="1" a="1"/>
  <c r="BI57" i="1"/>
  <c r="BI58" i="1" a="1"/>
  <c r="BI58" i="1"/>
  <c r="BI59" i="1" a="1"/>
  <c r="BI59" i="1"/>
  <c r="BI60" i="1" a="1"/>
  <c r="BI60" i="1"/>
  <c r="BI61" i="1" a="1"/>
  <c r="BI61" i="1"/>
  <c r="BI62" i="1" a="1"/>
  <c r="BI62" i="1"/>
  <c r="BI63" i="1" a="1"/>
  <c r="BI63" i="1"/>
  <c r="BI64" i="1" a="1"/>
  <c r="BI64" i="1"/>
  <c r="BI65" i="1" a="1"/>
  <c r="BI65" i="1"/>
  <c r="BI66" i="1" a="1"/>
  <c r="BI66" i="1"/>
  <c r="BI67" i="1" a="1"/>
  <c r="BI67" i="1"/>
  <c r="BI68" i="1" a="1"/>
  <c r="BI68" i="1"/>
  <c r="BI69" i="1" a="1"/>
  <c r="BI69" i="1"/>
  <c r="BI70" i="1" a="1"/>
  <c r="BI70" i="1"/>
  <c r="BI71" i="1" a="1"/>
  <c r="BI71" i="1"/>
  <c r="BI72" i="1" a="1"/>
  <c r="BI72" i="1"/>
  <c r="BI73" i="1" a="1"/>
  <c r="BI73" i="1"/>
  <c r="BI74" i="1" a="1"/>
  <c r="BI74" i="1"/>
  <c r="BI75" i="1" a="1"/>
  <c r="BI75" i="1"/>
  <c r="BI76" i="1" a="1"/>
  <c r="BI76" i="1"/>
  <c r="BI77" i="1" a="1"/>
  <c r="BI77" i="1"/>
  <c r="BI78" i="1" a="1"/>
  <c r="BI78" i="1"/>
  <c r="BI79" i="1" a="1"/>
  <c r="BI79" i="1"/>
  <c r="BI80" i="1" a="1"/>
  <c r="BI80" i="1"/>
  <c r="BI81" i="1" a="1"/>
  <c r="BI81" i="1"/>
  <c r="BI82" i="1" a="1"/>
  <c r="BI82" i="1"/>
  <c r="BI83" i="1" a="1"/>
  <c r="BI83" i="1"/>
  <c r="BI84" i="1" a="1"/>
  <c r="BI84" i="1"/>
  <c r="BI85" i="1" a="1"/>
  <c r="BI85" i="1"/>
  <c r="BI86" i="1" a="1"/>
  <c r="BI86" i="1"/>
  <c r="BI87" i="1" a="1"/>
  <c r="BI87" i="1"/>
  <c r="BI88" i="1" a="1"/>
  <c r="BI88" i="1"/>
  <c r="BI89" i="1" a="1"/>
  <c r="BI89" i="1"/>
  <c r="BI90" i="1" a="1"/>
  <c r="BI90" i="1"/>
  <c r="BI91" i="1" a="1"/>
  <c r="BI91" i="1"/>
  <c r="BI92" i="1" a="1"/>
  <c r="BI92" i="1"/>
  <c r="BI93" i="1" a="1"/>
  <c r="BI93" i="1"/>
  <c r="BI94" i="1" a="1"/>
  <c r="BI94" i="1"/>
  <c r="BI95" i="1" a="1"/>
  <c r="BI95" i="1"/>
  <c r="BI96" i="1" a="1"/>
  <c r="BI96" i="1"/>
  <c r="BI97" i="1" a="1"/>
  <c r="BI97" i="1"/>
  <c r="BI98" i="1" a="1"/>
  <c r="BI98" i="1"/>
  <c r="BI99" i="1" a="1"/>
  <c r="BI99" i="1"/>
  <c r="BI100" i="1" a="1"/>
  <c r="BI100" i="1"/>
  <c r="BI101" i="1" a="1"/>
  <c r="BI101" i="1"/>
  <c r="BI102" i="1" a="1"/>
  <c r="BI102" i="1"/>
  <c r="BI103" i="1" a="1"/>
  <c r="BI103" i="1"/>
  <c r="BI104" i="1" a="1"/>
  <c r="BI104" i="1"/>
  <c r="BI105" i="1" a="1"/>
  <c r="BI105" i="1"/>
  <c r="BI106" i="1" a="1"/>
  <c r="BI106" i="1"/>
  <c r="BI107" i="1" a="1"/>
  <c r="BI107" i="1"/>
  <c r="BI108" i="1" a="1"/>
  <c r="BI108" i="1"/>
  <c r="BI109" i="1" a="1"/>
  <c r="BI109" i="1"/>
  <c r="BI110" i="1" a="1"/>
  <c r="BI110" i="1"/>
  <c r="BI111" i="1" a="1"/>
  <c r="BI111" i="1"/>
  <c r="BI112" i="1" a="1"/>
  <c r="BI112" i="1"/>
  <c r="BI113" i="1" a="1"/>
  <c r="BI113" i="1"/>
  <c r="BI114" i="1" a="1"/>
  <c r="BI114" i="1"/>
  <c r="BI115" i="1" a="1"/>
  <c r="BI115" i="1"/>
  <c r="BI116" i="1" a="1"/>
  <c r="BI116" i="1"/>
  <c r="BI117" i="1" a="1"/>
  <c r="BI117" i="1"/>
  <c r="BI118" i="1" a="1"/>
  <c r="BI118" i="1"/>
  <c r="BI119" i="1" a="1"/>
  <c r="BI119" i="1"/>
  <c r="BI120" i="1" a="1"/>
  <c r="BI120" i="1"/>
  <c r="BI121" i="1" a="1"/>
  <c r="BI121" i="1"/>
  <c r="BI122" i="1" a="1"/>
  <c r="BI122" i="1"/>
  <c r="BI123" i="1" a="1"/>
  <c r="BI123" i="1"/>
  <c r="BI124" i="1" a="1"/>
  <c r="BI124" i="1"/>
  <c r="BI125" i="1" a="1"/>
  <c r="BI125" i="1"/>
  <c r="BI126" i="1" a="1"/>
  <c r="BI126" i="1"/>
  <c r="BI127" i="1" a="1"/>
  <c r="BI127" i="1"/>
  <c r="BI128" i="1" a="1"/>
  <c r="BI128" i="1"/>
  <c r="BI129" i="1" a="1"/>
  <c r="BI129" i="1"/>
  <c r="BI130" i="1" a="1"/>
  <c r="BI130" i="1"/>
  <c r="BI131" i="1" a="1"/>
  <c r="BI131" i="1"/>
  <c r="BI132" i="1" a="1"/>
  <c r="BI132" i="1"/>
  <c r="BI133" i="1" a="1"/>
  <c r="BI133" i="1"/>
  <c r="BI134" i="1" a="1"/>
  <c r="BI134" i="1"/>
  <c r="BI135" i="1" a="1"/>
  <c r="BI135" i="1"/>
  <c r="BI136" i="1" a="1"/>
  <c r="BI136" i="1"/>
  <c r="BI137" i="1" a="1"/>
  <c r="BI137" i="1"/>
  <c r="BI138" i="1" a="1"/>
  <c r="BI138" i="1"/>
  <c r="BI139" i="1" a="1"/>
  <c r="BI139" i="1"/>
  <c r="BI140" i="1" a="1"/>
  <c r="BI140" i="1"/>
  <c r="BI141" i="1" a="1"/>
  <c r="BI141" i="1"/>
  <c r="BI142" i="1" a="1"/>
  <c r="BI142" i="1"/>
  <c r="BI143" i="1" a="1"/>
  <c r="BI143" i="1"/>
  <c r="BI144" i="1" a="1"/>
  <c r="BI144" i="1"/>
  <c r="BI145" i="1" a="1"/>
  <c r="BI145" i="1"/>
  <c r="BI146" i="1" a="1"/>
  <c r="BI146" i="1"/>
  <c r="BI147" i="1" a="1"/>
  <c r="BI147" i="1"/>
  <c r="BI148" i="1" a="1"/>
  <c r="BI148" i="1"/>
  <c r="BI149" i="1" a="1"/>
  <c r="BI149" i="1"/>
  <c r="BI150" i="1" a="1"/>
  <c r="BI150" i="1"/>
  <c r="BI151" i="1" a="1"/>
  <c r="BI151" i="1"/>
  <c r="BI152" i="1" a="1"/>
  <c r="BI152" i="1"/>
  <c r="BI153" i="1" a="1"/>
  <c r="BI153" i="1"/>
  <c r="BI154" i="1" a="1"/>
  <c r="BI154" i="1"/>
  <c r="BI155" i="1" a="1"/>
  <c r="BI155" i="1"/>
  <c r="BI156" i="1" a="1"/>
  <c r="BI156" i="1"/>
  <c r="BI157" i="1" a="1"/>
  <c r="BI157" i="1"/>
  <c r="BI158" i="1" a="1"/>
  <c r="BI158" i="1"/>
  <c r="BI159" i="1" a="1"/>
  <c r="BI159" i="1"/>
  <c r="BI160" i="1" a="1"/>
  <c r="BI160" i="1"/>
  <c r="BI161" i="1" a="1"/>
  <c r="BI161" i="1"/>
  <c r="BI162" i="1" a="1"/>
  <c r="BI162" i="1"/>
  <c r="BI163" i="1" a="1"/>
  <c r="BI163" i="1"/>
  <c r="BI164" i="1" a="1"/>
  <c r="BI164" i="1"/>
  <c r="BI165" i="1" a="1"/>
  <c r="BI165" i="1"/>
  <c r="BI166" i="1" a="1"/>
  <c r="BI166" i="1"/>
  <c r="BI167" i="1" a="1"/>
  <c r="BI167" i="1"/>
  <c r="BI168" i="1" a="1"/>
  <c r="BI168" i="1"/>
  <c r="BI169" i="1" a="1"/>
  <c r="BI169" i="1"/>
  <c r="BI170" i="1" a="1"/>
  <c r="BI170" i="1"/>
  <c r="BI171" i="1" a="1"/>
  <c r="BI171" i="1"/>
  <c r="BI172" i="1" a="1"/>
  <c r="BI172" i="1"/>
  <c r="BI173" i="1" a="1"/>
  <c r="BI173" i="1"/>
  <c r="BI174" i="1" a="1"/>
  <c r="BI174" i="1"/>
  <c r="BI175" i="1" a="1"/>
  <c r="BI175" i="1"/>
  <c r="BI176" i="1" a="1"/>
  <c r="BI176" i="1"/>
  <c r="BI177" i="1" a="1"/>
  <c r="BI177" i="1"/>
  <c r="BI178" i="1" a="1"/>
  <c r="BI178" i="1"/>
  <c r="BI179" i="1" a="1"/>
  <c r="BI179" i="1"/>
  <c r="BI180" i="1" a="1"/>
  <c r="BI180" i="1"/>
  <c r="BI181" i="1" a="1"/>
  <c r="BI181" i="1"/>
  <c r="BI182" i="1" a="1"/>
  <c r="BI182" i="1"/>
  <c r="BI183" i="1" a="1"/>
  <c r="BI183" i="1"/>
  <c r="BI184" i="1" a="1"/>
  <c r="BI184" i="1"/>
  <c r="BI185" i="1" a="1"/>
  <c r="BI185" i="1"/>
  <c r="BI186" i="1" a="1"/>
  <c r="BI186" i="1"/>
  <c r="BI187" i="1" a="1"/>
  <c r="BI187" i="1"/>
  <c r="BI188" i="1" a="1"/>
  <c r="BI188" i="1"/>
  <c r="BI189" i="1" a="1"/>
  <c r="BI189" i="1"/>
  <c r="BI190" i="1" a="1"/>
  <c r="BI190" i="1"/>
  <c r="BI191" i="1" a="1"/>
  <c r="BI191" i="1"/>
  <c r="BI192" i="1" a="1"/>
  <c r="BI192" i="1"/>
  <c r="BI193" i="1" a="1"/>
  <c r="BI193" i="1"/>
  <c r="BI194" i="1" a="1"/>
  <c r="BI194" i="1"/>
  <c r="BI195" i="1" a="1"/>
  <c r="BI195" i="1"/>
  <c r="BI196" i="1" a="1"/>
  <c r="BI196" i="1"/>
  <c r="BI197" i="1" a="1"/>
  <c r="BI197" i="1"/>
  <c r="BI198" i="1" a="1"/>
  <c r="BI198" i="1"/>
  <c r="BI199" i="1" a="1"/>
  <c r="BI199" i="1"/>
  <c r="BI200" i="1" a="1"/>
  <c r="BI200" i="1"/>
  <c r="BI201" i="1" a="1"/>
  <c r="BI201" i="1"/>
  <c r="BI202" i="1" a="1"/>
  <c r="BI202" i="1"/>
  <c r="BI203" i="1" a="1"/>
  <c r="BI203" i="1"/>
  <c r="BI204" i="1" a="1"/>
  <c r="BI204" i="1"/>
  <c r="BI205" i="1" a="1"/>
  <c r="BI205" i="1"/>
  <c r="BI206" i="1" a="1"/>
  <c r="BI206" i="1"/>
  <c r="BI207" i="1" a="1"/>
  <c r="BI207" i="1"/>
  <c r="BI208" i="1" a="1"/>
  <c r="BI208" i="1"/>
  <c r="BI209" i="1" a="1"/>
  <c r="BI209" i="1"/>
  <c r="BI210" i="1" a="1"/>
  <c r="BI210" i="1"/>
  <c r="BI211" i="1" a="1"/>
  <c r="BI211" i="1"/>
  <c r="BI212" i="1" a="1"/>
  <c r="BI212" i="1"/>
  <c r="BI213" i="1" a="1"/>
  <c r="BI213" i="1"/>
  <c r="BI214" i="1" a="1"/>
  <c r="BI214" i="1"/>
  <c r="BI215" i="1" a="1"/>
  <c r="BI215" i="1"/>
  <c r="BI216" i="1" a="1"/>
  <c r="BI216" i="1"/>
  <c r="BI217" i="1" a="1"/>
  <c r="BI217" i="1"/>
  <c r="BI218" i="1" a="1"/>
  <c r="BI218" i="1"/>
  <c r="BI219" i="1" a="1"/>
  <c r="BI219" i="1"/>
  <c r="BI220" i="1" a="1"/>
  <c r="BI220" i="1"/>
  <c r="BI221" i="1" a="1"/>
  <c r="BI221" i="1"/>
  <c r="BI222" i="1" a="1"/>
  <c r="BI222" i="1"/>
  <c r="BI223" i="1" a="1"/>
  <c r="BI223" i="1"/>
  <c r="BI224" i="1" a="1"/>
  <c r="BI224" i="1"/>
  <c r="BI225" i="1" a="1"/>
  <c r="BI225" i="1"/>
  <c r="BI226" i="1" a="1"/>
  <c r="BI226" i="1"/>
  <c r="BI227" i="1" a="1"/>
  <c r="BI227" i="1"/>
  <c r="BI228" i="1" a="1"/>
  <c r="BI228" i="1"/>
  <c r="BI229" i="1" a="1"/>
  <c r="BI229" i="1"/>
  <c r="BI230" i="1" a="1"/>
  <c r="BI230" i="1"/>
  <c r="BI231" i="1" a="1"/>
  <c r="BI231" i="1"/>
  <c r="BI232" i="1" a="1"/>
  <c r="BI232" i="1"/>
  <c r="BI233" i="1" a="1"/>
  <c r="BI233" i="1"/>
  <c r="BI234" i="1" a="1"/>
  <c r="BI234" i="1"/>
  <c r="BI235" i="1" a="1"/>
  <c r="BI235" i="1"/>
  <c r="BI236" i="1" a="1"/>
  <c r="BI236" i="1"/>
  <c r="BI237" i="1" a="1"/>
  <c r="BI237" i="1"/>
  <c r="BI238" i="1" a="1"/>
  <c r="BI238" i="1"/>
  <c r="BI239" i="1" a="1"/>
  <c r="BI239" i="1"/>
  <c r="BI240" i="1" a="1"/>
  <c r="BI240" i="1"/>
  <c r="BI241" i="1" a="1"/>
  <c r="BI241" i="1"/>
  <c r="BI242" i="1" a="1"/>
  <c r="BI242" i="1"/>
  <c r="BI243" i="1" a="1"/>
  <c r="BI243" i="1"/>
  <c r="BI244" i="1" a="1"/>
  <c r="BI244" i="1"/>
  <c r="BI245" i="1" a="1"/>
  <c r="BI245" i="1"/>
  <c r="BI246" i="1" a="1"/>
  <c r="BI246" i="1"/>
  <c r="BI247" i="1" a="1"/>
  <c r="BI247" i="1"/>
  <c r="BI248" i="1" a="1"/>
  <c r="BI248" i="1"/>
  <c r="BI249" i="1" a="1"/>
  <c r="BI249" i="1"/>
  <c r="BI250" i="1" a="1"/>
  <c r="BI250" i="1"/>
  <c r="BI251" i="1" a="1"/>
  <c r="BI251" i="1"/>
  <c r="BI252" i="1" a="1"/>
  <c r="BI252" i="1"/>
  <c r="BI253" i="1" a="1"/>
  <c r="BI253" i="1"/>
  <c r="BI254" i="1" a="1"/>
  <c r="BI254" i="1"/>
  <c r="BI255" i="1" a="1"/>
  <c r="BI255" i="1"/>
  <c r="BI256" i="1" a="1"/>
  <c r="BI256" i="1"/>
  <c r="BI257" i="1" a="1"/>
  <c r="BI257" i="1"/>
  <c r="BI258" i="1" a="1"/>
  <c r="BI258" i="1"/>
  <c r="BI259" i="1" a="1"/>
  <c r="BI259" i="1"/>
  <c r="BI260" i="1" a="1"/>
  <c r="BI260" i="1"/>
  <c r="BI261" i="1" a="1"/>
  <c r="BI261" i="1"/>
  <c r="BI262" i="1" a="1"/>
  <c r="BI262" i="1"/>
  <c r="BI263" i="1" a="1"/>
  <c r="BI263" i="1"/>
  <c r="BI264" i="1" a="1"/>
  <c r="BI264" i="1"/>
  <c r="BI265" i="1" a="1"/>
  <c r="BI265" i="1"/>
  <c r="BI266" i="1" a="1"/>
  <c r="BI266" i="1"/>
  <c r="BI267" i="1" a="1"/>
  <c r="BI267" i="1"/>
  <c r="BI268" i="1" a="1"/>
  <c r="BI268" i="1"/>
  <c r="BI269" i="1" a="1"/>
  <c r="BI269" i="1"/>
  <c r="BI270" i="1" a="1"/>
  <c r="BI270" i="1"/>
  <c r="BI271" i="1" a="1"/>
  <c r="BI271" i="1"/>
  <c r="BI272" i="1" a="1"/>
  <c r="BI272" i="1"/>
  <c r="BI273" i="1" a="1"/>
  <c r="BI273" i="1"/>
  <c r="BI274" i="1" a="1"/>
  <c r="BI274" i="1"/>
  <c r="BI275" i="1" a="1"/>
  <c r="BI275" i="1"/>
  <c r="BI276" i="1" a="1"/>
  <c r="BI276" i="1"/>
  <c r="BI277" i="1" a="1"/>
  <c r="BI277" i="1"/>
  <c r="BI278" i="1" a="1"/>
  <c r="BI278" i="1"/>
  <c r="BI279" i="1" a="1"/>
  <c r="BI279" i="1"/>
  <c r="BI280" i="1" a="1"/>
  <c r="BI280" i="1"/>
  <c r="BI281" i="1" a="1"/>
  <c r="BI281" i="1"/>
  <c r="BI282" i="1" a="1"/>
  <c r="BI282" i="1"/>
  <c r="BI283" i="1" a="1"/>
  <c r="BI283" i="1"/>
  <c r="BI284" i="1" a="1"/>
  <c r="BI284" i="1"/>
  <c r="BI285" i="1" a="1"/>
  <c r="BI285" i="1"/>
  <c r="BI286" i="1" a="1"/>
  <c r="BI286" i="1"/>
  <c r="BI287" i="1" a="1"/>
  <c r="BI287" i="1"/>
  <c r="BI288" i="1" a="1"/>
  <c r="BI288" i="1"/>
  <c r="BI289" i="1" a="1"/>
  <c r="BI289" i="1"/>
  <c r="BI290" i="1" a="1"/>
  <c r="BI290" i="1"/>
  <c r="BI291" i="1" a="1"/>
  <c r="BI291" i="1"/>
  <c r="BI292" i="1" a="1"/>
  <c r="BI292" i="1"/>
  <c r="BI293" i="1" a="1"/>
  <c r="BI293" i="1"/>
  <c r="BI294" i="1" a="1"/>
  <c r="BI294" i="1"/>
  <c r="BI295" i="1" a="1"/>
  <c r="BI295" i="1"/>
  <c r="BI296" i="1" a="1"/>
  <c r="BI296" i="1"/>
  <c r="BI297" i="1" a="1"/>
  <c r="BI297" i="1"/>
  <c r="BI298" i="1" a="1"/>
  <c r="BI298" i="1"/>
  <c r="BI299" i="1" a="1"/>
  <c r="BI299" i="1"/>
  <c r="BI300" i="1" a="1"/>
  <c r="BI300" i="1"/>
  <c r="BI301" i="1" a="1"/>
  <c r="BI301" i="1"/>
  <c r="BI302" i="1" a="1"/>
  <c r="BI302" i="1"/>
  <c r="BI303" i="1" a="1"/>
  <c r="BI303" i="1"/>
  <c r="BI304" i="1" a="1"/>
  <c r="BI304" i="1"/>
  <c r="BI305" i="1" a="1"/>
  <c r="BI305" i="1"/>
  <c r="BI306" i="1" a="1"/>
  <c r="BI306" i="1"/>
  <c r="BI307" i="1" a="1"/>
  <c r="BI307" i="1"/>
  <c r="BI308" i="1" a="1"/>
  <c r="BI308" i="1"/>
  <c r="BI309" i="1" a="1"/>
  <c r="BI309" i="1"/>
  <c r="BI310" i="1" a="1"/>
  <c r="BI310" i="1"/>
  <c r="BI311" i="1" a="1"/>
  <c r="BI311" i="1"/>
  <c r="BI312" i="1" a="1"/>
  <c r="BI312" i="1"/>
  <c r="BI313" i="1" a="1"/>
  <c r="BI313" i="1"/>
  <c r="BI314" i="1" a="1"/>
  <c r="BI314" i="1"/>
  <c r="BI315" i="1" a="1"/>
  <c r="BI315" i="1"/>
  <c r="BI316" i="1" a="1"/>
  <c r="BI316" i="1"/>
  <c r="BI317" i="1" a="1"/>
  <c r="BI317" i="1"/>
  <c r="BI318" i="1" a="1"/>
  <c r="BI318" i="1"/>
  <c r="BI319" i="1" a="1"/>
  <c r="BI319" i="1"/>
  <c r="BI320" i="1" a="1"/>
  <c r="BI320" i="1"/>
  <c r="BI321" i="1" a="1"/>
  <c r="BI321" i="1"/>
  <c r="BI322" i="1" a="1"/>
  <c r="BI322" i="1"/>
  <c r="BI323" i="1" a="1"/>
  <c r="BI323" i="1"/>
  <c r="BI324" i="1" a="1"/>
  <c r="BI324" i="1"/>
  <c r="BI325" i="1" a="1"/>
  <c r="BI325" i="1"/>
  <c r="BI326" i="1" a="1"/>
  <c r="BI326" i="1"/>
  <c r="BI327" i="1" a="1"/>
  <c r="BI327" i="1"/>
  <c r="BI328" i="1" a="1"/>
  <c r="BI328" i="1"/>
  <c r="BI329" i="1" a="1"/>
  <c r="BI329" i="1"/>
  <c r="BI330" i="1" a="1"/>
  <c r="BI330" i="1"/>
  <c r="BI331" i="1" a="1"/>
  <c r="BI331" i="1"/>
  <c r="BI332" i="1" a="1"/>
  <c r="BI332" i="1"/>
  <c r="BI333" i="1" a="1"/>
  <c r="BI333" i="1"/>
  <c r="BI334" i="1" a="1"/>
  <c r="BI334" i="1"/>
  <c r="BI335" i="1" a="1"/>
  <c r="BI335" i="1"/>
  <c r="BI336" i="1" a="1"/>
  <c r="BI336" i="1"/>
  <c r="BI337" i="1" a="1"/>
  <c r="BI337" i="1"/>
  <c r="BI338" i="1" a="1"/>
  <c r="BI338" i="1"/>
  <c r="BI339" i="1" a="1"/>
  <c r="BI339" i="1"/>
  <c r="BI340" i="1" a="1"/>
  <c r="BI340" i="1"/>
  <c r="BI341" i="1" a="1"/>
  <c r="BI341" i="1"/>
  <c r="BI342" i="1" a="1"/>
  <c r="BI342" i="1"/>
  <c r="BI343" i="1" a="1"/>
  <c r="BI343" i="1"/>
  <c r="BI344" i="1" a="1"/>
  <c r="BI344" i="1"/>
  <c r="BI345" i="1" a="1"/>
  <c r="BI345" i="1"/>
  <c r="BI346" i="1" a="1"/>
  <c r="BI346" i="1"/>
  <c r="BI347" i="1" a="1"/>
  <c r="BI347" i="1"/>
  <c r="BI348" i="1" a="1"/>
  <c r="BI348" i="1"/>
  <c r="BI349" i="1" a="1"/>
  <c r="BI349" i="1"/>
  <c r="BI350" i="1" a="1"/>
  <c r="BI350" i="1"/>
  <c r="BI351" i="1" a="1"/>
  <c r="BI351" i="1"/>
  <c r="BI352" i="1" a="1"/>
  <c r="BI352" i="1"/>
  <c r="BI353" i="1" a="1"/>
  <c r="BI353" i="1"/>
  <c r="BI354" i="1" a="1"/>
  <c r="BI354" i="1"/>
  <c r="BI355" i="1" a="1"/>
  <c r="BI355" i="1"/>
  <c r="BI356" i="1" a="1"/>
  <c r="BI356" i="1"/>
  <c r="BI357" i="1" a="1"/>
  <c r="BI357" i="1"/>
  <c r="BI358" i="1" a="1"/>
  <c r="BI358" i="1"/>
  <c r="BI359" i="1" a="1"/>
  <c r="BI359" i="1"/>
  <c r="BI360" i="1" a="1"/>
  <c r="BI360" i="1"/>
  <c r="BI361" i="1" a="1"/>
  <c r="BI361" i="1"/>
  <c r="BI362" i="1" a="1"/>
  <c r="BI362" i="1"/>
  <c r="BI363" i="1" a="1"/>
  <c r="BI363" i="1"/>
  <c r="BI364" i="1" a="1"/>
  <c r="BI364" i="1"/>
  <c r="BI365" i="1" a="1"/>
  <c r="BI365" i="1"/>
  <c r="BI366" i="1" a="1"/>
  <c r="BI366" i="1"/>
  <c r="BI367" i="1" a="1"/>
  <c r="BI367" i="1"/>
  <c r="BI368" i="1" a="1"/>
  <c r="BI368" i="1"/>
  <c r="BI369" i="1" a="1"/>
  <c r="BI369" i="1"/>
  <c r="BI370" i="1" a="1"/>
  <c r="BI370" i="1"/>
  <c r="BI371" i="1" a="1"/>
  <c r="BI371" i="1"/>
  <c r="BI372" i="1" a="1"/>
  <c r="BI372" i="1"/>
  <c r="BI373" i="1" a="1"/>
  <c r="BI373" i="1"/>
  <c r="BI374" i="1" a="1"/>
  <c r="BI374" i="1"/>
  <c r="BI375" i="1" a="1"/>
  <c r="BI375" i="1"/>
  <c r="BI376" i="1" a="1"/>
  <c r="BI376" i="1"/>
  <c r="BI377" i="1" a="1"/>
  <c r="BI377" i="1"/>
  <c r="BI378" i="1" a="1"/>
  <c r="BI378" i="1"/>
  <c r="BI379" i="1" a="1"/>
  <c r="BI379" i="1"/>
  <c r="BI380" i="1" a="1"/>
  <c r="BI380" i="1"/>
  <c r="BI381" i="1" a="1"/>
  <c r="BI381" i="1"/>
  <c r="BI382" i="1" a="1"/>
  <c r="BI382" i="1"/>
  <c r="BI383" i="1" a="1"/>
  <c r="BI383" i="1"/>
  <c r="BI384" i="1" a="1"/>
  <c r="BI384" i="1"/>
  <c r="BI385" i="1" a="1"/>
  <c r="BI385" i="1"/>
  <c r="BI386" i="1" a="1"/>
  <c r="BI386" i="1"/>
  <c r="BI387" i="1" a="1"/>
  <c r="BI387" i="1"/>
  <c r="BI388" i="1" a="1"/>
  <c r="BI388" i="1"/>
  <c r="BI389" i="1" a="1"/>
  <c r="BI389" i="1"/>
  <c r="BI390" i="1" a="1"/>
  <c r="BI390" i="1"/>
  <c r="BI391" i="1" a="1"/>
  <c r="BI391" i="1"/>
  <c r="BI392" i="1" a="1"/>
  <c r="BI392" i="1"/>
  <c r="BI393" i="1" a="1"/>
  <c r="BI393" i="1"/>
  <c r="BI394" i="1" a="1"/>
  <c r="BI394" i="1"/>
  <c r="BI395" i="1" a="1"/>
  <c r="BI395" i="1"/>
  <c r="BI396" i="1" a="1"/>
  <c r="BI396" i="1"/>
  <c r="BI397" i="1" a="1"/>
  <c r="BI397" i="1"/>
  <c r="BI398" i="1" a="1"/>
  <c r="BI398" i="1"/>
  <c r="BI399" i="1" a="1"/>
  <c r="BI399" i="1"/>
  <c r="BI400" i="1" a="1"/>
  <c r="BI400" i="1"/>
  <c r="BI401" i="1" a="1"/>
  <c r="BI401" i="1"/>
  <c r="BI402" i="1" a="1"/>
  <c r="BI402" i="1"/>
  <c r="BI403" i="1" a="1"/>
  <c r="BI403" i="1"/>
  <c r="BI404" i="1" a="1"/>
  <c r="BI404" i="1"/>
  <c r="BI405" i="1" a="1"/>
  <c r="BI405" i="1"/>
  <c r="BI406" i="1" a="1"/>
  <c r="BI406" i="1"/>
  <c r="BI407" i="1" a="1"/>
  <c r="BI407" i="1"/>
  <c r="BI408" i="1" a="1"/>
  <c r="BI408" i="1"/>
  <c r="BI409" i="1" a="1"/>
  <c r="BI409" i="1"/>
  <c r="BI410" i="1" a="1"/>
  <c r="BI410" i="1"/>
  <c r="BI411" i="1" a="1"/>
  <c r="BI411" i="1"/>
  <c r="BI412" i="1" a="1"/>
  <c r="BI412" i="1"/>
  <c r="BI413" i="1" a="1"/>
  <c r="BI413" i="1"/>
  <c r="BI414" i="1" a="1"/>
  <c r="BI414" i="1"/>
  <c r="BI415" i="1" a="1"/>
  <c r="BI415" i="1"/>
  <c r="BI416" i="1" a="1"/>
  <c r="BI416" i="1"/>
  <c r="BI417" i="1" a="1"/>
  <c r="BI417" i="1"/>
  <c r="BI418" i="1" a="1"/>
  <c r="BI418" i="1"/>
  <c r="BI419" i="1" a="1"/>
  <c r="BI419" i="1"/>
  <c r="BI420" i="1" a="1"/>
  <c r="BI420" i="1"/>
  <c r="BI421" i="1" a="1"/>
  <c r="BI421" i="1"/>
  <c r="BI422" i="1" a="1"/>
  <c r="BI422" i="1"/>
  <c r="BI423" i="1" a="1"/>
  <c r="BI423" i="1"/>
  <c r="BI424" i="1" a="1"/>
  <c r="BI424" i="1"/>
  <c r="BI425" i="1" a="1"/>
  <c r="BI425" i="1"/>
  <c r="BI426" i="1" a="1"/>
  <c r="BI426" i="1"/>
  <c r="BI427" i="1" a="1"/>
  <c r="BI427" i="1"/>
  <c r="BI428" i="1" a="1"/>
  <c r="BI428" i="1"/>
  <c r="BI429" i="1" a="1"/>
  <c r="BI429" i="1"/>
  <c r="BI430" i="1" a="1"/>
  <c r="BI430" i="1"/>
  <c r="BI431" i="1" a="1"/>
  <c r="BI431" i="1"/>
  <c r="BI432" i="1" a="1"/>
  <c r="BI432" i="1"/>
  <c r="BI433" i="1" a="1"/>
  <c r="BI433" i="1"/>
  <c r="BI434" i="1" a="1"/>
  <c r="BI434" i="1"/>
  <c r="BI435" i="1" a="1"/>
  <c r="BI435" i="1"/>
  <c r="BI436" i="1" a="1"/>
  <c r="BI436" i="1"/>
  <c r="BI437" i="1" a="1"/>
  <c r="BI437" i="1"/>
  <c r="BI438" i="1" a="1"/>
  <c r="BI438" i="1"/>
  <c r="BI439" i="1" a="1"/>
  <c r="BI439" i="1"/>
  <c r="BI440" i="1" a="1"/>
  <c r="BI440" i="1"/>
  <c r="BI441" i="1" a="1"/>
  <c r="BI441" i="1"/>
  <c r="BI442" i="1" a="1"/>
  <c r="BI442" i="1"/>
  <c r="BI443" i="1" a="1"/>
  <c r="BI443" i="1"/>
  <c r="BI444" i="1" a="1"/>
  <c r="BI444" i="1"/>
  <c r="BI445" i="1" a="1"/>
  <c r="BI445" i="1"/>
  <c r="BI446" i="1" a="1"/>
  <c r="BI446" i="1"/>
  <c r="BI447" i="1" a="1"/>
  <c r="BI447" i="1"/>
  <c r="BI448" i="1" a="1"/>
  <c r="BI448" i="1"/>
  <c r="BI449" i="1" a="1"/>
  <c r="BI449" i="1"/>
  <c r="BI450" i="1" a="1"/>
  <c r="BI450" i="1"/>
  <c r="BI451" i="1" a="1"/>
  <c r="BI451" i="1"/>
  <c r="BI452" i="1" a="1"/>
  <c r="BI452" i="1"/>
  <c r="BI453" i="1" a="1"/>
  <c r="BI453" i="1"/>
  <c r="BI454" i="1" a="1"/>
  <c r="BI454" i="1"/>
  <c r="BI455" i="1" a="1"/>
  <c r="BI455" i="1"/>
  <c r="BI456" i="1" a="1"/>
  <c r="BI456" i="1"/>
  <c r="BI457" i="1" a="1"/>
  <c r="BI457" i="1"/>
  <c r="BI458" i="1" a="1"/>
  <c r="BI458" i="1"/>
  <c r="BI459" i="1" a="1"/>
  <c r="BI459" i="1"/>
  <c r="BI460" i="1" a="1"/>
  <c r="BI460" i="1"/>
  <c r="BI461" i="1" a="1"/>
  <c r="BI461" i="1"/>
  <c r="BI462" i="1" a="1"/>
  <c r="BI462" i="1"/>
  <c r="BI463" i="1" a="1"/>
  <c r="BI463" i="1"/>
  <c r="BI464" i="1" a="1"/>
  <c r="BI464" i="1"/>
  <c r="BI465" i="1" a="1"/>
  <c r="BI465" i="1"/>
  <c r="BI466" i="1" a="1"/>
  <c r="BI466" i="1"/>
  <c r="BI467" i="1" a="1"/>
  <c r="BI467" i="1"/>
  <c r="BI468" i="1" a="1"/>
  <c r="BI468" i="1"/>
  <c r="BI469" i="1" a="1"/>
  <c r="BI469" i="1"/>
  <c r="BI470" i="1" a="1"/>
  <c r="BI470" i="1"/>
  <c r="BI471" i="1" a="1"/>
  <c r="BI471" i="1"/>
  <c r="BI472" i="1" a="1"/>
  <c r="BI472" i="1"/>
  <c r="BI473" i="1" a="1"/>
  <c r="BI473" i="1"/>
  <c r="BI474" i="1" a="1"/>
  <c r="BI474" i="1"/>
  <c r="BI475" i="1" a="1"/>
  <c r="BI475" i="1"/>
  <c r="BI476" i="1" a="1"/>
  <c r="BI476" i="1"/>
  <c r="BI477" i="1" a="1"/>
  <c r="BI477" i="1"/>
  <c r="BI478" i="1" a="1"/>
  <c r="BI478" i="1"/>
  <c r="BI479" i="1" a="1"/>
  <c r="BI479" i="1"/>
  <c r="BI480" i="1" a="1"/>
  <c r="BI480" i="1"/>
  <c r="BI481" i="1" a="1"/>
  <c r="BI481" i="1"/>
  <c r="BI482" i="1" a="1"/>
  <c r="BI482" i="1"/>
  <c r="BI483" i="1" a="1"/>
  <c r="BI483" i="1"/>
  <c r="BI484" i="1" a="1"/>
  <c r="BI484" i="1"/>
  <c r="BI485" i="1" a="1"/>
  <c r="BI485" i="1"/>
  <c r="BI486" i="1" a="1"/>
  <c r="BI486" i="1"/>
  <c r="BI487" i="1" a="1"/>
  <c r="BI487" i="1"/>
  <c r="BI488" i="1" a="1"/>
  <c r="BI488" i="1"/>
  <c r="BI489" i="1" a="1"/>
  <c r="BI489" i="1"/>
  <c r="BI490" i="1" a="1"/>
  <c r="BI490" i="1"/>
  <c r="BI491" i="1" a="1"/>
  <c r="BI491" i="1"/>
  <c r="BI492" i="1" a="1"/>
  <c r="BI492" i="1"/>
  <c r="BI493" i="1" a="1"/>
  <c r="BI493" i="1"/>
  <c r="BI494" i="1" a="1"/>
  <c r="BI494" i="1"/>
  <c r="BI495" i="1" a="1"/>
  <c r="BI495" i="1"/>
  <c r="BI496" i="1" a="1"/>
  <c r="BI496" i="1"/>
  <c r="BI497" i="1" a="1"/>
  <c r="BI497" i="1"/>
  <c r="BI498" i="1" a="1"/>
  <c r="BI498" i="1"/>
  <c r="BI499" i="1" a="1"/>
  <c r="BI499" i="1"/>
  <c r="BI500" i="1" a="1"/>
  <c r="BI500" i="1"/>
  <c r="BI501" i="1" a="1"/>
  <c r="BI501" i="1"/>
  <c r="BI502" i="1" a="1"/>
  <c r="BI502" i="1"/>
  <c r="BI503" i="1" a="1"/>
  <c r="BI503" i="1"/>
  <c r="BI504" i="1" a="1"/>
  <c r="BI504" i="1"/>
  <c r="BI505" i="1" a="1"/>
  <c r="BI505" i="1"/>
  <c r="BI506" i="1" a="1"/>
  <c r="BI506" i="1"/>
  <c r="BI507" i="1" a="1"/>
  <c r="BI507" i="1"/>
  <c r="BI508" i="1" a="1"/>
  <c r="BI508" i="1"/>
  <c r="BI509" i="1" a="1"/>
  <c r="BI509" i="1"/>
  <c r="BI510" i="1" a="1"/>
  <c r="BI510" i="1"/>
  <c r="BI511" i="1" a="1"/>
  <c r="BI511" i="1"/>
  <c r="BI512" i="1" a="1"/>
  <c r="BI512" i="1"/>
  <c r="BI513" i="1" a="1"/>
  <c r="BI513" i="1"/>
  <c r="BI514" i="1" a="1"/>
  <c r="BI514" i="1"/>
  <c r="BI515" i="1" a="1"/>
  <c r="BI515" i="1"/>
  <c r="BI516" i="1" a="1"/>
  <c r="BI516" i="1"/>
  <c r="BI517" i="1" a="1"/>
  <c r="BI517" i="1"/>
  <c r="BI518" i="1" a="1"/>
  <c r="BI518" i="1"/>
  <c r="BI519" i="1" a="1"/>
  <c r="BI519" i="1"/>
  <c r="BI520" i="1" a="1"/>
  <c r="BI520" i="1"/>
  <c r="BI521" i="1" a="1"/>
  <c r="BI521" i="1"/>
  <c r="BI522" i="1" a="1"/>
  <c r="BI522" i="1"/>
  <c r="BI523" i="1" a="1"/>
  <c r="BI523" i="1"/>
  <c r="BI524" i="1" a="1"/>
  <c r="BI524" i="1"/>
  <c r="BI525" i="1" a="1"/>
  <c r="BI525" i="1"/>
  <c r="BI526" i="1" a="1"/>
  <c r="BI526" i="1"/>
  <c r="BI527" i="1" a="1"/>
  <c r="BI527" i="1"/>
  <c r="BI528" i="1" a="1"/>
  <c r="BI528" i="1"/>
  <c r="BI529" i="1" a="1"/>
  <c r="BI529" i="1"/>
  <c r="BI530" i="1" a="1"/>
  <c r="BI530" i="1"/>
  <c r="BI531" i="1" a="1"/>
  <c r="BI531" i="1"/>
  <c r="BI532" i="1" a="1"/>
  <c r="BI532" i="1"/>
  <c r="BI533" i="1" a="1"/>
  <c r="BI533" i="1"/>
  <c r="BI534" i="1" a="1"/>
  <c r="BI534" i="1"/>
  <c r="BI535" i="1" a="1"/>
  <c r="BI535" i="1"/>
  <c r="BI536" i="1" a="1"/>
  <c r="BI536" i="1"/>
  <c r="BI537" i="1" a="1"/>
  <c r="BI537" i="1"/>
  <c r="BI538" i="1" a="1"/>
  <c r="BI538" i="1"/>
  <c r="BI539" i="1" a="1"/>
  <c r="BI539" i="1"/>
  <c r="BI540" i="1" a="1"/>
  <c r="BI540" i="1"/>
  <c r="BI541" i="1" a="1"/>
  <c r="BI541" i="1"/>
  <c r="BI542" i="1" a="1"/>
  <c r="BI542" i="1"/>
  <c r="BI543" i="1" a="1"/>
  <c r="BI543" i="1"/>
  <c r="BI544" i="1" a="1"/>
  <c r="BI544" i="1"/>
  <c r="BI545" i="1" a="1"/>
  <c r="BI545" i="1"/>
  <c r="BI546" i="1" a="1"/>
  <c r="BI546" i="1"/>
  <c r="BI547" i="1" a="1"/>
  <c r="BI547" i="1"/>
  <c r="BI548" i="1" a="1"/>
  <c r="BI548" i="1"/>
  <c r="BI549" i="1" a="1"/>
  <c r="BI549" i="1"/>
  <c r="BI550" i="1" a="1"/>
  <c r="BI550" i="1"/>
  <c r="BI551" i="1" a="1"/>
  <c r="BI551" i="1"/>
  <c r="BI552" i="1" a="1"/>
  <c r="BI552" i="1"/>
  <c r="BI553" i="1" a="1"/>
  <c r="BI553" i="1"/>
  <c r="BI554" i="1" a="1"/>
  <c r="BI554" i="1"/>
  <c r="BI555" i="1" a="1"/>
  <c r="BI555" i="1"/>
  <c r="BI556" i="1" a="1"/>
  <c r="BI556" i="1"/>
  <c r="BI557" i="1" a="1"/>
  <c r="BI557" i="1"/>
  <c r="BI558" i="1" a="1"/>
  <c r="BI558" i="1"/>
  <c r="BI559" i="1" a="1"/>
  <c r="BI559" i="1"/>
  <c r="BI560" i="1" a="1"/>
  <c r="BI560" i="1"/>
  <c r="BI561" i="1" a="1"/>
  <c r="BI561" i="1"/>
  <c r="BI562" i="1" a="1"/>
  <c r="BI562" i="1"/>
  <c r="BI563" i="1" a="1"/>
  <c r="BI563" i="1"/>
  <c r="BI564" i="1" a="1"/>
  <c r="BI564" i="1"/>
  <c r="BI565" i="1" a="1"/>
  <c r="BI565" i="1"/>
  <c r="BI566" i="1" a="1"/>
  <c r="BI566" i="1"/>
  <c r="BI567" i="1" a="1"/>
  <c r="BI567" i="1"/>
  <c r="BI568" i="1" a="1"/>
  <c r="BI568" i="1"/>
  <c r="BI569" i="1" a="1"/>
  <c r="BI569" i="1"/>
  <c r="BI570" i="1" a="1"/>
  <c r="BI570" i="1"/>
  <c r="BI571" i="1" a="1"/>
  <c r="BI571" i="1"/>
  <c r="BI572" i="1" a="1"/>
  <c r="BI572" i="1"/>
  <c r="BI573" i="1" a="1"/>
  <c r="BI573" i="1"/>
  <c r="BI574" i="1" a="1"/>
  <c r="BI574" i="1"/>
  <c r="BI575" i="1" a="1"/>
  <c r="BI575" i="1"/>
  <c r="BI576" i="1" a="1"/>
  <c r="BI576" i="1"/>
  <c r="BI577" i="1" a="1"/>
  <c r="BI577" i="1"/>
  <c r="BI578" i="1" a="1"/>
  <c r="BI578" i="1"/>
  <c r="BI579" i="1" a="1"/>
  <c r="BI579" i="1"/>
  <c r="BI580" i="1" a="1"/>
  <c r="BI580" i="1"/>
  <c r="BI581" i="1" a="1"/>
  <c r="BI581" i="1"/>
  <c r="BI582" i="1" a="1"/>
  <c r="BI582" i="1"/>
  <c r="BI583" i="1" a="1"/>
  <c r="BI583" i="1"/>
  <c r="BI584" i="1" a="1"/>
  <c r="BI584" i="1"/>
  <c r="BI585" i="1" a="1"/>
  <c r="BI585" i="1"/>
  <c r="BI586" i="1" a="1"/>
  <c r="BI586" i="1"/>
  <c r="BI587" i="1" a="1"/>
  <c r="BI587" i="1"/>
  <c r="BI588" i="1" a="1"/>
  <c r="BI588" i="1"/>
  <c r="BI589" i="1" a="1"/>
  <c r="BI589" i="1"/>
  <c r="BI590" i="1" a="1"/>
  <c r="BI590" i="1"/>
  <c r="BI591" i="1" a="1"/>
  <c r="BI591" i="1"/>
  <c r="BI592" i="1" a="1"/>
  <c r="BI592" i="1"/>
  <c r="BI593" i="1" a="1"/>
  <c r="BI593" i="1"/>
  <c r="BI594" i="1" a="1"/>
  <c r="BI594" i="1"/>
  <c r="BI595" i="1" a="1"/>
  <c r="BI595" i="1"/>
  <c r="BI596" i="1" a="1"/>
  <c r="BI596" i="1"/>
  <c r="BI597" i="1" a="1"/>
  <c r="BI597" i="1"/>
  <c r="BI598" i="1" a="1"/>
  <c r="BI598" i="1"/>
  <c r="BI599" i="1" a="1"/>
  <c r="BI599" i="1"/>
  <c r="BI600" i="1" a="1"/>
  <c r="BI600" i="1"/>
  <c r="BI601" i="1" a="1"/>
  <c r="BI601" i="1"/>
  <c r="BI602" i="1" a="1"/>
  <c r="BI602" i="1"/>
  <c r="BI603" i="1" a="1"/>
  <c r="BI603" i="1"/>
  <c r="BI604" i="1" a="1"/>
  <c r="BI604" i="1"/>
  <c r="BI605" i="1" a="1"/>
  <c r="BI605" i="1"/>
  <c r="BI606" i="1" a="1"/>
  <c r="BI606" i="1"/>
  <c r="BI607" i="1" a="1"/>
  <c r="BI607" i="1"/>
  <c r="BI608" i="1" a="1"/>
  <c r="BI608" i="1"/>
  <c r="BI609" i="1" a="1"/>
  <c r="BI609" i="1"/>
  <c r="BI610" i="1" a="1"/>
  <c r="BI610" i="1"/>
  <c r="BI611" i="1" a="1"/>
  <c r="BI611" i="1"/>
  <c r="BI612" i="1" a="1"/>
  <c r="BI612" i="1"/>
  <c r="BI613" i="1" a="1"/>
  <c r="BI613" i="1"/>
  <c r="BI614" i="1" a="1"/>
  <c r="BI614" i="1"/>
  <c r="BI615" i="1" a="1"/>
  <c r="BI615" i="1"/>
  <c r="BI616" i="1" a="1"/>
  <c r="BI616" i="1"/>
  <c r="BI617" i="1" a="1"/>
  <c r="BI617" i="1"/>
  <c r="BI618" i="1" a="1"/>
  <c r="BI618" i="1"/>
  <c r="BI619" i="1" a="1"/>
  <c r="BI619" i="1"/>
  <c r="BI620" i="1" a="1"/>
  <c r="BI620" i="1"/>
  <c r="BI621" i="1" a="1"/>
  <c r="BI621" i="1"/>
  <c r="BI622" i="1" a="1"/>
  <c r="BI622" i="1"/>
  <c r="BI623" i="1" a="1"/>
  <c r="BI623" i="1"/>
  <c r="BI624" i="1" a="1"/>
  <c r="BI624" i="1"/>
  <c r="BI625" i="1" a="1"/>
  <c r="BI625" i="1"/>
  <c r="BI626" i="1" a="1"/>
  <c r="BI626" i="1"/>
  <c r="BI627" i="1" a="1"/>
  <c r="BI627" i="1"/>
  <c r="BI628" i="1" a="1"/>
  <c r="BI628" i="1"/>
  <c r="BI629" i="1" a="1"/>
  <c r="BI629" i="1"/>
  <c r="BI630" i="1" a="1"/>
  <c r="BI630" i="1"/>
  <c r="BI631" i="1" a="1"/>
  <c r="BI631" i="1"/>
  <c r="BI632" i="1" a="1"/>
  <c r="BI632" i="1"/>
  <c r="BI633" i="1" a="1"/>
  <c r="BI633" i="1"/>
  <c r="BI634" i="1" a="1"/>
  <c r="BI634" i="1"/>
  <c r="BI635" i="1" a="1"/>
  <c r="BI635" i="1"/>
  <c r="BI636" i="1" a="1"/>
  <c r="BI636" i="1"/>
  <c r="BI637" i="1" a="1"/>
  <c r="BI637" i="1"/>
  <c r="BI638" i="1" a="1"/>
  <c r="BI638" i="1"/>
  <c r="BI639" i="1" a="1"/>
  <c r="BI639" i="1"/>
  <c r="BI640" i="1" a="1"/>
  <c r="BI640" i="1"/>
  <c r="BI641" i="1" a="1"/>
  <c r="BI641" i="1"/>
  <c r="BI642" i="1" a="1"/>
  <c r="BI642" i="1"/>
  <c r="BI643" i="1" a="1"/>
  <c r="BI643" i="1"/>
  <c r="BI644" i="1" a="1"/>
  <c r="BI644" i="1"/>
  <c r="BI645" i="1" a="1"/>
  <c r="BI645" i="1"/>
  <c r="BI646" i="1" a="1"/>
  <c r="BI646" i="1"/>
  <c r="BI647" i="1" a="1"/>
  <c r="BI647" i="1"/>
  <c r="BI648" i="1" a="1"/>
  <c r="BI648" i="1"/>
  <c r="BI649" i="1" a="1"/>
  <c r="BI649" i="1"/>
  <c r="BI650" i="1" a="1"/>
  <c r="BI650" i="1"/>
  <c r="BI651" i="1" a="1"/>
  <c r="BI651" i="1"/>
  <c r="BI652" i="1" a="1"/>
  <c r="BI652" i="1"/>
  <c r="BI653" i="1" a="1"/>
  <c r="BI653" i="1"/>
  <c r="BI654" i="1" a="1"/>
  <c r="BI654" i="1"/>
  <c r="BI655" i="1" a="1"/>
  <c r="BI655" i="1"/>
  <c r="BI656" i="1" a="1"/>
  <c r="BI656" i="1"/>
  <c r="BI657" i="1" a="1"/>
  <c r="BI657" i="1"/>
  <c r="BI658" i="1" a="1"/>
  <c r="BI658" i="1"/>
  <c r="BI659" i="1" a="1"/>
  <c r="BI659" i="1"/>
  <c r="BI660" i="1" a="1"/>
  <c r="BI660" i="1"/>
  <c r="BI661" i="1" a="1"/>
  <c r="BI661" i="1"/>
  <c r="BI662" i="1" a="1"/>
  <c r="BI662" i="1"/>
  <c r="BI663" i="1" a="1"/>
  <c r="BI663" i="1"/>
  <c r="BI664" i="1" a="1"/>
  <c r="BI664" i="1"/>
  <c r="BI665" i="1" a="1"/>
  <c r="BI665" i="1"/>
  <c r="BI666" i="1" a="1"/>
  <c r="BI666" i="1"/>
  <c r="BI667" i="1" a="1"/>
  <c r="BI667" i="1"/>
  <c r="BI668" i="1" a="1"/>
  <c r="BI668" i="1"/>
  <c r="BI669" i="1" a="1"/>
  <c r="BI669" i="1"/>
  <c r="BI670" i="1" a="1"/>
  <c r="BI670" i="1"/>
  <c r="BI671" i="1" a="1"/>
  <c r="BI671" i="1"/>
  <c r="BI672" i="1" a="1"/>
  <c r="BI672" i="1"/>
  <c r="BI673" i="1" a="1"/>
  <c r="BI673" i="1"/>
  <c r="BI674" i="1" a="1"/>
  <c r="BI674" i="1"/>
  <c r="BI675" i="1" a="1"/>
  <c r="BI675" i="1"/>
  <c r="BI676" i="1" a="1"/>
  <c r="BI676" i="1"/>
  <c r="BI677" i="1" a="1"/>
  <c r="BI677" i="1"/>
  <c r="BI678" i="1" a="1"/>
  <c r="BI678" i="1"/>
  <c r="BI679" i="1" a="1"/>
  <c r="BI679" i="1"/>
  <c r="BI680" i="1" a="1"/>
  <c r="BI680" i="1"/>
  <c r="BI681" i="1" a="1"/>
  <c r="BI681" i="1"/>
  <c r="BI682" i="1" a="1"/>
  <c r="BI682" i="1"/>
  <c r="BI683" i="1" a="1"/>
  <c r="BI683" i="1"/>
  <c r="BI684" i="1" a="1"/>
  <c r="BI684" i="1"/>
  <c r="BI685" i="1" a="1"/>
  <c r="BI685" i="1"/>
  <c r="BI686" i="1" a="1"/>
  <c r="BI686" i="1"/>
  <c r="BI687" i="1" a="1"/>
  <c r="BI687" i="1"/>
  <c r="BI688" i="1" a="1"/>
  <c r="BI688" i="1"/>
  <c r="BI689" i="1" a="1"/>
  <c r="BI689" i="1"/>
  <c r="BI690" i="1" a="1"/>
  <c r="BI690" i="1"/>
  <c r="BI691" i="1" a="1"/>
  <c r="BI691" i="1"/>
  <c r="BI692" i="1" a="1"/>
  <c r="BI692" i="1"/>
  <c r="BI693" i="1" a="1"/>
  <c r="BI693" i="1"/>
  <c r="BI694" i="1" a="1"/>
  <c r="BI694" i="1"/>
  <c r="BI695" i="1" a="1"/>
  <c r="BI695" i="1"/>
  <c r="BI696" i="1" a="1"/>
  <c r="BI696" i="1"/>
  <c r="BI697" i="1" a="1"/>
  <c r="BI697" i="1"/>
  <c r="BI698" i="1" a="1"/>
  <c r="BI698" i="1"/>
  <c r="BI699" i="1" a="1"/>
  <c r="BI699" i="1"/>
  <c r="BI700" i="1" a="1"/>
  <c r="BI700" i="1"/>
  <c r="BI701" i="1" a="1"/>
  <c r="BI701" i="1"/>
  <c r="BI702" i="1" a="1"/>
  <c r="BI702" i="1"/>
  <c r="BI703" i="1" a="1"/>
  <c r="BI703" i="1"/>
  <c r="BI704" i="1" a="1"/>
  <c r="BI704" i="1"/>
  <c r="BI705" i="1" a="1"/>
  <c r="BI705" i="1"/>
  <c r="BI706" i="1" a="1"/>
  <c r="BI706" i="1"/>
  <c r="BI707" i="1" a="1"/>
  <c r="BI707" i="1"/>
  <c r="BI708" i="1" a="1"/>
  <c r="BI708" i="1"/>
  <c r="BI709" i="1" a="1"/>
  <c r="BI709" i="1"/>
  <c r="BI710" i="1" a="1"/>
  <c r="BI710" i="1"/>
  <c r="BI711" i="1" a="1"/>
  <c r="BI711" i="1"/>
  <c r="BI712" i="1" a="1"/>
  <c r="BI712" i="1"/>
  <c r="BI713" i="1" a="1"/>
  <c r="BI713" i="1"/>
  <c r="BI714" i="1" a="1"/>
  <c r="BI714" i="1"/>
  <c r="BI715" i="1" a="1"/>
  <c r="BI715" i="1"/>
  <c r="BI716" i="1" a="1"/>
  <c r="BI716" i="1"/>
  <c r="BI717" i="1" a="1"/>
  <c r="BI717" i="1"/>
  <c r="BI718" i="1" a="1"/>
  <c r="BI718" i="1"/>
  <c r="BI719" i="1" a="1"/>
  <c r="BI719" i="1"/>
  <c r="BI720" i="1" a="1"/>
  <c r="BI720" i="1"/>
  <c r="BI721" i="1" a="1"/>
  <c r="BI721" i="1"/>
  <c r="BI722" i="1" a="1"/>
  <c r="BI722" i="1"/>
  <c r="BI723" i="1" a="1"/>
  <c r="BI723" i="1"/>
  <c r="BI724" i="1" a="1"/>
  <c r="BI724" i="1"/>
  <c r="BI725" i="1" a="1"/>
  <c r="BI725" i="1"/>
  <c r="BI726" i="1" a="1"/>
  <c r="BI726" i="1"/>
  <c r="BI727" i="1" a="1"/>
  <c r="BI727" i="1"/>
  <c r="BI728" i="1" a="1"/>
  <c r="BI728" i="1"/>
  <c r="BI729" i="1" a="1"/>
  <c r="BI729" i="1"/>
  <c r="BI730" i="1" a="1"/>
  <c r="BI730" i="1"/>
  <c r="BI731" i="1" a="1"/>
  <c r="BI731" i="1"/>
  <c r="BI732" i="1" a="1"/>
  <c r="BI732" i="1"/>
  <c r="BI733" i="1" a="1"/>
  <c r="BI733" i="1"/>
  <c r="BI734" i="1" a="1"/>
  <c r="BI734" i="1"/>
  <c r="BI735" i="1" a="1"/>
  <c r="BI735" i="1"/>
  <c r="BI736" i="1" a="1"/>
  <c r="BI736" i="1"/>
  <c r="BI737" i="1" a="1"/>
  <c r="BI737" i="1"/>
  <c r="BI738" i="1" a="1"/>
  <c r="BI738" i="1"/>
  <c r="BI739" i="1" a="1"/>
  <c r="BI739" i="1"/>
  <c r="BI740" i="1" a="1"/>
  <c r="BI740" i="1"/>
  <c r="BI741" i="1" a="1"/>
  <c r="BI741" i="1"/>
  <c r="BI742" i="1" a="1"/>
  <c r="BI742" i="1"/>
  <c r="BI743" i="1" a="1"/>
  <c r="BI743" i="1"/>
  <c r="BI744" i="1" a="1"/>
  <c r="BI744" i="1"/>
  <c r="BI745" i="1" a="1"/>
  <c r="BI745" i="1"/>
  <c r="BI746" i="1" a="1"/>
  <c r="BI746" i="1"/>
  <c r="BI747" i="1" a="1"/>
  <c r="BI747" i="1"/>
  <c r="BI748" i="1" a="1"/>
  <c r="BI748" i="1"/>
  <c r="BI749" i="1" a="1"/>
  <c r="BI749" i="1"/>
  <c r="BI750" i="1" a="1"/>
  <c r="BI750" i="1"/>
  <c r="BI751" i="1" a="1"/>
  <c r="BI751" i="1"/>
  <c r="BI752" i="1" a="1"/>
  <c r="BI752" i="1"/>
  <c r="BI753" i="1" a="1"/>
  <c r="BI753" i="1"/>
  <c r="BI754" i="1" a="1"/>
  <c r="BI754" i="1"/>
  <c r="BI755" i="1" a="1"/>
  <c r="BI755" i="1"/>
  <c r="BI756" i="1" a="1"/>
  <c r="BI756" i="1"/>
  <c r="BI757" i="1" a="1"/>
  <c r="BI757" i="1"/>
  <c r="BI758" i="1" a="1"/>
  <c r="BI758" i="1"/>
  <c r="BI759" i="1" a="1"/>
  <c r="BI759" i="1"/>
  <c r="BI760" i="1" a="1"/>
  <c r="BI760" i="1"/>
  <c r="BI761" i="1" a="1"/>
  <c r="BI761" i="1"/>
  <c r="BI762" i="1" a="1"/>
  <c r="BI762" i="1"/>
  <c r="BI763" i="1" a="1"/>
  <c r="BI763" i="1"/>
  <c r="BI764" i="1" a="1"/>
  <c r="BI764" i="1"/>
  <c r="BI765" i="1" a="1"/>
  <c r="BI765" i="1"/>
  <c r="BI766" i="1" a="1"/>
  <c r="BI766" i="1"/>
  <c r="BI767" i="1" a="1"/>
  <c r="BI767" i="1"/>
  <c r="BI768" i="1" a="1"/>
  <c r="BI768" i="1"/>
  <c r="BI769" i="1" a="1"/>
  <c r="BI769" i="1"/>
  <c r="BI770" i="1" a="1"/>
  <c r="BI770" i="1"/>
  <c r="BI771" i="1" a="1"/>
  <c r="BI771" i="1"/>
  <c r="BI772" i="1" a="1"/>
  <c r="BI772" i="1"/>
  <c r="BI773" i="1" a="1"/>
  <c r="BI773" i="1"/>
  <c r="BI774" i="1" a="1"/>
  <c r="BI774" i="1"/>
  <c r="BI775" i="1" a="1"/>
  <c r="BI775" i="1"/>
  <c r="BI776" i="1" a="1"/>
  <c r="BI776" i="1"/>
  <c r="BI777" i="1" a="1"/>
  <c r="BI777" i="1"/>
  <c r="BI778" i="1" a="1"/>
  <c r="BI778" i="1"/>
  <c r="BI779" i="1" a="1"/>
  <c r="BI779" i="1"/>
  <c r="BI780" i="1" a="1"/>
  <c r="BI780" i="1"/>
  <c r="BI781" i="1" a="1"/>
  <c r="BI781" i="1"/>
  <c r="BI782" i="1" a="1"/>
  <c r="BI782" i="1"/>
  <c r="BI783" i="1" a="1"/>
  <c r="BI783" i="1"/>
  <c r="BI784" i="1" a="1"/>
  <c r="BI784" i="1"/>
  <c r="BI785" i="1" a="1"/>
  <c r="BI785" i="1"/>
  <c r="BI786" i="1" a="1"/>
  <c r="BI786" i="1"/>
  <c r="BI787" i="1" a="1"/>
  <c r="BI787" i="1"/>
  <c r="BI788" i="1" a="1"/>
  <c r="BI788" i="1"/>
  <c r="BI789" i="1" a="1"/>
  <c r="BI789" i="1"/>
  <c r="BI790" i="1" a="1"/>
  <c r="BI790" i="1"/>
  <c r="BI791" i="1" a="1"/>
  <c r="BI791" i="1"/>
  <c r="BI792" i="1" a="1"/>
  <c r="BI792" i="1"/>
  <c r="BI793" i="1" a="1"/>
  <c r="BI793" i="1"/>
  <c r="BI794" i="1" a="1"/>
  <c r="BI794" i="1"/>
  <c r="BI795" i="1" a="1"/>
  <c r="BI795" i="1"/>
  <c r="BI796" i="1" a="1"/>
  <c r="BI796" i="1"/>
  <c r="BI797" i="1" a="1"/>
  <c r="BI797" i="1"/>
  <c r="BI798" i="1" a="1"/>
  <c r="BI798" i="1"/>
  <c r="BI799" i="1" a="1"/>
  <c r="BI799" i="1"/>
  <c r="BI800" i="1" a="1"/>
  <c r="BI800" i="1"/>
  <c r="BI801" i="1" a="1"/>
  <c r="BI801" i="1"/>
  <c r="BI802" i="1" a="1"/>
  <c r="BI802" i="1"/>
  <c r="BI803" i="1" a="1"/>
  <c r="BI803" i="1"/>
  <c r="BI804" i="1" a="1"/>
  <c r="BI804" i="1"/>
  <c r="BI805" i="1" a="1"/>
  <c r="BI805" i="1"/>
  <c r="BI806" i="1" a="1"/>
  <c r="BI806" i="1"/>
  <c r="BI807" i="1" a="1"/>
  <c r="BI807" i="1"/>
  <c r="BI808" i="1" a="1"/>
  <c r="BI808" i="1"/>
  <c r="BI809" i="1" a="1"/>
  <c r="BI809" i="1"/>
  <c r="BI810" i="1" a="1"/>
  <c r="BI810" i="1"/>
  <c r="BI811" i="1" a="1"/>
  <c r="BI811" i="1"/>
  <c r="BI812" i="1" a="1"/>
  <c r="BI812" i="1"/>
  <c r="BI813" i="1" a="1"/>
  <c r="BI813" i="1"/>
  <c r="BI814" i="1" a="1"/>
  <c r="BI814" i="1"/>
  <c r="BI815" i="1" a="1"/>
  <c r="BI815" i="1"/>
  <c r="BI816" i="1" a="1"/>
  <c r="BI816" i="1"/>
  <c r="BI817" i="1" a="1"/>
  <c r="BI817" i="1"/>
  <c r="BI818" i="1" a="1"/>
  <c r="BI818" i="1"/>
  <c r="BI819" i="1" a="1"/>
  <c r="BI819" i="1"/>
  <c r="BI820" i="1" a="1"/>
  <c r="BI820" i="1"/>
  <c r="BI821" i="1" a="1"/>
  <c r="BI821" i="1"/>
  <c r="BI822" i="1" a="1"/>
  <c r="BI822" i="1"/>
  <c r="BI823" i="1" a="1"/>
  <c r="BI823" i="1"/>
  <c r="BI824" i="1" a="1"/>
  <c r="BI824" i="1"/>
  <c r="BI825" i="1" a="1"/>
  <c r="BI825" i="1"/>
  <c r="BI826" i="1" a="1"/>
  <c r="BI826" i="1"/>
  <c r="BI827" i="1" a="1"/>
  <c r="BI827" i="1"/>
  <c r="BI828" i="1" a="1"/>
  <c r="BI828" i="1"/>
  <c r="BI829" i="1" a="1"/>
  <c r="BI829" i="1"/>
  <c r="BI830" i="1" a="1"/>
  <c r="BI830" i="1"/>
  <c r="BI831" i="1" a="1"/>
  <c r="BI831" i="1"/>
  <c r="BI832" i="1" a="1"/>
  <c r="BI832" i="1"/>
  <c r="BI833" i="1" a="1"/>
  <c r="BI833" i="1"/>
  <c r="BI834" i="1" a="1"/>
  <c r="BI834" i="1"/>
  <c r="BI835" i="1" a="1"/>
  <c r="BI835" i="1"/>
  <c r="BI836" i="1" a="1"/>
  <c r="BI836" i="1"/>
  <c r="BI837" i="1" a="1"/>
  <c r="BI837" i="1"/>
  <c r="BI838" i="1" a="1"/>
  <c r="BI838" i="1"/>
  <c r="BI839" i="1" a="1"/>
  <c r="BI839" i="1"/>
  <c r="BI840" i="1" a="1"/>
  <c r="BI840" i="1"/>
  <c r="BI841" i="1" a="1"/>
  <c r="BI841" i="1"/>
  <c r="BI842" i="1" a="1"/>
  <c r="BI842" i="1"/>
  <c r="BI843" i="1" a="1"/>
  <c r="BI843" i="1"/>
  <c r="BI844" i="1" a="1"/>
  <c r="BI844" i="1"/>
  <c r="BI845" i="1" a="1"/>
  <c r="BI845" i="1"/>
  <c r="BI846" i="1" a="1"/>
  <c r="BI846" i="1"/>
  <c r="BI847" i="1" a="1"/>
  <c r="BI847" i="1"/>
  <c r="BI848" i="1" a="1"/>
  <c r="BI848" i="1"/>
  <c r="BI849" i="1" a="1"/>
  <c r="BI849" i="1"/>
  <c r="BI850" i="1" a="1"/>
  <c r="BI850" i="1"/>
  <c r="BI851" i="1" a="1"/>
  <c r="BI851" i="1"/>
  <c r="BI852" i="1" a="1"/>
  <c r="BI852" i="1"/>
  <c r="BI853" i="1" a="1"/>
  <c r="BI853" i="1"/>
  <c r="BI854" i="1" a="1"/>
  <c r="BI854" i="1"/>
  <c r="BI855" i="1" a="1"/>
  <c r="BI855" i="1"/>
  <c r="BI856" i="1" a="1"/>
  <c r="BI856" i="1"/>
  <c r="BI857" i="1" a="1"/>
  <c r="BI857" i="1"/>
  <c r="BI858" i="1" a="1"/>
  <c r="BI858" i="1"/>
  <c r="BI859" i="1" a="1"/>
  <c r="BI859" i="1"/>
  <c r="BI860" i="1" a="1"/>
  <c r="BI860" i="1"/>
  <c r="BI861" i="1" a="1"/>
  <c r="BI861" i="1"/>
  <c r="BI862" i="1" a="1"/>
  <c r="BI862" i="1"/>
  <c r="BI863" i="1" a="1"/>
  <c r="BI863" i="1"/>
  <c r="BI864" i="1" a="1"/>
  <c r="BI864" i="1"/>
  <c r="BI865" i="1" a="1"/>
  <c r="BI865" i="1"/>
  <c r="BI866" i="1" a="1"/>
  <c r="BI866" i="1"/>
  <c r="BI867" i="1" a="1"/>
  <c r="BI867" i="1"/>
  <c r="BI868" i="1" a="1"/>
  <c r="BI868" i="1"/>
  <c r="BI869" i="1" a="1"/>
  <c r="BI869" i="1"/>
  <c r="BI870" i="1" a="1"/>
  <c r="BI870" i="1"/>
  <c r="BI871" i="1" a="1"/>
  <c r="BI871" i="1"/>
  <c r="BI872" i="1" a="1"/>
  <c r="BI872" i="1"/>
  <c r="BI873" i="1" a="1"/>
  <c r="BI873" i="1"/>
  <c r="BI874" i="1" a="1"/>
  <c r="BI874" i="1"/>
  <c r="BI875" i="1" a="1"/>
  <c r="BI875" i="1"/>
  <c r="BI876" i="1" a="1"/>
  <c r="BI876" i="1"/>
  <c r="BI877" i="1" a="1"/>
  <c r="BI877" i="1"/>
  <c r="BI878" i="1" a="1"/>
  <c r="BI878" i="1"/>
  <c r="BI879" i="1" a="1"/>
  <c r="BI879" i="1"/>
  <c r="BI880" i="1" a="1"/>
  <c r="BI880" i="1"/>
  <c r="BI881" i="1" a="1"/>
  <c r="BI881" i="1"/>
  <c r="BI882" i="1" a="1"/>
  <c r="BI882" i="1"/>
  <c r="BI883" i="1" a="1"/>
  <c r="BI883" i="1"/>
  <c r="BI884" i="1" a="1"/>
  <c r="BI884" i="1"/>
  <c r="BI885" i="1" a="1"/>
  <c r="BI885" i="1"/>
  <c r="BI886" i="1" a="1"/>
  <c r="BI886" i="1"/>
  <c r="BI887" i="1" a="1"/>
  <c r="BI887" i="1"/>
  <c r="BI888" i="1" a="1"/>
  <c r="BI888" i="1"/>
  <c r="BI889" i="1" a="1"/>
  <c r="BI889" i="1"/>
  <c r="BI890" i="1" a="1"/>
  <c r="BI890" i="1"/>
  <c r="BI891" i="1" a="1"/>
  <c r="BI891" i="1"/>
  <c r="BI892" i="1" a="1"/>
  <c r="BI892" i="1"/>
  <c r="BI893" i="1" a="1"/>
  <c r="BI893" i="1"/>
  <c r="BI894" i="1" a="1"/>
  <c r="BI894" i="1"/>
  <c r="BI895" i="1" a="1"/>
  <c r="BI895" i="1"/>
  <c r="BI896" i="1" a="1"/>
  <c r="BI896" i="1"/>
  <c r="BI897" i="1" a="1"/>
  <c r="BI897" i="1"/>
  <c r="BI898" i="1" a="1"/>
  <c r="BI898" i="1"/>
  <c r="BI899" i="1" a="1"/>
  <c r="BI899" i="1"/>
  <c r="BI900" i="1" a="1"/>
  <c r="BI900" i="1"/>
  <c r="BI901" i="1" a="1"/>
  <c r="BI901" i="1"/>
  <c r="BI902" i="1" a="1"/>
  <c r="BI902" i="1"/>
  <c r="BI903" i="1" a="1"/>
  <c r="BI903" i="1"/>
  <c r="BI904" i="1" a="1"/>
  <c r="BI904" i="1"/>
  <c r="BI905" i="1" a="1"/>
  <c r="BI905" i="1"/>
  <c r="BI906" i="1" a="1"/>
  <c r="BI906" i="1"/>
  <c r="BI907" i="1" a="1"/>
  <c r="BI907" i="1"/>
  <c r="BI908" i="1" a="1"/>
  <c r="BI908" i="1"/>
  <c r="BI909" i="1" a="1"/>
  <c r="BI909" i="1"/>
  <c r="BI910" i="1" a="1"/>
  <c r="BI910" i="1"/>
  <c r="BI911" i="1" a="1"/>
  <c r="BI911" i="1"/>
  <c r="BI912" i="1" a="1"/>
  <c r="BI912" i="1"/>
  <c r="BI913" i="1" a="1"/>
  <c r="BI913" i="1"/>
  <c r="BI914" i="1" a="1"/>
  <c r="BI914" i="1"/>
  <c r="BI915" i="1" a="1"/>
  <c r="BI915" i="1"/>
  <c r="BI916" i="1" a="1"/>
  <c r="BI916" i="1"/>
  <c r="BI917" i="1" a="1"/>
  <c r="BI917" i="1"/>
  <c r="BI918" i="1" a="1"/>
  <c r="BI918" i="1"/>
  <c r="BI919" i="1" a="1"/>
  <c r="BI919" i="1"/>
  <c r="BI920" i="1" a="1"/>
  <c r="BI920" i="1"/>
  <c r="BI921" i="1" a="1"/>
  <c r="BI921" i="1"/>
  <c r="BI922" i="1" a="1"/>
  <c r="BI922" i="1"/>
  <c r="BI923" i="1" a="1"/>
  <c r="BI923" i="1"/>
  <c r="BI924" i="1" a="1"/>
  <c r="BI924" i="1"/>
  <c r="BI925" i="1" a="1"/>
  <c r="BI925" i="1"/>
  <c r="BI926" i="1" a="1"/>
  <c r="BI926" i="1"/>
  <c r="BI927" i="1" a="1"/>
  <c r="BI927" i="1"/>
  <c r="BI928" i="1" a="1"/>
  <c r="BI928" i="1"/>
  <c r="BI929" i="1" a="1"/>
  <c r="BI929" i="1"/>
  <c r="BI930" i="1" a="1"/>
  <c r="BI930" i="1"/>
  <c r="BI931" i="1" a="1"/>
  <c r="BI931" i="1"/>
  <c r="BI932" i="1" a="1"/>
  <c r="BI932" i="1"/>
  <c r="BI933" i="1" a="1"/>
  <c r="BI933" i="1"/>
  <c r="BI934" i="1" a="1"/>
  <c r="BI934" i="1"/>
  <c r="BI935" i="1" a="1"/>
  <c r="BI935" i="1"/>
  <c r="BI936" i="1" a="1"/>
  <c r="BI936" i="1"/>
  <c r="BI937" i="1" a="1"/>
  <c r="BI937" i="1"/>
  <c r="BI938" i="1" a="1"/>
  <c r="BI938" i="1"/>
  <c r="BI939" i="1" a="1"/>
  <c r="BI939" i="1"/>
  <c r="BI940" i="1" a="1"/>
  <c r="BI940" i="1"/>
  <c r="BI941" i="1" a="1"/>
  <c r="BI941" i="1"/>
  <c r="BI942" i="1" a="1"/>
  <c r="BI942" i="1"/>
  <c r="BI943" i="1" a="1"/>
  <c r="BI943" i="1"/>
  <c r="BI944" i="1" a="1"/>
  <c r="BI944" i="1"/>
  <c r="BI945" i="1" a="1"/>
  <c r="BI945" i="1"/>
  <c r="BI946" i="1" a="1"/>
  <c r="BI946" i="1"/>
  <c r="BI947" i="1" a="1"/>
  <c r="BI947" i="1"/>
  <c r="BI948" i="1" a="1"/>
  <c r="BI948" i="1"/>
  <c r="BI949" i="1" a="1"/>
  <c r="BI949" i="1"/>
  <c r="BI950" i="1" a="1"/>
  <c r="BI950" i="1"/>
  <c r="BI951" i="1" a="1"/>
  <c r="BI951" i="1"/>
  <c r="BI952" i="1" a="1"/>
  <c r="BI952" i="1"/>
  <c r="BI953" i="1" a="1"/>
  <c r="BI953" i="1"/>
  <c r="BI954" i="1" a="1"/>
  <c r="BI954" i="1"/>
  <c r="BI955" i="1" a="1"/>
  <c r="BI955" i="1"/>
  <c r="BI956" i="1" a="1"/>
  <c r="BI956" i="1"/>
  <c r="BI957" i="1" a="1"/>
  <c r="BI957" i="1"/>
  <c r="BI958" i="1" a="1"/>
  <c r="BI958" i="1"/>
  <c r="BI959" i="1" a="1"/>
  <c r="BI959" i="1"/>
  <c r="BI960" i="1" a="1"/>
  <c r="BI960" i="1"/>
  <c r="BI961" i="1" a="1"/>
  <c r="BI961" i="1"/>
  <c r="BI962" i="1" a="1"/>
  <c r="BI962" i="1"/>
  <c r="BI963" i="1" a="1"/>
  <c r="BI963" i="1"/>
  <c r="BI964" i="1" a="1"/>
  <c r="BI964" i="1"/>
  <c r="BI965" i="1" a="1"/>
  <c r="BI965" i="1"/>
  <c r="BI966" i="1" a="1"/>
  <c r="BI966" i="1"/>
  <c r="BI967" i="1" a="1"/>
  <c r="BI967" i="1"/>
  <c r="BI968" i="1" a="1"/>
  <c r="BI968" i="1"/>
  <c r="BI969" i="1" a="1"/>
  <c r="BI969" i="1"/>
  <c r="BI970" i="1" a="1"/>
  <c r="BI970" i="1"/>
  <c r="BI971" i="1" a="1"/>
  <c r="BI971" i="1"/>
  <c r="BI972" i="1" a="1"/>
  <c r="BI972" i="1"/>
  <c r="BI973" i="1" a="1"/>
  <c r="BI973" i="1"/>
  <c r="BI974" i="1" a="1"/>
  <c r="BI974" i="1"/>
  <c r="BI975" i="1" a="1"/>
  <c r="BI975" i="1"/>
  <c r="BI976" i="1" a="1"/>
  <c r="BI976" i="1"/>
  <c r="BI977" i="1" a="1"/>
  <c r="BI977" i="1"/>
  <c r="BI978" i="1" a="1"/>
  <c r="BI978" i="1"/>
  <c r="BI979" i="1" a="1"/>
  <c r="BI979" i="1"/>
  <c r="BI980" i="1" a="1"/>
  <c r="BI980" i="1"/>
  <c r="BI981" i="1" a="1"/>
  <c r="BI981" i="1"/>
  <c r="BI982" i="1" a="1"/>
  <c r="BI982" i="1"/>
  <c r="BI983" i="1" a="1"/>
  <c r="BI983" i="1"/>
  <c r="BI984" i="1" a="1"/>
  <c r="BI984" i="1"/>
  <c r="BI985" i="1" a="1"/>
  <c r="BI985" i="1"/>
  <c r="BI986" i="1" a="1"/>
  <c r="BI986" i="1"/>
  <c r="BI987" i="1" a="1"/>
  <c r="BI987" i="1"/>
  <c r="BI988" i="1" a="1"/>
  <c r="BI988" i="1"/>
  <c r="BI989" i="1" a="1"/>
  <c r="BI989" i="1"/>
  <c r="BI990" i="1" a="1"/>
  <c r="BI990" i="1"/>
  <c r="BI991" i="1" a="1"/>
  <c r="BI991" i="1"/>
  <c r="BI992" i="1" a="1"/>
  <c r="BI992" i="1"/>
  <c r="BI993" i="1" a="1"/>
  <c r="BI993" i="1"/>
  <c r="BI994" i="1" a="1"/>
  <c r="BI994" i="1"/>
  <c r="BI995" i="1" a="1"/>
  <c r="BI995" i="1"/>
  <c r="BI996" i="1" a="1"/>
  <c r="BI996" i="1"/>
  <c r="BI997" i="1" a="1"/>
  <c r="BI997" i="1"/>
  <c r="BI998" i="1" a="1"/>
  <c r="BI998" i="1"/>
  <c r="BI999" i="1" a="1"/>
  <c r="BI999" i="1"/>
  <c r="BI1000" i="1" a="1"/>
  <c r="BI1000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6" i="1"/>
  <c r="BB5" i="1"/>
  <c r="BB4" i="1"/>
  <c r="BB3" i="1"/>
  <c r="BB2" i="1"/>
  <c r="K2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BD2" i="1"/>
  <c r="BD3" i="1"/>
  <c r="BD4" i="1"/>
  <c r="BF4" i="1" s="1"/>
  <c r="BD5" i="1"/>
  <c r="BD6" i="1"/>
  <c r="BD7" i="1"/>
  <c r="BD8" i="1"/>
  <c r="BD9" i="1"/>
  <c r="BD10" i="1"/>
  <c r="BD11" i="1"/>
  <c r="BD12" i="1"/>
  <c r="BF12" i="1" s="1"/>
  <c r="BD13" i="1"/>
  <c r="BF13" i="1" s="1"/>
  <c r="BD14" i="1"/>
  <c r="BD15" i="1"/>
  <c r="BD16" i="1"/>
  <c r="BD17" i="1"/>
  <c r="BD18" i="1"/>
  <c r="BD19" i="1"/>
  <c r="BD20" i="1"/>
  <c r="BD21" i="1"/>
  <c r="BD22" i="1"/>
  <c r="BD23" i="1"/>
  <c r="BD24" i="1"/>
  <c r="BF24" i="1" s="1"/>
  <c r="BD25" i="1"/>
  <c r="BF25" i="1" s="1"/>
  <c r="BD26" i="1"/>
  <c r="BD27" i="1"/>
  <c r="BD28" i="1"/>
  <c r="BD29" i="1"/>
  <c r="BD30" i="1"/>
  <c r="BD31" i="1"/>
  <c r="BD32" i="1"/>
  <c r="BD33" i="1"/>
  <c r="BD34" i="1"/>
  <c r="BD35" i="1"/>
  <c r="BD36" i="1"/>
  <c r="BF36" i="1" s="1"/>
  <c r="BD37" i="1"/>
  <c r="BF37" i="1" s="1"/>
  <c r="BD38" i="1"/>
  <c r="BD39" i="1"/>
  <c r="BD40" i="1"/>
  <c r="BD41" i="1"/>
  <c r="BD42" i="1"/>
  <c r="BD43" i="1"/>
  <c r="BD44" i="1"/>
  <c r="BD45" i="1"/>
  <c r="BD46" i="1"/>
  <c r="BD47" i="1"/>
  <c r="BD48" i="1"/>
  <c r="BF48" i="1" s="1"/>
  <c r="BD49" i="1"/>
  <c r="BF49" i="1" s="1"/>
  <c r="BD50" i="1"/>
  <c r="BD51" i="1"/>
  <c r="BD52" i="1"/>
  <c r="BD53" i="1"/>
  <c r="BD54" i="1"/>
  <c r="BD55" i="1"/>
  <c r="BD56" i="1"/>
  <c r="BD57" i="1"/>
  <c r="BD58" i="1"/>
  <c r="BD59" i="1"/>
  <c r="BD60" i="1"/>
  <c r="BF60" i="1" s="1"/>
  <c r="BD61" i="1"/>
  <c r="BF61" i="1" s="1"/>
  <c r="BD62" i="1"/>
  <c r="BD63" i="1"/>
  <c r="BD64" i="1"/>
  <c r="BD65" i="1"/>
  <c r="BD66" i="1"/>
  <c r="BD67" i="1"/>
  <c r="BD68" i="1"/>
  <c r="BD69" i="1"/>
  <c r="BD70" i="1"/>
  <c r="BD71" i="1"/>
  <c r="BD72" i="1"/>
  <c r="BF72" i="1" s="1"/>
  <c r="BD73" i="1"/>
  <c r="BF73" i="1" s="1"/>
  <c r="BD74" i="1"/>
  <c r="BD75" i="1"/>
  <c r="BD76" i="1"/>
  <c r="BD77" i="1"/>
  <c r="BD78" i="1"/>
  <c r="BD79" i="1"/>
  <c r="BD80" i="1"/>
  <c r="BD81" i="1"/>
  <c r="BD82" i="1"/>
  <c r="BD83" i="1"/>
  <c r="BD84" i="1"/>
  <c r="BF84" i="1" s="1"/>
  <c r="BD85" i="1"/>
  <c r="BF85" i="1" s="1"/>
  <c r="BD86" i="1"/>
  <c r="BD87" i="1"/>
  <c r="BD88" i="1"/>
  <c r="BD89" i="1"/>
  <c r="BD90" i="1"/>
  <c r="BD91" i="1"/>
  <c r="BD92" i="1"/>
  <c r="BD93" i="1"/>
  <c r="BD94" i="1"/>
  <c r="BD95" i="1"/>
  <c r="BD96" i="1"/>
  <c r="BF96" i="1" s="1"/>
  <c r="BD97" i="1"/>
  <c r="BF97" i="1" s="1"/>
  <c r="BD98" i="1"/>
  <c r="BD99" i="1"/>
  <c r="BD100" i="1"/>
  <c r="BD101" i="1"/>
  <c r="BD102" i="1"/>
  <c r="BD103" i="1"/>
  <c r="BD104" i="1"/>
  <c r="BD105" i="1"/>
  <c r="BD106" i="1"/>
  <c r="BD107" i="1"/>
  <c r="BD108" i="1"/>
  <c r="BF108" i="1" s="1"/>
  <c r="BD109" i="1"/>
  <c r="BF109" i="1" s="1"/>
  <c r="BD110" i="1"/>
  <c r="BD111" i="1"/>
  <c r="BD112" i="1"/>
  <c r="BD113" i="1"/>
  <c r="BD114" i="1"/>
  <c r="BD115" i="1"/>
  <c r="BD116" i="1"/>
  <c r="BD117" i="1"/>
  <c r="BD118" i="1"/>
  <c r="BD119" i="1"/>
  <c r="BD120" i="1"/>
  <c r="BF120" i="1" s="1"/>
  <c r="BD121" i="1"/>
  <c r="BF121" i="1" s="1"/>
  <c r="BD122" i="1"/>
  <c r="BD123" i="1"/>
  <c r="BD124" i="1"/>
  <c r="BD125" i="1"/>
  <c r="BD126" i="1"/>
  <c r="BD127" i="1"/>
  <c r="BD128" i="1"/>
  <c r="BD129" i="1"/>
  <c r="BD130" i="1"/>
  <c r="BD131" i="1"/>
  <c r="BD132" i="1"/>
  <c r="BF132" i="1" s="1"/>
  <c r="BD133" i="1"/>
  <c r="BF133" i="1" s="1"/>
  <c r="BD134" i="1"/>
  <c r="BD135" i="1"/>
  <c r="BD136" i="1"/>
  <c r="BD137" i="1"/>
  <c r="BD138" i="1"/>
  <c r="BD139" i="1"/>
  <c r="BD140" i="1"/>
  <c r="BD141" i="1"/>
  <c r="BD142" i="1"/>
  <c r="BD143" i="1"/>
  <c r="BF143" i="1" s="1"/>
  <c r="BD144" i="1"/>
  <c r="BF144" i="1" s="1"/>
  <c r="BD145" i="1"/>
  <c r="BF145" i="1" s="1"/>
  <c r="BD146" i="1"/>
  <c r="BD147" i="1"/>
  <c r="BD148" i="1"/>
  <c r="BD149" i="1"/>
  <c r="BD150" i="1"/>
  <c r="BD151" i="1"/>
  <c r="BD152" i="1"/>
  <c r="BD153" i="1"/>
  <c r="BD154" i="1"/>
  <c r="BD155" i="1"/>
  <c r="BF155" i="1" s="1"/>
  <c r="BD156" i="1"/>
  <c r="BF156" i="1" s="1"/>
  <c r="BD157" i="1"/>
  <c r="BF157" i="1" s="1"/>
  <c r="BD158" i="1"/>
  <c r="BD159" i="1"/>
  <c r="BD160" i="1"/>
  <c r="BD161" i="1"/>
  <c r="BD162" i="1"/>
  <c r="BD163" i="1"/>
  <c r="BD164" i="1"/>
  <c r="BD165" i="1"/>
  <c r="BD166" i="1"/>
  <c r="BD167" i="1"/>
  <c r="BF167" i="1" s="1"/>
  <c r="BD168" i="1"/>
  <c r="BF168" i="1" s="1"/>
  <c r="BD169" i="1"/>
  <c r="BF169" i="1" s="1"/>
  <c r="BD170" i="1"/>
  <c r="BD171" i="1"/>
  <c r="BD172" i="1"/>
  <c r="BD173" i="1"/>
  <c r="BD174" i="1"/>
  <c r="BD175" i="1"/>
  <c r="BD176" i="1"/>
  <c r="BD177" i="1"/>
  <c r="BD178" i="1"/>
  <c r="BD179" i="1"/>
  <c r="BF179" i="1" s="1"/>
  <c r="BD180" i="1"/>
  <c r="BF180" i="1" s="1"/>
  <c r="BD181" i="1"/>
  <c r="BF181" i="1" s="1"/>
  <c r="BD182" i="1"/>
  <c r="BD183" i="1"/>
  <c r="BD184" i="1"/>
  <c r="BD185" i="1"/>
  <c r="BD186" i="1"/>
  <c r="BD187" i="1"/>
  <c r="BD188" i="1"/>
  <c r="BD189" i="1"/>
  <c r="BD190" i="1"/>
  <c r="BD191" i="1"/>
  <c r="BF191" i="1" s="1"/>
  <c r="BD192" i="1"/>
  <c r="BF192" i="1" s="1"/>
  <c r="BD193" i="1"/>
  <c r="BF193" i="1" s="1"/>
  <c r="BD194" i="1"/>
  <c r="BD195" i="1"/>
  <c r="BD196" i="1"/>
  <c r="BD197" i="1"/>
  <c r="BD198" i="1"/>
  <c r="BD199" i="1"/>
  <c r="BD200" i="1"/>
  <c r="BD201" i="1"/>
  <c r="BD202" i="1"/>
  <c r="BD203" i="1"/>
  <c r="BF203" i="1" s="1"/>
  <c r="BD204" i="1"/>
  <c r="BF204" i="1" s="1"/>
  <c r="BD205" i="1"/>
  <c r="BF205" i="1" s="1"/>
  <c r="BD206" i="1"/>
  <c r="BD207" i="1"/>
  <c r="BD208" i="1"/>
  <c r="BD209" i="1"/>
  <c r="BD210" i="1"/>
  <c r="BD211" i="1"/>
  <c r="BD212" i="1"/>
  <c r="BD213" i="1"/>
  <c r="BD214" i="1"/>
  <c r="BD215" i="1"/>
  <c r="BF215" i="1" s="1"/>
  <c r="BD216" i="1"/>
  <c r="BF216" i="1" s="1"/>
  <c r="BD217" i="1"/>
  <c r="BF217" i="1" s="1"/>
  <c r="BD218" i="1"/>
  <c r="BD219" i="1"/>
  <c r="BD220" i="1"/>
  <c r="BD221" i="1"/>
  <c r="BD222" i="1"/>
  <c r="BD223" i="1"/>
  <c r="BD224" i="1"/>
  <c r="BD225" i="1"/>
  <c r="BD226" i="1"/>
  <c r="BD227" i="1"/>
  <c r="BF227" i="1" s="1"/>
  <c r="BD228" i="1"/>
  <c r="BF228" i="1" s="1"/>
  <c r="BD229" i="1"/>
  <c r="BF229" i="1" s="1"/>
  <c r="BD230" i="1"/>
  <c r="BD231" i="1"/>
  <c r="BD232" i="1"/>
  <c r="BD233" i="1"/>
  <c r="BD234" i="1"/>
  <c r="BD235" i="1"/>
  <c r="BD236" i="1"/>
  <c r="BD237" i="1"/>
  <c r="BD238" i="1"/>
  <c r="BD239" i="1"/>
  <c r="BF239" i="1" s="1"/>
  <c r="BD240" i="1"/>
  <c r="BF240" i="1" s="1"/>
  <c r="BD241" i="1"/>
  <c r="BF241" i="1" s="1"/>
  <c r="BD242" i="1"/>
  <c r="BD243" i="1"/>
  <c r="BD244" i="1"/>
  <c r="BD245" i="1"/>
  <c r="BD246" i="1"/>
  <c r="BD247" i="1"/>
  <c r="BD248" i="1"/>
  <c r="BD249" i="1"/>
  <c r="BD250" i="1"/>
  <c r="BD251" i="1"/>
  <c r="BF251" i="1" s="1"/>
  <c r="BD252" i="1"/>
  <c r="BF252" i="1" s="1"/>
  <c r="BD253" i="1"/>
  <c r="BF253" i="1" s="1"/>
  <c r="BD254" i="1"/>
  <c r="BD255" i="1"/>
  <c r="BD256" i="1"/>
  <c r="BD257" i="1"/>
  <c r="BD258" i="1"/>
  <c r="BD259" i="1"/>
  <c r="BD260" i="1"/>
  <c r="BD261" i="1"/>
  <c r="BD262" i="1"/>
  <c r="BD263" i="1"/>
  <c r="BF263" i="1" s="1"/>
  <c r="BD264" i="1"/>
  <c r="BF264" i="1" s="1"/>
  <c r="BD265" i="1"/>
  <c r="BF265" i="1" s="1"/>
  <c r="BD266" i="1"/>
  <c r="BD267" i="1"/>
  <c r="BD268" i="1"/>
  <c r="BD269" i="1"/>
  <c r="BD270" i="1"/>
  <c r="BD271" i="1"/>
  <c r="BD272" i="1"/>
  <c r="BD273" i="1"/>
  <c r="BD274" i="1"/>
  <c r="BD275" i="1"/>
  <c r="BF275" i="1" s="1"/>
  <c r="BD276" i="1"/>
  <c r="BF276" i="1" s="1"/>
  <c r="BD277" i="1"/>
  <c r="BF277" i="1" s="1"/>
  <c r="BD278" i="1"/>
  <c r="BD279" i="1"/>
  <c r="BD280" i="1"/>
  <c r="BD281" i="1"/>
  <c r="BD282" i="1"/>
  <c r="BD283" i="1"/>
  <c r="BD284" i="1"/>
  <c r="BD285" i="1"/>
  <c r="BD286" i="1"/>
  <c r="BD287" i="1"/>
  <c r="BF287" i="1" s="1"/>
  <c r="BD288" i="1"/>
  <c r="BF288" i="1" s="1"/>
  <c r="BD289" i="1"/>
  <c r="BF289" i="1" s="1"/>
  <c r="BD290" i="1"/>
  <c r="BD291" i="1"/>
  <c r="BD292" i="1"/>
  <c r="BD293" i="1"/>
  <c r="BD294" i="1"/>
  <c r="BD295" i="1"/>
  <c r="BD296" i="1"/>
  <c r="BD297" i="1"/>
  <c r="BD298" i="1"/>
  <c r="BD299" i="1"/>
  <c r="BF299" i="1" s="1"/>
  <c r="BD300" i="1"/>
  <c r="BF300" i="1" s="1"/>
  <c r="BG300" i="1" s="1"/>
  <c r="BD301" i="1"/>
  <c r="BF301" i="1" s="1"/>
  <c r="BD302" i="1"/>
  <c r="BD303" i="1"/>
  <c r="BD304" i="1"/>
  <c r="BD305" i="1"/>
  <c r="BD306" i="1"/>
  <c r="BD307" i="1"/>
  <c r="BD308" i="1"/>
  <c r="BD309" i="1"/>
  <c r="BD310" i="1"/>
  <c r="BD311" i="1"/>
  <c r="BF311" i="1" s="1"/>
  <c r="BD312" i="1"/>
  <c r="BF312" i="1" s="1"/>
  <c r="BG312" i="1" s="1"/>
  <c r="BD313" i="1"/>
  <c r="BF313" i="1" s="1"/>
  <c r="BD314" i="1"/>
  <c r="BD315" i="1"/>
  <c r="BD316" i="1"/>
  <c r="BD317" i="1"/>
  <c r="BD318" i="1"/>
  <c r="BD319" i="1"/>
  <c r="BD320" i="1"/>
  <c r="BD321" i="1"/>
  <c r="BD322" i="1"/>
  <c r="BD323" i="1"/>
  <c r="BF323" i="1" s="1"/>
  <c r="BD324" i="1"/>
  <c r="BF324" i="1" s="1"/>
  <c r="BG324" i="1" s="1"/>
  <c r="BD325" i="1"/>
  <c r="BF325" i="1" s="1"/>
  <c r="BD326" i="1"/>
  <c r="BD327" i="1"/>
  <c r="BD328" i="1"/>
  <c r="BD329" i="1"/>
  <c r="BD330" i="1"/>
  <c r="BD331" i="1"/>
  <c r="BD332" i="1"/>
  <c r="BD333" i="1"/>
  <c r="BD334" i="1"/>
  <c r="BD335" i="1"/>
  <c r="BF335" i="1" s="1"/>
  <c r="BD336" i="1"/>
  <c r="BF336" i="1" s="1"/>
  <c r="BG336" i="1" s="1"/>
  <c r="BD337" i="1"/>
  <c r="BF337" i="1" s="1"/>
  <c r="BD338" i="1"/>
  <c r="BD339" i="1"/>
  <c r="BD340" i="1"/>
  <c r="BD341" i="1"/>
  <c r="BD342" i="1"/>
  <c r="BD343" i="1"/>
  <c r="BD344" i="1"/>
  <c r="BD345" i="1"/>
  <c r="BD346" i="1"/>
  <c r="BD347" i="1"/>
  <c r="BD348" i="1"/>
  <c r="BF348" i="1" s="1"/>
  <c r="BG348" i="1" s="1"/>
  <c r="BD349" i="1"/>
  <c r="BF349" i="1" s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F361" i="1" s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F373" i="1" s="1"/>
  <c r="BD374" i="1"/>
  <c r="BD375" i="1"/>
  <c r="BD376" i="1"/>
  <c r="BD377" i="1"/>
  <c r="BD378" i="1"/>
  <c r="BD379" i="1"/>
  <c r="BD380" i="1"/>
  <c r="BD381" i="1"/>
  <c r="BD382" i="1"/>
  <c r="BD383" i="1"/>
  <c r="BF383" i="1" s="1"/>
  <c r="BD384" i="1"/>
  <c r="BF384" i="1" s="1"/>
  <c r="BG384" i="1" s="1"/>
  <c r="BD385" i="1"/>
  <c r="BF385" i="1" s="1"/>
  <c r="BD386" i="1"/>
  <c r="BD387" i="1"/>
  <c r="BD388" i="1"/>
  <c r="BD389" i="1"/>
  <c r="BD390" i="1"/>
  <c r="BD391" i="1"/>
  <c r="BD392" i="1"/>
  <c r="BD393" i="1"/>
  <c r="BD394" i="1"/>
  <c r="BD395" i="1"/>
  <c r="BF395" i="1" s="1"/>
  <c r="BD396" i="1"/>
  <c r="BF396" i="1" s="1"/>
  <c r="BG396" i="1" s="1"/>
  <c r="BD397" i="1"/>
  <c r="BF397" i="1" s="1"/>
  <c r="BD398" i="1"/>
  <c r="BD399" i="1"/>
  <c r="BD400" i="1"/>
  <c r="BD401" i="1"/>
  <c r="BD402" i="1"/>
  <c r="BD403" i="1"/>
  <c r="BD404" i="1"/>
  <c r="BD405" i="1"/>
  <c r="BD406" i="1"/>
  <c r="BD407" i="1"/>
  <c r="BF407" i="1" s="1"/>
  <c r="BD408" i="1"/>
  <c r="BF408" i="1" s="1"/>
  <c r="BG408" i="1" s="1"/>
  <c r="BD409" i="1"/>
  <c r="BF409" i="1" s="1"/>
  <c r="BD410" i="1"/>
  <c r="BD411" i="1"/>
  <c r="BD412" i="1"/>
  <c r="BD413" i="1"/>
  <c r="BD414" i="1"/>
  <c r="BD415" i="1"/>
  <c r="BD416" i="1"/>
  <c r="BD417" i="1"/>
  <c r="BD418" i="1"/>
  <c r="BD419" i="1"/>
  <c r="BF419" i="1" s="1"/>
  <c r="BD420" i="1"/>
  <c r="BF420" i="1" s="1"/>
  <c r="BG420" i="1" s="1"/>
  <c r="BD421" i="1"/>
  <c r="BF421" i="1" s="1"/>
  <c r="BD422" i="1"/>
  <c r="BD423" i="1"/>
  <c r="BD424" i="1"/>
  <c r="BD425" i="1"/>
  <c r="BD426" i="1"/>
  <c r="BD427" i="1"/>
  <c r="BD428" i="1"/>
  <c r="BD429" i="1"/>
  <c r="BD430" i="1"/>
  <c r="BD431" i="1"/>
  <c r="BF431" i="1" s="1"/>
  <c r="BD432" i="1"/>
  <c r="BF432" i="1" s="1"/>
  <c r="BG432" i="1" s="1"/>
  <c r="BD433" i="1"/>
  <c r="BF433" i="1" s="1"/>
  <c r="BG433" i="1" s="1"/>
  <c r="BD434" i="1"/>
  <c r="BD435" i="1"/>
  <c r="BD436" i="1"/>
  <c r="BD437" i="1"/>
  <c r="BD438" i="1"/>
  <c r="BD439" i="1"/>
  <c r="BD440" i="1"/>
  <c r="BD441" i="1"/>
  <c r="BD442" i="1"/>
  <c r="BD443" i="1"/>
  <c r="BF443" i="1" s="1"/>
  <c r="BD444" i="1"/>
  <c r="BF444" i="1" s="1"/>
  <c r="BG444" i="1" s="1"/>
  <c r="BD445" i="1"/>
  <c r="BF445" i="1" s="1"/>
  <c r="BD446" i="1"/>
  <c r="BD447" i="1"/>
  <c r="BD448" i="1"/>
  <c r="BD449" i="1"/>
  <c r="BD450" i="1"/>
  <c r="BD451" i="1"/>
  <c r="BD452" i="1"/>
  <c r="BD453" i="1"/>
  <c r="BD454" i="1"/>
  <c r="BD455" i="1"/>
  <c r="BF455" i="1" s="1"/>
  <c r="BD456" i="1"/>
  <c r="BF456" i="1" s="1"/>
  <c r="BG456" i="1" s="1"/>
  <c r="BD457" i="1"/>
  <c r="BF457" i="1" s="1"/>
  <c r="BD458" i="1"/>
  <c r="BD459" i="1"/>
  <c r="BD460" i="1"/>
  <c r="BD461" i="1"/>
  <c r="BD462" i="1"/>
  <c r="BD463" i="1"/>
  <c r="BD464" i="1"/>
  <c r="BD465" i="1"/>
  <c r="BD466" i="1"/>
  <c r="BD467" i="1"/>
  <c r="BF467" i="1" s="1"/>
  <c r="BD468" i="1"/>
  <c r="BF468" i="1" s="1"/>
  <c r="BG468" i="1" s="1"/>
  <c r="BD469" i="1"/>
  <c r="BF469" i="1" s="1"/>
  <c r="BG469" i="1" s="1"/>
  <c r="BD470" i="1"/>
  <c r="BD471" i="1"/>
  <c r="BD472" i="1"/>
  <c r="BD473" i="1"/>
  <c r="BD474" i="1"/>
  <c r="BD475" i="1"/>
  <c r="BD476" i="1"/>
  <c r="BD477" i="1"/>
  <c r="BD478" i="1"/>
  <c r="BD479" i="1"/>
  <c r="BF479" i="1" s="1"/>
  <c r="BD480" i="1"/>
  <c r="BF480" i="1" s="1"/>
  <c r="BG480" i="1" s="1"/>
  <c r="BD481" i="1"/>
  <c r="BF481" i="1" s="1"/>
  <c r="BD482" i="1"/>
  <c r="BD483" i="1"/>
  <c r="BD484" i="1"/>
  <c r="BD485" i="1"/>
  <c r="BD486" i="1"/>
  <c r="BD487" i="1"/>
  <c r="BD488" i="1"/>
  <c r="BD489" i="1"/>
  <c r="BD490" i="1"/>
  <c r="BD491" i="1"/>
  <c r="BD492" i="1"/>
  <c r="BF492" i="1" s="1"/>
  <c r="BG492" i="1" s="1"/>
  <c r="BD493" i="1"/>
  <c r="BF493" i="1" s="1"/>
  <c r="BG493" i="1" s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F505" i="1" s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F517" i="1" s="1"/>
  <c r="BG517" i="1" s="1"/>
  <c r="BD518" i="1"/>
  <c r="BD519" i="1"/>
  <c r="BD520" i="1"/>
  <c r="BD521" i="1"/>
  <c r="BD522" i="1"/>
  <c r="BD523" i="1"/>
  <c r="BD524" i="1"/>
  <c r="BD525" i="1"/>
  <c r="BD526" i="1"/>
  <c r="BD527" i="1"/>
  <c r="BF527" i="1" s="1"/>
  <c r="BD528" i="1"/>
  <c r="BF528" i="1" s="1"/>
  <c r="BG528" i="1" s="1"/>
  <c r="BD529" i="1"/>
  <c r="BF529" i="1" s="1"/>
  <c r="BD530" i="1"/>
  <c r="BD531" i="1"/>
  <c r="BD532" i="1"/>
  <c r="BD533" i="1"/>
  <c r="BD534" i="1"/>
  <c r="BD535" i="1"/>
  <c r="BD536" i="1"/>
  <c r="BD537" i="1"/>
  <c r="BD538" i="1"/>
  <c r="BD539" i="1"/>
  <c r="BF539" i="1" s="1"/>
  <c r="BD540" i="1"/>
  <c r="BF540" i="1" s="1"/>
  <c r="BG540" i="1" s="1"/>
  <c r="BD541" i="1"/>
  <c r="BF541" i="1" s="1"/>
  <c r="BG541" i="1" s="1"/>
  <c r="BD542" i="1"/>
  <c r="BD543" i="1"/>
  <c r="BD544" i="1"/>
  <c r="BD545" i="1"/>
  <c r="BD546" i="1"/>
  <c r="BD547" i="1"/>
  <c r="BD548" i="1"/>
  <c r="BD549" i="1"/>
  <c r="BD550" i="1"/>
  <c r="BD551" i="1"/>
  <c r="BF551" i="1" s="1"/>
  <c r="BD552" i="1"/>
  <c r="BF552" i="1" s="1"/>
  <c r="BG552" i="1" s="1"/>
  <c r="BD553" i="1"/>
  <c r="BF553" i="1" s="1"/>
  <c r="BD554" i="1"/>
  <c r="BD555" i="1"/>
  <c r="BD556" i="1"/>
  <c r="BD557" i="1"/>
  <c r="BD558" i="1"/>
  <c r="BD559" i="1"/>
  <c r="BD560" i="1"/>
  <c r="BD561" i="1"/>
  <c r="BD562" i="1"/>
  <c r="BD563" i="1"/>
  <c r="BF563" i="1" s="1"/>
  <c r="BD564" i="1"/>
  <c r="BF564" i="1" s="1"/>
  <c r="BG564" i="1" s="1"/>
  <c r="BD565" i="1"/>
  <c r="BF565" i="1" s="1"/>
  <c r="BG565" i="1" s="1"/>
  <c r="BD566" i="1"/>
  <c r="BD567" i="1"/>
  <c r="BD568" i="1"/>
  <c r="BD569" i="1"/>
  <c r="BD570" i="1"/>
  <c r="BD571" i="1"/>
  <c r="BD572" i="1"/>
  <c r="BD573" i="1"/>
  <c r="BD574" i="1"/>
  <c r="BD575" i="1"/>
  <c r="BF575" i="1" s="1"/>
  <c r="BD576" i="1"/>
  <c r="BF576" i="1" s="1"/>
  <c r="BG576" i="1" s="1"/>
  <c r="BD577" i="1"/>
  <c r="BF577" i="1" s="1"/>
  <c r="BD578" i="1"/>
  <c r="BD579" i="1"/>
  <c r="BD580" i="1"/>
  <c r="BD581" i="1"/>
  <c r="BD582" i="1"/>
  <c r="BD583" i="1"/>
  <c r="BD584" i="1"/>
  <c r="BD585" i="1"/>
  <c r="BD586" i="1"/>
  <c r="BD587" i="1"/>
  <c r="BF587" i="1" s="1"/>
  <c r="BD588" i="1"/>
  <c r="BF588" i="1" s="1"/>
  <c r="BG588" i="1" s="1"/>
  <c r="BD589" i="1"/>
  <c r="BF589" i="1" s="1"/>
  <c r="BG589" i="1" s="1"/>
  <c r="BD590" i="1"/>
  <c r="BD591" i="1"/>
  <c r="BD592" i="1"/>
  <c r="BD593" i="1"/>
  <c r="BD594" i="1"/>
  <c r="BD595" i="1"/>
  <c r="BD596" i="1"/>
  <c r="BD597" i="1"/>
  <c r="BD598" i="1"/>
  <c r="BD599" i="1"/>
  <c r="BF599" i="1" s="1"/>
  <c r="BD600" i="1"/>
  <c r="BF600" i="1" s="1"/>
  <c r="BG600" i="1" s="1"/>
  <c r="BD601" i="1"/>
  <c r="BF601" i="1" s="1"/>
  <c r="BD602" i="1"/>
  <c r="BD603" i="1"/>
  <c r="BD604" i="1"/>
  <c r="BD605" i="1"/>
  <c r="BD606" i="1"/>
  <c r="BD607" i="1"/>
  <c r="BD608" i="1"/>
  <c r="BD609" i="1"/>
  <c r="BF609" i="1" s="1"/>
  <c r="BD610" i="1"/>
  <c r="BD611" i="1"/>
  <c r="BF611" i="1" s="1"/>
  <c r="BD612" i="1"/>
  <c r="BF612" i="1" s="1"/>
  <c r="BG612" i="1" s="1"/>
  <c r="BD613" i="1"/>
  <c r="BF613" i="1" s="1"/>
  <c r="BG613" i="1" s="1"/>
  <c r="BD614" i="1"/>
  <c r="BD615" i="1"/>
  <c r="BD616" i="1"/>
  <c r="BD617" i="1"/>
  <c r="BD618" i="1"/>
  <c r="BD619" i="1"/>
  <c r="BD620" i="1"/>
  <c r="BD621" i="1"/>
  <c r="BF621" i="1" s="1"/>
  <c r="BD622" i="1"/>
  <c r="BD623" i="1"/>
  <c r="BD624" i="1"/>
  <c r="BD625" i="1"/>
  <c r="BF625" i="1" s="1"/>
  <c r="BD626" i="1"/>
  <c r="BD627" i="1"/>
  <c r="BD628" i="1"/>
  <c r="BD629" i="1"/>
  <c r="BD630" i="1"/>
  <c r="BD631" i="1"/>
  <c r="BD632" i="1"/>
  <c r="BD633" i="1"/>
  <c r="BF633" i="1" s="1"/>
  <c r="BD634" i="1"/>
  <c r="BD635" i="1"/>
  <c r="BF635" i="1" s="1"/>
  <c r="BD636" i="1"/>
  <c r="BF636" i="1" s="1"/>
  <c r="BG636" i="1" s="1"/>
  <c r="BD637" i="1"/>
  <c r="BF637" i="1" s="1"/>
  <c r="BG637" i="1" s="1"/>
  <c r="BD638" i="1"/>
  <c r="BD639" i="1"/>
  <c r="BD640" i="1"/>
  <c r="BD641" i="1"/>
  <c r="BD642" i="1"/>
  <c r="BD643" i="1"/>
  <c r="BD644" i="1"/>
  <c r="BD645" i="1"/>
  <c r="BF645" i="1" s="1"/>
  <c r="BD646" i="1"/>
  <c r="BD647" i="1"/>
  <c r="BF647" i="1" s="1"/>
  <c r="BD648" i="1"/>
  <c r="BF648" i="1" s="1"/>
  <c r="BG648" i="1" s="1"/>
  <c r="BD649" i="1"/>
  <c r="BF649" i="1" s="1"/>
  <c r="BD650" i="1"/>
  <c r="BD651" i="1"/>
  <c r="BD652" i="1"/>
  <c r="BD653" i="1"/>
  <c r="BD654" i="1"/>
  <c r="BD655" i="1"/>
  <c r="BD656" i="1"/>
  <c r="BD657" i="1"/>
  <c r="BF657" i="1" s="1"/>
  <c r="BD658" i="1"/>
  <c r="BD659" i="1"/>
  <c r="BF659" i="1" s="1"/>
  <c r="BD660" i="1"/>
  <c r="BF660" i="1" s="1"/>
  <c r="BG660" i="1" s="1"/>
  <c r="BD661" i="1"/>
  <c r="BF661" i="1" s="1"/>
  <c r="BG661" i="1" s="1"/>
  <c r="BD662" i="1"/>
  <c r="BD663" i="1"/>
  <c r="BD664" i="1"/>
  <c r="BD665" i="1"/>
  <c r="BD666" i="1"/>
  <c r="BD667" i="1"/>
  <c r="BD668" i="1"/>
  <c r="BD669" i="1"/>
  <c r="BF669" i="1" s="1"/>
  <c r="BD670" i="1"/>
  <c r="BD671" i="1"/>
  <c r="BF671" i="1" s="1"/>
  <c r="BD672" i="1"/>
  <c r="BF672" i="1" s="1"/>
  <c r="BG672" i="1" s="1"/>
  <c r="BD673" i="1"/>
  <c r="BF673" i="1" s="1"/>
  <c r="BD674" i="1"/>
  <c r="BD675" i="1"/>
  <c r="BD676" i="1"/>
  <c r="BD677" i="1"/>
  <c r="BD678" i="1"/>
  <c r="BD679" i="1"/>
  <c r="BD680" i="1"/>
  <c r="BD681" i="1"/>
  <c r="BF681" i="1" s="1"/>
  <c r="BD682" i="1"/>
  <c r="BD683" i="1"/>
  <c r="BF683" i="1" s="1"/>
  <c r="BD684" i="1"/>
  <c r="BF684" i="1" s="1"/>
  <c r="BG684" i="1" s="1"/>
  <c r="BD685" i="1"/>
  <c r="BF685" i="1" s="1"/>
  <c r="BG685" i="1" s="1"/>
  <c r="BD686" i="1"/>
  <c r="BD687" i="1"/>
  <c r="BD688" i="1"/>
  <c r="BD689" i="1"/>
  <c r="BD690" i="1"/>
  <c r="BD691" i="1"/>
  <c r="BD692" i="1"/>
  <c r="BD693" i="1"/>
  <c r="BF693" i="1" s="1"/>
  <c r="BD694" i="1"/>
  <c r="BD695" i="1"/>
  <c r="BD696" i="1"/>
  <c r="BD697" i="1"/>
  <c r="BF697" i="1" s="1"/>
  <c r="BD698" i="1"/>
  <c r="BD699" i="1"/>
  <c r="BD700" i="1"/>
  <c r="BD701" i="1"/>
  <c r="BD702" i="1"/>
  <c r="BD703" i="1"/>
  <c r="BD704" i="1"/>
  <c r="BD705" i="1"/>
  <c r="BF705" i="1" s="1"/>
  <c r="BD706" i="1"/>
  <c r="BD707" i="1"/>
  <c r="BF707" i="1" s="1"/>
  <c r="BD708" i="1"/>
  <c r="BF708" i="1" s="1"/>
  <c r="BG708" i="1" s="1"/>
  <c r="BD709" i="1"/>
  <c r="BF709" i="1" s="1"/>
  <c r="BG709" i="1" s="1"/>
  <c r="BD710" i="1"/>
  <c r="BD711" i="1"/>
  <c r="BD712" i="1"/>
  <c r="BD713" i="1"/>
  <c r="BD714" i="1"/>
  <c r="BD715" i="1"/>
  <c r="BD716" i="1"/>
  <c r="BD717" i="1"/>
  <c r="BF717" i="1" s="1"/>
  <c r="BD718" i="1"/>
  <c r="BD719" i="1"/>
  <c r="BF719" i="1" s="1"/>
  <c r="BD720" i="1"/>
  <c r="BF720" i="1" s="1"/>
  <c r="BG720" i="1" s="1"/>
  <c r="BD721" i="1"/>
  <c r="BF721" i="1" s="1"/>
  <c r="BD722" i="1"/>
  <c r="BD723" i="1"/>
  <c r="BD724" i="1"/>
  <c r="BD725" i="1"/>
  <c r="BD726" i="1"/>
  <c r="BD727" i="1"/>
  <c r="BD728" i="1"/>
  <c r="BD729" i="1"/>
  <c r="BF729" i="1" s="1"/>
  <c r="BD730" i="1"/>
  <c r="BD731" i="1"/>
  <c r="BF731" i="1" s="1"/>
  <c r="BD732" i="1"/>
  <c r="BF732" i="1" s="1"/>
  <c r="BG732" i="1" s="1"/>
  <c r="BD733" i="1"/>
  <c r="BF733" i="1" s="1"/>
  <c r="BG733" i="1" s="1"/>
  <c r="BD734" i="1"/>
  <c r="BD735" i="1"/>
  <c r="BD736" i="1"/>
  <c r="BD737" i="1"/>
  <c r="BD738" i="1"/>
  <c r="BD739" i="1"/>
  <c r="BD740" i="1"/>
  <c r="BD741" i="1"/>
  <c r="BF741" i="1" s="1"/>
  <c r="BD742" i="1"/>
  <c r="BD743" i="1"/>
  <c r="BF743" i="1" s="1"/>
  <c r="BD744" i="1"/>
  <c r="BF744" i="1" s="1"/>
  <c r="BG744" i="1" s="1"/>
  <c r="BD745" i="1"/>
  <c r="BF745" i="1" s="1"/>
  <c r="BD746" i="1"/>
  <c r="BD747" i="1"/>
  <c r="BD748" i="1"/>
  <c r="BD749" i="1"/>
  <c r="BD750" i="1"/>
  <c r="BD751" i="1"/>
  <c r="BD752" i="1"/>
  <c r="BD753" i="1"/>
  <c r="BF753" i="1" s="1"/>
  <c r="BD754" i="1"/>
  <c r="BD755" i="1"/>
  <c r="BF755" i="1" s="1"/>
  <c r="BD756" i="1"/>
  <c r="BF756" i="1" s="1"/>
  <c r="BG756" i="1" s="1"/>
  <c r="BD757" i="1"/>
  <c r="BF757" i="1" s="1"/>
  <c r="BG757" i="1" s="1"/>
  <c r="BD758" i="1"/>
  <c r="BD759" i="1"/>
  <c r="BD760" i="1"/>
  <c r="BD761" i="1"/>
  <c r="BD762" i="1"/>
  <c r="BD763" i="1"/>
  <c r="BD764" i="1"/>
  <c r="BD765" i="1"/>
  <c r="BF765" i="1" s="1"/>
  <c r="BD766" i="1"/>
  <c r="BD767" i="1"/>
  <c r="BD768" i="1"/>
  <c r="BD769" i="1"/>
  <c r="BF769" i="1" s="1"/>
  <c r="BD770" i="1"/>
  <c r="BD771" i="1"/>
  <c r="BD772" i="1"/>
  <c r="BD773" i="1"/>
  <c r="BD774" i="1"/>
  <c r="BD775" i="1"/>
  <c r="BD776" i="1"/>
  <c r="BD777" i="1"/>
  <c r="BF777" i="1" s="1"/>
  <c r="BD778" i="1"/>
  <c r="BD779" i="1"/>
  <c r="BF779" i="1" s="1"/>
  <c r="BD780" i="1"/>
  <c r="BF780" i="1" s="1"/>
  <c r="BG780" i="1" s="1"/>
  <c r="BD781" i="1"/>
  <c r="BF781" i="1" s="1"/>
  <c r="BG781" i="1" s="1"/>
  <c r="BD782" i="1"/>
  <c r="BD783" i="1"/>
  <c r="BD784" i="1"/>
  <c r="BD785" i="1"/>
  <c r="BD786" i="1"/>
  <c r="BD787" i="1"/>
  <c r="BD788" i="1"/>
  <c r="BD789" i="1"/>
  <c r="BF789" i="1" s="1"/>
  <c r="BD790" i="1"/>
  <c r="BD791" i="1"/>
  <c r="BF791" i="1" s="1"/>
  <c r="BD792" i="1"/>
  <c r="BF792" i="1" s="1"/>
  <c r="BG792" i="1" s="1"/>
  <c r="BD793" i="1"/>
  <c r="BF793" i="1" s="1"/>
  <c r="BD794" i="1"/>
  <c r="BD795" i="1"/>
  <c r="BD796" i="1"/>
  <c r="BD797" i="1"/>
  <c r="BD798" i="1"/>
  <c r="BD799" i="1"/>
  <c r="BD800" i="1"/>
  <c r="BD801" i="1"/>
  <c r="BF801" i="1" s="1"/>
  <c r="BD802" i="1"/>
  <c r="BD803" i="1"/>
  <c r="BF803" i="1" s="1"/>
  <c r="BD804" i="1"/>
  <c r="BF804" i="1" s="1"/>
  <c r="BG804" i="1" s="1"/>
  <c r="BD805" i="1"/>
  <c r="BF805" i="1" s="1"/>
  <c r="BD806" i="1"/>
  <c r="BD807" i="1"/>
  <c r="BD808" i="1"/>
  <c r="BD809" i="1"/>
  <c r="BD810" i="1"/>
  <c r="BD811" i="1"/>
  <c r="BD812" i="1"/>
  <c r="BD813" i="1"/>
  <c r="BF813" i="1" s="1"/>
  <c r="BD814" i="1"/>
  <c r="BD815" i="1"/>
  <c r="BF815" i="1" s="1"/>
  <c r="BD816" i="1"/>
  <c r="BF816" i="1" s="1"/>
  <c r="BG816" i="1" s="1"/>
  <c r="BD817" i="1"/>
  <c r="BF817" i="1" s="1"/>
  <c r="BD818" i="1"/>
  <c r="BD819" i="1"/>
  <c r="BD820" i="1"/>
  <c r="BD821" i="1"/>
  <c r="BD822" i="1"/>
  <c r="BD823" i="1"/>
  <c r="BD824" i="1"/>
  <c r="BD825" i="1"/>
  <c r="BF825" i="1" s="1"/>
  <c r="BD826" i="1"/>
  <c r="BD827" i="1"/>
  <c r="BF827" i="1" s="1"/>
  <c r="BD828" i="1"/>
  <c r="BF828" i="1" s="1"/>
  <c r="BG828" i="1" s="1"/>
  <c r="BD829" i="1"/>
  <c r="BF829" i="1" s="1"/>
  <c r="BG829" i="1" s="1"/>
  <c r="BD830" i="1"/>
  <c r="BD831" i="1"/>
  <c r="BD832" i="1"/>
  <c r="BD833" i="1"/>
  <c r="BD834" i="1"/>
  <c r="BD835" i="1"/>
  <c r="BD836" i="1"/>
  <c r="BD837" i="1"/>
  <c r="BF837" i="1" s="1"/>
  <c r="BD838" i="1"/>
  <c r="BD839" i="1"/>
  <c r="BD840" i="1"/>
  <c r="BD841" i="1"/>
  <c r="BF841" i="1" s="1"/>
  <c r="BD842" i="1"/>
  <c r="BD843" i="1"/>
  <c r="BD844" i="1"/>
  <c r="BD845" i="1"/>
  <c r="BD846" i="1"/>
  <c r="BD847" i="1"/>
  <c r="BD848" i="1"/>
  <c r="BD849" i="1"/>
  <c r="BF849" i="1" s="1"/>
  <c r="BD850" i="1"/>
  <c r="BD851" i="1"/>
  <c r="BF851" i="1" s="1"/>
  <c r="BD852" i="1"/>
  <c r="BF852" i="1" s="1"/>
  <c r="BG852" i="1" s="1"/>
  <c r="BD853" i="1"/>
  <c r="BF853" i="1" s="1"/>
  <c r="BG853" i="1" s="1"/>
  <c r="BD854" i="1"/>
  <c r="BD855" i="1"/>
  <c r="BD856" i="1"/>
  <c r="BD857" i="1"/>
  <c r="BD858" i="1"/>
  <c r="BD859" i="1"/>
  <c r="BD860" i="1"/>
  <c r="BD861" i="1"/>
  <c r="BF861" i="1" s="1"/>
  <c r="BD862" i="1"/>
  <c r="BD863" i="1"/>
  <c r="BF863" i="1" s="1"/>
  <c r="BD864" i="1"/>
  <c r="BF864" i="1" s="1"/>
  <c r="BG864" i="1" s="1"/>
  <c r="BD865" i="1"/>
  <c r="BF865" i="1" s="1"/>
  <c r="BD866" i="1"/>
  <c r="BD867" i="1"/>
  <c r="BD868" i="1"/>
  <c r="BD869" i="1"/>
  <c r="BD870" i="1"/>
  <c r="BD871" i="1"/>
  <c r="BD872" i="1"/>
  <c r="BD873" i="1"/>
  <c r="BF873" i="1" s="1"/>
  <c r="BD874" i="1"/>
  <c r="BD875" i="1"/>
  <c r="BF875" i="1" s="1"/>
  <c r="BD876" i="1"/>
  <c r="BF876" i="1" s="1"/>
  <c r="BG876" i="1" s="1"/>
  <c r="BD877" i="1"/>
  <c r="BF877" i="1" s="1"/>
  <c r="BG877" i="1" s="1"/>
  <c r="BD878" i="1"/>
  <c r="BD879" i="1"/>
  <c r="BD880" i="1"/>
  <c r="BD881" i="1"/>
  <c r="BD882" i="1"/>
  <c r="BD883" i="1"/>
  <c r="BD884" i="1"/>
  <c r="BD885" i="1"/>
  <c r="BF885" i="1" s="1"/>
  <c r="BD886" i="1"/>
  <c r="BD887" i="1"/>
  <c r="BF887" i="1" s="1"/>
  <c r="BD888" i="1"/>
  <c r="BF888" i="1" s="1"/>
  <c r="BG888" i="1" s="1"/>
  <c r="BD889" i="1"/>
  <c r="BF889" i="1" s="1"/>
  <c r="BD890" i="1"/>
  <c r="BD891" i="1"/>
  <c r="BD892" i="1"/>
  <c r="BD893" i="1"/>
  <c r="BD894" i="1"/>
  <c r="BD895" i="1"/>
  <c r="BD896" i="1"/>
  <c r="BD897" i="1"/>
  <c r="BF897" i="1" s="1"/>
  <c r="BD898" i="1"/>
  <c r="BD899" i="1"/>
  <c r="BF899" i="1" s="1"/>
  <c r="BD900" i="1"/>
  <c r="BF900" i="1" s="1"/>
  <c r="BG900" i="1" s="1"/>
  <c r="BD901" i="1"/>
  <c r="BF901" i="1" s="1"/>
  <c r="BG901" i="1" s="1"/>
  <c r="BD902" i="1"/>
  <c r="BD903" i="1"/>
  <c r="BD904" i="1"/>
  <c r="BD905" i="1"/>
  <c r="BD906" i="1"/>
  <c r="BD907" i="1"/>
  <c r="BD908" i="1"/>
  <c r="BD909" i="1"/>
  <c r="BF909" i="1" s="1"/>
  <c r="BD910" i="1"/>
  <c r="BD911" i="1"/>
  <c r="BD912" i="1"/>
  <c r="BD913" i="1"/>
  <c r="BF913" i="1" s="1"/>
  <c r="BD914" i="1"/>
  <c r="BD915" i="1"/>
  <c r="BD916" i="1"/>
  <c r="BD917" i="1"/>
  <c r="BD918" i="1"/>
  <c r="BD919" i="1"/>
  <c r="BD920" i="1"/>
  <c r="BD921" i="1"/>
  <c r="BF921" i="1" s="1"/>
  <c r="BD922" i="1"/>
  <c r="BD923" i="1"/>
  <c r="BF923" i="1" s="1"/>
  <c r="BD924" i="1"/>
  <c r="BF924" i="1" s="1"/>
  <c r="BG924" i="1" s="1"/>
  <c r="BD925" i="1"/>
  <c r="BF925" i="1" s="1"/>
  <c r="BG925" i="1" s="1"/>
  <c r="BD926" i="1"/>
  <c r="BD927" i="1"/>
  <c r="BD928" i="1"/>
  <c r="BD929" i="1"/>
  <c r="BD930" i="1"/>
  <c r="BD931" i="1"/>
  <c r="BD932" i="1"/>
  <c r="BD933" i="1"/>
  <c r="BF933" i="1" s="1"/>
  <c r="BD934" i="1"/>
  <c r="BD935" i="1"/>
  <c r="BF935" i="1" s="1"/>
  <c r="BD936" i="1"/>
  <c r="BF936" i="1" s="1"/>
  <c r="BG936" i="1" s="1"/>
  <c r="BD937" i="1"/>
  <c r="BF937" i="1" s="1"/>
  <c r="BD938" i="1"/>
  <c r="BD939" i="1"/>
  <c r="BD940" i="1"/>
  <c r="BD941" i="1"/>
  <c r="BD942" i="1"/>
  <c r="BD943" i="1"/>
  <c r="BD944" i="1"/>
  <c r="BD945" i="1"/>
  <c r="BF945" i="1" s="1"/>
  <c r="BD946" i="1"/>
  <c r="BD947" i="1"/>
  <c r="BF947" i="1" s="1"/>
  <c r="BD948" i="1"/>
  <c r="BF948" i="1" s="1"/>
  <c r="BG948" i="1" s="1"/>
  <c r="BD949" i="1"/>
  <c r="BF949" i="1" s="1"/>
  <c r="BG949" i="1" s="1"/>
  <c r="BD950" i="1"/>
  <c r="BD951" i="1"/>
  <c r="BD952" i="1"/>
  <c r="BD953" i="1"/>
  <c r="BD954" i="1"/>
  <c r="BD955" i="1"/>
  <c r="BD956" i="1"/>
  <c r="BD957" i="1"/>
  <c r="BF957" i="1" s="1"/>
  <c r="BD958" i="1"/>
  <c r="BD959" i="1"/>
  <c r="BF959" i="1" s="1"/>
  <c r="BD960" i="1"/>
  <c r="BF960" i="1" s="1"/>
  <c r="BG960" i="1" s="1"/>
  <c r="BD961" i="1"/>
  <c r="BF961" i="1" s="1"/>
  <c r="BD962" i="1"/>
  <c r="BD963" i="1"/>
  <c r="BD964" i="1"/>
  <c r="BD965" i="1"/>
  <c r="BD966" i="1"/>
  <c r="BD967" i="1"/>
  <c r="BD968" i="1"/>
  <c r="BD969" i="1"/>
  <c r="BF969" i="1" s="1"/>
  <c r="BD970" i="1"/>
  <c r="BD971" i="1"/>
  <c r="BF971" i="1" s="1"/>
  <c r="BD972" i="1"/>
  <c r="BF972" i="1" s="1"/>
  <c r="BG972" i="1" s="1"/>
  <c r="BD973" i="1"/>
  <c r="BF973" i="1" s="1"/>
  <c r="BG973" i="1" s="1"/>
  <c r="BD974" i="1"/>
  <c r="BD975" i="1"/>
  <c r="BD976" i="1"/>
  <c r="BD977" i="1"/>
  <c r="BD978" i="1"/>
  <c r="BD979" i="1"/>
  <c r="BD980" i="1"/>
  <c r="BD981" i="1"/>
  <c r="BF981" i="1" s="1"/>
  <c r="BD982" i="1"/>
  <c r="BD983" i="1"/>
  <c r="BD984" i="1"/>
  <c r="BD985" i="1"/>
  <c r="BF985" i="1" s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F997" i="1" s="1"/>
  <c r="BG997" i="1" s="1"/>
  <c r="BD998" i="1"/>
  <c r="BD999" i="1"/>
  <c r="BD1000" i="1"/>
  <c r="BC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E285" i="1" s="1"/>
  <c r="BG285" i="1" s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E2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604" i="1"/>
  <c r="AI605" i="1"/>
  <c r="AI606" i="1"/>
  <c r="AI607" i="1"/>
  <c r="AI608" i="1"/>
  <c r="AI609" i="1"/>
  <c r="AI610" i="1"/>
  <c r="AI611" i="1"/>
  <c r="AI612" i="1"/>
  <c r="AI613" i="1"/>
  <c r="AI614" i="1"/>
  <c r="AI615" i="1"/>
  <c r="AI616" i="1"/>
  <c r="AI617" i="1"/>
  <c r="AI618" i="1"/>
  <c r="AI619" i="1"/>
  <c r="AI620" i="1"/>
  <c r="AI621" i="1"/>
  <c r="AI622" i="1"/>
  <c r="AI623" i="1"/>
  <c r="AI624" i="1"/>
  <c r="AI625" i="1"/>
  <c r="AI626" i="1"/>
  <c r="AI627" i="1"/>
  <c r="AI628" i="1"/>
  <c r="AI629" i="1"/>
  <c r="AI630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5" i="1"/>
  <c r="AI646" i="1"/>
  <c r="AI647" i="1"/>
  <c r="AI648" i="1"/>
  <c r="AI649" i="1"/>
  <c r="AI650" i="1"/>
  <c r="AI651" i="1"/>
  <c r="AI652" i="1"/>
  <c r="AI653" i="1"/>
  <c r="AI654" i="1"/>
  <c r="AI655" i="1"/>
  <c r="AI656" i="1"/>
  <c r="AI657" i="1"/>
  <c r="AI658" i="1"/>
  <c r="AI659" i="1"/>
  <c r="AI660" i="1"/>
  <c r="AI661" i="1"/>
  <c r="AI662" i="1"/>
  <c r="AI663" i="1"/>
  <c r="AI664" i="1"/>
  <c r="AI665" i="1"/>
  <c r="AI666" i="1"/>
  <c r="AI667" i="1"/>
  <c r="AI668" i="1"/>
  <c r="AI669" i="1"/>
  <c r="AI670" i="1"/>
  <c r="AI671" i="1"/>
  <c r="AI672" i="1"/>
  <c r="AI673" i="1"/>
  <c r="AI674" i="1"/>
  <c r="AI675" i="1"/>
  <c r="AI676" i="1"/>
  <c r="AI677" i="1"/>
  <c r="AI678" i="1"/>
  <c r="AI679" i="1"/>
  <c r="AI680" i="1"/>
  <c r="AI681" i="1"/>
  <c r="AI682" i="1"/>
  <c r="AI683" i="1"/>
  <c r="AI684" i="1"/>
  <c r="AI685" i="1"/>
  <c r="AI686" i="1"/>
  <c r="AI687" i="1"/>
  <c r="AI688" i="1"/>
  <c r="AI689" i="1"/>
  <c r="AI690" i="1"/>
  <c r="AI691" i="1"/>
  <c r="AI692" i="1"/>
  <c r="AI693" i="1"/>
  <c r="AI694" i="1"/>
  <c r="AI695" i="1"/>
  <c r="AI696" i="1"/>
  <c r="AI697" i="1"/>
  <c r="AI698" i="1"/>
  <c r="AI699" i="1"/>
  <c r="AI700" i="1"/>
  <c r="AI701" i="1"/>
  <c r="AI702" i="1"/>
  <c r="AI703" i="1"/>
  <c r="AI704" i="1"/>
  <c r="AI705" i="1"/>
  <c r="AI706" i="1"/>
  <c r="AI707" i="1"/>
  <c r="AI708" i="1"/>
  <c r="AI709" i="1"/>
  <c r="AI710" i="1"/>
  <c r="AI711" i="1"/>
  <c r="AI712" i="1"/>
  <c r="AI713" i="1"/>
  <c r="AI714" i="1"/>
  <c r="AI715" i="1"/>
  <c r="AI716" i="1"/>
  <c r="AI717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8" i="1"/>
  <c r="AI739" i="1"/>
  <c r="AI740" i="1"/>
  <c r="AI741" i="1"/>
  <c r="AI742" i="1"/>
  <c r="AI743" i="1"/>
  <c r="AI744" i="1"/>
  <c r="AI745" i="1"/>
  <c r="AI746" i="1"/>
  <c r="AI747" i="1"/>
  <c r="AI748" i="1"/>
  <c r="AI749" i="1"/>
  <c r="AI750" i="1"/>
  <c r="AI751" i="1"/>
  <c r="AI752" i="1"/>
  <c r="AI753" i="1"/>
  <c r="AI754" i="1"/>
  <c r="AI755" i="1"/>
  <c r="AI756" i="1"/>
  <c r="AI757" i="1"/>
  <c r="AI758" i="1"/>
  <c r="AI759" i="1"/>
  <c r="AI760" i="1"/>
  <c r="AI761" i="1"/>
  <c r="AI762" i="1"/>
  <c r="AI763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7" i="1"/>
  <c r="AI778" i="1"/>
  <c r="AI779" i="1"/>
  <c r="AI780" i="1"/>
  <c r="AI781" i="1"/>
  <c r="AI782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07" i="1"/>
  <c r="AI808" i="1"/>
  <c r="AI809" i="1"/>
  <c r="AI810" i="1"/>
  <c r="AI811" i="1"/>
  <c r="AI812" i="1"/>
  <c r="AI813" i="1"/>
  <c r="AI814" i="1"/>
  <c r="AI815" i="1"/>
  <c r="AI816" i="1"/>
  <c r="AI817" i="1"/>
  <c r="AI818" i="1"/>
  <c r="AI819" i="1"/>
  <c r="AI820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I841" i="1"/>
  <c r="AI842" i="1"/>
  <c r="AI843" i="1"/>
  <c r="AI844" i="1"/>
  <c r="AI845" i="1"/>
  <c r="AI846" i="1"/>
  <c r="AI847" i="1"/>
  <c r="AI848" i="1"/>
  <c r="AI849" i="1"/>
  <c r="AI850" i="1"/>
  <c r="AI851" i="1"/>
  <c r="AI852" i="1"/>
  <c r="AI853" i="1"/>
  <c r="AI854" i="1"/>
  <c r="AI855" i="1"/>
  <c r="AI856" i="1"/>
  <c r="AI857" i="1"/>
  <c r="AI858" i="1"/>
  <c r="AI859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899" i="1"/>
  <c r="AI900" i="1"/>
  <c r="AI901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4" i="1"/>
  <c r="AI915" i="1"/>
  <c r="AI916" i="1"/>
  <c r="AI917" i="1"/>
  <c r="AI918" i="1"/>
  <c r="AI919" i="1"/>
  <c r="AI920" i="1"/>
  <c r="AI921" i="1"/>
  <c r="AI922" i="1"/>
  <c r="AI923" i="1"/>
  <c r="AI924" i="1"/>
  <c r="AI925" i="1"/>
  <c r="AI926" i="1"/>
  <c r="AI927" i="1"/>
  <c r="AI928" i="1"/>
  <c r="AI929" i="1"/>
  <c r="AI930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5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8" i="1"/>
  <c r="AI959" i="1"/>
  <c r="AI960" i="1"/>
  <c r="AI961" i="1"/>
  <c r="AI962" i="1"/>
  <c r="AI963" i="1"/>
  <c r="AI964" i="1"/>
  <c r="AI965" i="1"/>
  <c r="AI966" i="1"/>
  <c r="AI967" i="1"/>
  <c r="AI968" i="1"/>
  <c r="AI969" i="1"/>
  <c r="AI970" i="1"/>
  <c r="AI971" i="1"/>
  <c r="AI972" i="1"/>
  <c r="AI973" i="1"/>
  <c r="AI974" i="1"/>
  <c r="AI975" i="1"/>
  <c r="AI976" i="1"/>
  <c r="AI977" i="1"/>
  <c r="AI978" i="1"/>
  <c r="AI979" i="1"/>
  <c r="AI980" i="1"/>
  <c r="AI981" i="1"/>
  <c r="AI982" i="1"/>
  <c r="AI983" i="1"/>
  <c r="AI984" i="1"/>
  <c r="AI985" i="1"/>
  <c r="AI986" i="1"/>
  <c r="AI987" i="1"/>
  <c r="AI988" i="1"/>
  <c r="AI989" i="1"/>
  <c r="AI990" i="1"/>
  <c r="AI991" i="1"/>
  <c r="AI992" i="1"/>
  <c r="AI993" i="1"/>
  <c r="AI994" i="1"/>
  <c r="AI995" i="1"/>
  <c r="AI996" i="1"/>
  <c r="AI997" i="1"/>
  <c r="AI998" i="1"/>
  <c r="AI999" i="1"/>
  <c r="AI1000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440" i="1"/>
  <c r="AT441" i="1"/>
  <c r="AT442" i="1"/>
  <c r="AT443" i="1"/>
  <c r="AT444" i="1"/>
  <c r="AT445" i="1"/>
  <c r="AT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96" i="1"/>
  <c r="AT497" i="1"/>
  <c r="AT498" i="1"/>
  <c r="AT499" i="1"/>
  <c r="AT500" i="1"/>
  <c r="AT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51" i="1"/>
  <c r="AT552" i="1"/>
  <c r="AT553" i="1"/>
  <c r="AT554" i="1"/>
  <c r="AT555" i="1"/>
  <c r="AT556" i="1"/>
  <c r="AT557" i="1"/>
  <c r="AT558" i="1"/>
  <c r="AT559" i="1"/>
  <c r="AT560" i="1"/>
  <c r="AT561" i="1"/>
  <c r="AT562" i="1"/>
  <c r="AT563" i="1"/>
  <c r="AT564" i="1"/>
  <c r="AT565" i="1"/>
  <c r="AT566" i="1"/>
  <c r="AT567" i="1"/>
  <c r="AT568" i="1"/>
  <c r="AT569" i="1"/>
  <c r="AT570" i="1"/>
  <c r="AT571" i="1"/>
  <c r="AT572" i="1"/>
  <c r="AT573" i="1"/>
  <c r="AT574" i="1"/>
  <c r="AT575" i="1"/>
  <c r="AT576" i="1"/>
  <c r="AT577" i="1"/>
  <c r="AT578" i="1"/>
  <c r="AT579" i="1"/>
  <c r="AT580" i="1"/>
  <c r="AT581" i="1"/>
  <c r="AT582" i="1"/>
  <c r="AT583" i="1"/>
  <c r="AT584" i="1"/>
  <c r="AT585" i="1"/>
  <c r="AT586" i="1"/>
  <c r="AT587" i="1"/>
  <c r="AT588" i="1"/>
  <c r="AT589" i="1"/>
  <c r="AT590" i="1"/>
  <c r="AT591" i="1"/>
  <c r="AT592" i="1"/>
  <c r="AT593" i="1"/>
  <c r="AT594" i="1"/>
  <c r="AT595" i="1"/>
  <c r="AT596" i="1"/>
  <c r="AT597" i="1"/>
  <c r="AT598" i="1"/>
  <c r="AT599" i="1"/>
  <c r="AT600" i="1"/>
  <c r="AT601" i="1"/>
  <c r="AT602" i="1"/>
  <c r="AT603" i="1"/>
  <c r="AT604" i="1"/>
  <c r="AT605" i="1"/>
  <c r="AT606" i="1"/>
  <c r="AT607" i="1"/>
  <c r="AT608" i="1"/>
  <c r="AT609" i="1"/>
  <c r="AT610" i="1"/>
  <c r="AT611" i="1"/>
  <c r="AT612" i="1"/>
  <c r="AT613" i="1"/>
  <c r="AT614" i="1"/>
  <c r="AT615" i="1"/>
  <c r="AT616" i="1"/>
  <c r="AT617" i="1"/>
  <c r="AT618" i="1"/>
  <c r="AT619" i="1"/>
  <c r="AT620" i="1"/>
  <c r="AT621" i="1"/>
  <c r="AT622" i="1"/>
  <c r="AT623" i="1"/>
  <c r="AT624" i="1"/>
  <c r="AT625" i="1"/>
  <c r="AT626" i="1"/>
  <c r="AT627" i="1"/>
  <c r="AT628" i="1"/>
  <c r="AT629" i="1"/>
  <c r="AT630" i="1"/>
  <c r="AT631" i="1"/>
  <c r="AT632" i="1"/>
  <c r="AT633" i="1"/>
  <c r="AT634" i="1"/>
  <c r="AT635" i="1"/>
  <c r="AT636" i="1"/>
  <c r="AT637" i="1"/>
  <c r="AT638" i="1"/>
  <c r="AT639" i="1"/>
  <c r="AT640" i="1"/>
  <c r="AT641" i="1"/>
  <c r="AT642" i="1"/>
  <c r="AT643" i="1"/>
  <c r="AT644" i="1"/>
  <c r="AT645" i="1"/>
  <c r="AT646" i="1"/>
  <c r="AT647" i="1"/>
  <c r="AT648" i="1"/>
  <c r="AT649" i="1"/>
  <c r="AT650" i="1"/>
  <c r="AT651" i="1"/>
  <c r="AT652" i="1"/>
  <c r="AT653" i="1"/>
  <c r="AT654" i="1"/>
  <c r="AT655" i="1"/>
  <c r="AT656" i="1"/>
  <c r="AT657" i="1"/>
  <c r="AT658" i="1"/>
  <c r="AT659" i="1"/>
  <c r="AT660" i="1"/>
  <c r="AT661" i="1"/>
  <c r="AT662" i="1"/>
  <c r="AT663" i="1"/>
  <c r="AT664" i="1"/>
  <c r="AT665" i="1"/>
  <c r="AT666" i="1"/>
  <c r="AT667" i="1"/>
  <c r="AT668" i="1"/>
  <c r="AT669" i="1"/>
  <c r="AT670" i="1"/>
  <c r="AT671" i="1"/>
  <c r="AT672" i="1"/>
  <c r="AT673" i="1"/>
  <c r="AT674" i="1"/>
  <c r="AT675" i="1"/>
  <c r="AT676" i="1"/>
  <c r="AT677" i="1"/>
  <c r="AT678" i="1"/>
  <c r="AT679" i="1"/>
  <c r="AT680" i="1"/>
  <c r="AT681" i="1"/>
  <c r="AT682" i="1"/>
  <c r="AT683" i="1"/>
  <c r="AT684" i="1"/>
  <c r="AT685" i="1"/>
  <c r="AT686" i="1"/>
  <c r="AT687" i="1"/>
  <c r="AT688" i="1"/>
  <c r="AT689" i="1"/>
  <c r="AT690" i="1"/>
  <c r="AT691" i="1"/>
  <c r="AT692" i="1"/>
  <c r="AT693" i="1"/>
  <c r="AT694" i="1"/>
  <c r="AT695" i="1"/>
  <c r="AT696" i="1"/>
  <c r="AT697" i="1"/>
  <c r="AT698" i="1"/>
  <c r="AT699" i="1"/>
  <c r="AT700" i="1"/>
  <c r="AT701" i="1"/>
  <c r="AT702" i="1"/>
  <c r="AT703" i="1"/>
  <c r="AT704" i="1"/>
  <c r="AT705" i="1"/>
  <c r="AT706" i="1"/>
  <c r="AT707" i="1"/>
  <c r="AT708" i="1"/>
  <c r="AT709" i="1"/>
  <c r="AT710" i="1"/>
  <c r="AT711" i="1"/>
  <c r="AT712" i="1"/>
  <c r="AT713" i="1"/>
  <c r="AT714" i="1"/>
  <c r="AT715" i="1"/>
  <c r="AT716" i="1"/>
  <c r="AT717" i="1"/>
  <c r="AT718" i="1"/>
  <c r="AT719" i="1"/>
  <c r="AT720" i="1"/>
  <c r="AT721" i="1"/>
  <c r="AT722" i="1"/>
  <c r="AT723" i="1"/>
  <c r="AT724" i="1"/>
  <c r="AT725" i="1"/>
  <c r="AT726" i="1"/>
  <c r="AT727" i="1"/>
  <c r="AT728" i="1"/>
  <c r="AT729" i="1"/>
  <c r="AT730" i="1"/>
  <c r="AT731" i="1"/>
  <c r="AT732" i="1"/>
  <c r="AT733" i="1"/>
  <c r="AT734" i="1"/>
  <c r="AT735" i="1"/>
  <c r="AT736" i="1"/>
  <c r="AT737" i="1"/>
  <c r="AT738" i="1"/>
  <c r="AT739" i="1"/>
  <c r="AT740" i="1"/>
  <c r="AT741" i="1"/>
  <c r="AT742" i="1"/>
  <c r="AT743" i="1"/>
  <c r="AT744" i="1"/>
  <c r="AT745" i="1"/>
  <c r="AT746" i="1"/>
  <c r="AT747" i="1"/>
  <c r="AT748" i="1"/>
  <c r="AT749" i="1"/>
  <c r="AT750" i="1"/>
  <c r="AT751" i="1"/>
  <c r="AT752" i="1"/>
  <c r="AT753" i="1"/>
  <c r="AT754" i="1"/>
  <c r="AT755" i="1"/>
  <c r="AT756" i="1"/>
  <c r="AT757" i="1"/>
  <c r="AT758" i="1"/>
  <c r="AT759" i="1"/>
  <c r="AT760" i="1"/>
  <c r="AT761" i="1"/>
  <c r="AT762" i="1"/>
  <c r="AT763" i="1"/>
  <c r="AT764" i="1"/>
  <c r="AT765" i="1"/>
  <c r="AT766" i="1"/>
  <c r="AT767" i="1"/>
  <c r="AT768" i="1"/>
  <c r="AT769" i="1"/>
  <c r="AT770" i="1"/>
  <c r="AT771" i="1"/>
  <c r="AT772" i="1"/>
  <c r="AT773" i="1"/>
  <c r="AT774" i="1"/>
  <c r="AT775" i="1"/>
  <c r="AT776" i="1"/>
  <c r="AT777" i="1"/>
  <c r="AT778" i="1"/>
  <c r="AT779" i="1"/>
  <c r="AT780" i="1"/>
  <c r="AT781" i="1"/>
  <c r="AT782" i="1"/>
  <c r="AT783" i="1"/>
  <c r="AT784" i="1"/>
  <c r="AT785" i="1"/>
  <c r="AT786" i="1"/>
  <c r="AT787" i="1"/>
  <c r="AT788" i="1"/>
  <c r="AT789" i="1"/>
  <c r="AT790" i="1"/>
  <c r="AT791" i="1"/>
  <c r="AT792" i="1"/>
  <c r="AT793" i="1"/>
  <c r="AT794" i="1"/>
  <c r="AT795" i="1"/>
  <c r="AT796" i="1"/>
  <c r="AT797" i="1"/>
  <c r="AT798" i="1"/>
  <c r="AT799" i="1"/>
  <c r="AT800" i="1"/>
  <c r="AT801" i="1"/>
  <c r="AT802" i="1"/>
  <c r="AT803" i="1"/>
  <c r="AT804" i="1"/>
  <c r="AT805" i="1"/>
  <c r="AT806" i="1"/>
  <c r="AT807" i="1"/>
  <c r="AT808" i="1"/>
  <c r="AT809" i="1"/>
  <c r="AT810" i="1"/>
  <c r="AT811" i="1"/>
  <c r="AT812" i="1"/>
  <c r="AT813" i="1"/>
  <c r="AT814" i="1"/>
  <c r="AT815" i="1"/>
  <c r="AT816" i="1"/>
  <c r="AT817" i="1"/>
  <c r="AT818" i="1"/>
  <c r="AT819" i="1"/>
  <c r="AT820" i="1"/>
  <c r="AT821" i="1"/>
  <c r="AT822" i="1"/>
  <c r="AT823" i="1"/>
  <c r="AT824" i="1"/>
  <c r="AT825" i="1"/>
  <c r="AT826" i="1"/>
  <c r="AT827" i="1"/>
  <c r="AT828" i="1"/>
  <c r="AT829" i="1"/>
  <c r="AT830" i="1"/>
  <c r="AT831" i="1"/>
  <c r="AT832" i="1"/>
  <c r="AT833" i="1"/>
  <c r="AT834" i="1"/>
  <c r="AT835" i="1"/>
  <c r="AT836" i="1"/>
  <c r="AT837" i="1"/>
  <c r="AT838" i="1"/>
  <c r="AT839" i="1"/>
  <c r="AT840" i="1"/>
  <c r="AT841" i="1"/>
  <c r="AT842" i="1"/>
  <c r="AT843" i="1"/>
  <c r="AT844" i="1"/>
  <c r="AT845" i="1"/>
  <c r="AT846" i="1"/>
  <c r="AT847" i="1"/>
  <c r="AT848" i="1"/>
  <c r="AT849" i="1"/>
  <c r="AT850" i="1"/>
  <c r="AT851" i="1"/>
  <c r="AT852" i="1"/>
  <c r="AT853" i="1"/>
  <c r="AT854" i="1"/>
  <c r="AT855" i="1"/>
  <c r="AT856" i="1"/>
  <c r="AT857" i="1"/>
  <c r="AT858" i="1"/>
  <c r="AT859" i="1"/>
  <c r="AT860" i="1"/>
  <c r="AT861" i="1"/>
  <c r="AT862" i="1"/>
  <c r="AT863" i="1"/>
  <c r="AT864" i="1"/>
  <c r="AT865" i="1"/>
  <c r="AT866" i="1"/>
  <c r="AT867" i="1"/>
  <c r="AT868" i="1"/>
  <c r="AT869" i="1"/>
  <c r="AT870" i="1"/>
  <c r="AT871" i="1"/>
  <c r="AT872" i="1"/>
  <c r="AT873" i="1"/>
  <c r="AT874" i="1"/>
  <c r="AT875" i="1"/>
  <c r="AT876" i="1"/>
  <c r="AT877" i="1"/>
  <c r="AT878" i="1"/>
  <c r="AT879" i="1"/>
  <c r="AT880" i="1"/>
  <c r="AT881" i="1"/>
  <c r="AT882" i="1"/>
  <c r="AT883" i="1"/>
  <c r="AT884" i="1"/>
  <c r="AT885" i="1"/>
  <c r="AT886" i="1"/>
  <c r="AT887" i="1"/>
  <c r="AT888" i="1"/>
  <c r="AT889" i="1"/>
  <c r="AT890" i="1"/>
  <c r="AT891" i="1"/>
  <c r="AT892" i="1"/>
  <c r="AT893" i="1"/>
  <c r="AT894" i="1"/>
  <c r="AT895" i="1"/>
  <c r="AT896" i="1"/>
  <c r="AT897" i="1"/>
  <c r="AT898" i="1"/>
  <c r="AT899" i="1"/>
  <c r="AT900" i="1"/>
  <c r="AT901" i="1"/>
  <c r="AT902" i="1"/>
  <c r="AT903" i="1"/>
  <c r="AT904" i="1"/>
  <c r="AT905" i="1"/>
  <c r="AT906" i="1"/>
  <c r="AT907" i="1"/>
  <c r="AT908" i="1"/>
  <c r="AT909" i="1"/>
  <c r="AT910" i="1"/>
  <c r="AT911" i="1"/>
  <c r="AT912" i="1"/>
  <c r="AT913" i="1"/>
  <c r="AT914" i="1"/>
  <c r="AT915" i="1"/>
  <c r="AT916" i="1"/>
  <c r="AT917" i="1"/>
  <c r="AT918" i="1"/>
  <c r="AT919" i="1"/>
  <c r="AT920" i="1"/>
  <c r="AT921" i="1"/>
  <c r="AT922" i="1"/>
  <c r="AT923" i="1"/>
  <c r="AT924" i="1"/>
  <c r="AT925" i="1"/>
  <c r="AT926" i="1"/>
  <c r="AT927" i="1"/>
  <c r="AT928" i="1"/>
  <c r="AT929" i="1"/>
  <c r="AT930" i="1"/>
  <c r="AT931" i="1"/>
  <c r="AT932" i="1"/>
  <c r="AT933" i="1"/>
  <c r="AT934" i="1"/>
  <c r="AT935" i="1"/>
  <c r="AT936" i="1"/>
  <c r="AT937" i="1"/>
  <c r="AT938" i="1"/>
  <c r="AT939" i="1"/>
  <c r="AT940" i="1"/>
  <c r="AT941" i="1"/>
  <c r="AT942" i="1"/>
  <c r="AT943" i="1"/>
  <c r="AT944" i="1"/>
  <c r="AT945" i="1"/>
  <c r="AT946" i="1"/>
  <c r="AT947" i="1"/>
  <c r="AT948" i="1"/>
  <c r="AT949" i="1"/>
  <c r="AT950" i="1"/>
  <c r="AT951" i="1"/>
  <c r="AT952" i="1"/>
  <c r="AT953" i="1"/>
  <c r="AT954" i="1"/>
  <c r="AT955" i="1"/>
  <c r="AT956" i="1"/>
  <c r="AT957" i="1"/>
  <c r="AT958" i="1"/>
  <c r="AT959" i="1"/>
  <c r="AT960" i="1"/>
  <c r="AT961" i="1"/>
  <c r="AT962" i="1"/>
  <c r="AT963" i="1"/>
  <c r="AT964" i="1"/>
  <c r="AT965" i="1"/>
  <c r="AT966" i="1"/>
  <c r="AT967" i="1"/>
  <c r="AT968" i="1"/>
  <c r="AT969" i="1"/>
  <c r="AT970" i="1"/>
  <c r="AT971" i="1"/>
  <c r="AT972" i="1"/>
  <c r="AT973" i="1"/>
  <c r="AT974" i="1"/>
  <c r="AT975" i="1"/>
  <c r="AT976" i="1"/>
  <c r="AT977" i="1"/>
  <c r="AT978" i="1"/>
  <c r="AT979" i="1"/>
  <c r="AT980" i="1"/>
  <c r="AT981" i="1"/>
  <c r="AT982" i="1"/>
  <c r="AT983" i="1"/>
  <c r="AT984" i="1"/>
  <c r="AT985" i="1"/>
  <c r="AT986" i="1"/>
  <c r="AT987" i="1"/>
  <c r="AT988" i="1"/>
  <c r="AT989" i="1"/>
  <c r="AT990" i="1"/>
  <c r="AT991" i="1"/>
  <c r="AT992" i="1"/>
  <c r="AT993" i="1"/>
  <c r="AT994" i="1"/>
  <c r="AT995" i="1"/>
  <c r="AT996" i="1"/>
  <c r="AT997" i="1"/>
  <c r="AT998" i="1"/>
  <c r="AT999" i="1"/>
  <c r="AT1000" i="1"/>
  <c r="AU282" i="1"/>
  <c r="AU283" i="1"/>
  <c r="AU284" i="1"/>
  <c r="AU285" i="1"/>
  <c r="AU286" i="1"/>
  <c r="AU287" i="1"/>
  <c r="AU288" i="1"/>
  <c r="AU289" i="1"/>
  <c r="AU290" i="1"/>
  <c r="AU291" i="1"/>
  <c r="AU292" i="1"/>
  <c r="AU293" i="1"/>
  <c r="AU294" i="1"/>
  <c r="AU295" i="1"/>
  <c r="AU296" i="1"/>
  <c r="AU297" i="1"/>
  <c r="AU298" i="1"/>
  <c r="AU299" i="1"/>
  <c r="AU300" i="1"/>
  <c r="AU301" i="1"/>
  <c r="AU302" i="1"/>
  <c r="AU303" i="1"/>
  <c r="AU304" i="1"/>
  <c r="AU305" i="1"/>
  <c r="AU306" i="1"/>
  <c r="AU307" i="1"/>
  <c r="AU308" i="1"/>
  <c r="AU309" i="1"/>
  <c r="AU310" i="1"/>
  <c r="AU311" i="1"/>
  <c r="AU312" i="1"/>
  <c r="AU313" i="1"/>
  <c r="AU314" i="1"/>
  <c r="AU315" i="1"/>
  <c r="AU316" i="1"/>
  <c r="AU317" i="1"/>
  <c r="AU318" i="1"/>
  <c r="AU319" i="1"/>
  <c r="AU320" i="1"/>
  <c r="AU321" i="1"/>
  <c r="AU322" i="1"/>
  <c r="AU323" i="1"/>
  <c r="AU324" i="1"/>
  <c r="AU325" i="1"/>
  <c r="AU326" i="1"/>
  <c r="AU327" i="1"/>
  <c r="AU328" i="1"/>
  <c r="AU329" i="1"/>
  <c r="AU330" i="1"/>
  <c r="AU331" i="1"/>
  <c r="AU332" i="1"/>
  <c r="AU333" i="1"/>
  <c r="AU334" i="1"/>
  <c r="AU335" i="1"/>
  <c r="AU336" i="1"/>
  <c r="AU337" i="1"/>
  <c r="AU338" i="1"/>
  <c r="AU339" i="1"/>
  <c r="AU340" i="1"/>
  <c r="AU341" i="1"/>
  <c r="AU342" i="1"/>
  <c r="AU343" i="1"/>
  <c r="AU344" i="1"/>
  <c r="AU345" i="1"/>
  <c r="AU346" i="1"/>
  <c r="AU347" i="1"/>
  <c r="AU348" i="1"/>
  <c r="AU349" i="1"/>
  <c r="AU350" i="1"/>
  <c r="AU351" i="1"/>
  <c r="AU352" i="1"/>
  <c r="AU353" i="1"/>
  <c r="AU354" i="1"/>
  <c r="AU355" i="1"/>
  <c r="AU356" i="1"/>
  <c r="AU357" i="1"/>
  <c r="AU358" i="1"/>
  <c r="AU359" i="1"/>
  <c r="AU360" i="1"/>
  <c r="AU361" i="1"/>
  <c r="AU362" i="1"/>
  <c r="AU363" i="1"/>
  <c r="AU364" i="1"/>
  <c r="AU365" i="1"/>
  <c r="AU366" i="1"/>
  <c r="AU367" i="1"/>
  <c r="AU368" i="1"/>
  <c r="AU369" i="1"/>
  <c r="AU370" i="1"/>
  <c r="AU371" i="1"/>
  <c r="AU372" i="1"/>
  <c r="AU373" i="1"/>
  <c r="AU374" i="1"/>
  <c r="AU375" i="1"/>
  <c r="AU376" i="1"/>
  <c r="AU377" i="1"/>
  <c r="AU378" i="1"/>
  <c r="AU379" i="1"/>
  <c r="AU380" i="1"/>
  <c r="AU381" i="1"/>
  <c r="AU382" i="1"/>
  <c r="AU383" i="1"/>
  <c r="AU384" i="1"/>
  <c r="AU385" i="1"/>
  <c r="AU386" i="1"/>
  <c r="AU387" i="1"/>
  <c r="AU388" i="1"/>
  <c r="AU389" i="1"/>
  <c r="AU390" i="1"/>
  <c r="AU391" i="1"/>
  <c r="AU392" i="1"/>
  <c r="AU393" i="1"/>
  <c r="AU394" i="1"/>
  <c r="AU395" i="1"/>
  <c r="AU396" i="1"/>
  <c r="AU397" i="1"/>
  <c r="AU398" i="1"/>
  <c r="AU399" i="1"/>
  <c r="AU400" i="1"/>
  <c r="AU401" i="1"/>
  <c r="AU402" i="1"/>
  <c r="AU403" i="1"/>
  <c r="AU404" i="1"/>
  <c r="AU405" i="1"/>
  <c r="AU406" i="1"/>
  <c r="AU407" i="1"/>
  <c r="AU408" i="1"/>
  <c r="AU409" i="1"/>
  <c r="AU410" i="1"/>
  <c r="AU411" i="1"/>
  <c r="AU412" i="1"/>
  <c r="AU413" i="1"/>
  <c r="AU414" i="1"/>
  <c r="AU415" i="1"/>
  <c r="AU416" i="1"/>
  <c r="AU417" i="1"/>
  <c r="AU418" i="1"/>
  <c r="AU419" i="1"/>
  <c r="AU420" i="1"/>
  <c r="AU421" i="1"/>
  <c r="AU422" i="1"/>
  <c r="AU423" i="1"/>
  <c r="AU424" i="1"/>
  <c r="AU425" i="1"/>
  <c r="AU426" i="1"/>
  <c r="AU427" i="1"/>
  <c r="AU428" i="1"/>
  <c r="AU429" i="1"/>
  <c r="AU430" i="1"/>
  <c r="AU431" i="1"/>
  <c r="AU432" i="1"/>
  <c r="AU433" i="1"/>
  <c r="AU434" i="1"/>
  <c r="AU435" i="1"/>
  <c r="AU436" i="1"/>
  <c r="AU437" i="1"/>
  <c r="AU438" i="1"/>
  <c r="AU439" i="1"/>
  <c r="AU440" i="1"/>
  <c r="AU441" i="1"/>
  <c r="AU442" i="1"/>
  <c r="AU443" i="1"/>
  <c r="AU444" i="1"/>
  <c r="AU445" i="1"/>
  <c r="AU446" i="1"/>
  <c r="AU447" i="1"/>
  <c r="AU448" i="1"/>
  <c r="AU449" i="1"/>
  <c r="AU450" i="1"/>
  <c r="AU451" i="1"/>
  <c r="AU452" i="1"/>
  <c r="AU453" i="1"/>
  <c r="AU454" i="1"/>
  <c r="AU455" i="1"/>
  <c r="AU456" i="1"/>
  <c r="AU457" i="1"/>
  <c r="AU458" i="1"/>
  <c r="AU459" i="1"/>
  <c r="AU460" i="1"/>
  <c r="AU461" i="1"/>
  <c r="AU462" i="1"/>
  <c r="AU463" i="1"/>
  <c r="AU464" i="1"/>
  <c r="AU465" i="1"/>
  <c r="AU466" i="1"/>
  <c r="AU467" i="1"/>
  <c r="AU468" i="1"/>
  <c r="AU469" i="1"/>
  <c r="AU470" i="1"/>
  <c r="AU471" i="1"/>
  <c r="AU472" i="1"/>
  <c r="AU473" i="1"/>
  <c r="AU474" i="1"/>
  <c r="AU475" i="1"/>
  <c r="AU476" i="1"/>
  <c r="AU477" i="1"/>
  <c r="AU478" i="1"/>
  <c r="AU479" i="1"/>
  <c r="AU480" i="1"/>
  <c r="AU481" i="1"/>
  <c r="AU482" i="1"/>
  <c r="AU483" i="1"/>
  <c r="AU484" i="1"/>
  <c r="AU485" i="1"/>
  <c r="AU486" i="1"/>
  <c r="AU487" i="1"/>
  <c r="AU488" i="1"/>
  <c r="AU489" i="1"/>
  <c r="AU490" i="1"/>
  <c r="AU491" i="1"/>
  <c r="AU492" i="1"/>
  <c r="AU493" i="1"/>
  <c r="AU494" i="1"/>
  <c r="AU495" i="1"/>
  <c r="AU496" i="1"/>
  <c r="AU497" i="1"/>
  <c r="AU498" i="1"/>
  <c r="AU499" i="1"/>
  <c r="AU500" i="1"/>
  <c r="AU501" i="1"/>
  <c r="AU502" i="1"/>
  <c r="AU503" i="1"/>
  <c r="AU504" i="1"/>
  <c r="AU505" i="1"/>
  <c r="AU506" i="1"/>
  <c r="AU507" i="1"/>
  <c r="AU508" i="1"/>
  <c r="AU509" i="1"/>
  <c r="AU510" i="1"/>
  <c r="AU511" i="1"/>
  <c r="AU512" i="1"/>
  <c r="AU513" i="1"/>
  <c r="AU514" i="1"/>
  <c r="AU515" i="1"/>
  <c r="AU516" i="1"/>
  <c r="AU517" i="1"/>
  <c r="AU518" i="1"/>
  <c r="AU519" i="1"/>
  <c r="AU520" i="1"/>
  <c r="AU521" i="1"/>
  <c r="AU522" i="1"/>
  <c r="AU523" i="1"/>
  <c r="AU524" i="1"/>
  <c r="AU525" i="1"/>
  <c r="AU526" i="1"/>
  <c r="AU527" i="1"/>
  <c r="AU528" i="1"/>
  <c r="AU529" i="1"/>
  <c r="AU530" i="1"/>
  <c r="AU531" i="1"/>
  <c r="AU532" i="1"/>
  <c r="AU533" i="1"/>
  <c r="AU534" i="1"/>
  <c r="AU535" i="1"/>
  <c r="AU536" i="1"/>
  <c r="AU537" i="1"/>
  <c r="AU538" i="1"/>
  <c r="AU539" i="1"/>
  <c r="AU540" i="1"/>
  <c r="AU541" i="1"/>
  <c r="AU542" i="1"/>
  <c r="AU543" i="1"/>
  <c r="AU544" i="1"/>
  <c r="AU545" i="1"/>
  <c r="AU546" i="1"/>
  <c r="AU547" i="1"/>
  <c r="AU548" i="1"/>
  <c r="AU549" i="1"/>
  <c r="AU550" i="1"/>
  <c r="AU551" i="1"/>
  <c r="AU552" i="1"/>
  <c r="AU553" i="1"/>
  <c r="AU554" i="1"/>
  <c r="AU555" i="1"/>
  <c r="AU556" i="1"/>
  <c r="AU557" i="1"/>
  <c r="AU558" i="1"/>
  <c r="AU559" i="1"/>
  <c r="AU560" i="1"/>
  <c r="AU561" i="1"/>
  <c r="AU562" i="1"/>
  <c r="AU563" i="1"/>
  <c r="AU564" i="1"/>
  <c r="AU565" i="1"/>
  <c r="AU566" i="1"/>
  <c r="AU567" i="1"/>
  <c r="AU568" i="1"/>
  <c r="AU569" i="1"/>
  <c r="AU570" i="1"/>
  <c r="AU571" i="1"/>
  <c r="AU572" i="1"/>
  <c r="AU573" i="1"/>
  <c r="AU574" i="1"/>
  <c r="AU575" i="1"/>
  <c r="AU576" i="1"/>
  <c r="AU577" i="1"/>
  <c r="AU578" i="1"/>
  <c r="AU579" i="1"/>
  <c r="AU580" i="1"/>
  <c r="AU581" i="1"/>
  <c r="AU582" i="1"/>
  <c r="AU583" i="1"/>
  <c r="AU584" i="1"/>
  <c r="AU585" i="1"/>
  <c r="AU586" i="1"/>
  <c r="AU587" i="1"/>
  <c r="AU588" i="1"/>
  <c r="AU589" i="1"/>
  <c r="AU590" i="1"/>
  <c r="AU591" i="1"/>
  <c r="AU592" i="1"/>
  <c r="AU593" i="1"/>
  <c r="AU594" i="1"/>
  <c r="AU595" i="1"/>
  <c r="AU596" i="1"/>
  <c r="AU597" i="1"/>
  <c r="AU598" i="1"/>
  <c r="AU599" i="1"/>
  <c r="AU600" i="1"/>
  <c r="AU601" i="1"/>
  <c r="AU602" i="1"/>
  <c r="AU603" i="1"/>
  <c r="AU604" i="1"/>
  <c r="AU605" i="1"/>
  <c r="AU606" i="1"/>
  <c r="AU607" i="1"/>
  <c r="AU608" i="1"/>
  <c r="AU609" i="1"/>
  <c r="AU610" i="1"/>
  <c r="AU611" i="1"/>
  <c r="AU612" i="1"/>
  <c r="AU613" i="1"/>
  <c r="AU614" i="1"/>
  <c r="AU615" i="1"/>
  <c r="AU616" i="1"/>
  <c r="AU617" i="1"/>
  <c r="AU618" i="1"/>
  <c r="AU619" i="1"/>
  <c r="AU620" i="1"/>
  <c r="AU621" i="1"/>
  <c r="AU622" i="1"/>
  <c r="AU623" i="1"/>
  <c r="AU624" i="1"/>
  <c r="AU625" i="1"/>
  <c r="AU626" i="1"/>
  <c r="AU627" i="1"/>
  <c r="AU628" i="1"/>
  <c r="AU629" i="1"/>
  <c r="AU630" i="1"/>
  <c r="AU631" i="1"/>
  <c r="AU632" i="1"/>
  <c r="AU633" i="1"/>
  <c r="AU634" i="1"/>
  <c r="AU635" i="1"/>
  <c r="AU636" i="1"/>
  <c r="AU637" i="1"/>
  <c r="AU638" i="1"/>
  <c r="AU639" i="1"/>
  <c r="AU640" i="1"/>
  <c r="AU641" i="1"/>
  <c r="AU642" i="1"/>
  <c r="AU643" i="1"/>
  <c r="AU644" i="1"/>
  <c r="AU645" i="1"/>
  <c r="AU646" i="1"/>
  <c r="AU647" i="1"/>
  <c r="AU648" i="1"/>
  <c r="AU649" i="1"/>
  <c r="AU650" i="1"/>
  <c r="AU651" i="1"/>
  <c r="AU652" i="1"/>
  <c r="AU653" i="1"/>
  <c r="AU654" i="1"/>
  <c r="AU655" i="1"/>
  <c r="AU656" i="1"/>
  <c r="AU657" i="1"/>
  <c r="AU658" i="1"/>
  <c r="AU659" i="1"/>
  <c r="AU660" i="1"/>
  <c r="AU661" i="1"/>
  <c r="AU662" i="1"/>
  <c r="AU663" i="1"/>
  <c r="AU664" i="1"/>
  <c r="AU665" i="1"/>
  <c r="AU666" i="1"/>
  <c r="AU667" i="1"/>
  <c r="AU668" i="1"/>
  <c r="AU669" i="1"/>
  <c r="AU670" i="1"/>
  <c r="AU671" i="1"/>
  <c r="AU672" i="1"/>
  <c r="AU673" i="1"/>
  <c r="AU674" i="1"/>
  <c r="AU675" i="1"/>
  <c r="AU676" i="1"/>
  <c r="AU677" i="1"/>
  <c r="AU678" i="1"/>
  <c r="AU679" i="1"/>
  <c r="AU680" i="1"/>
  <c r="AU681" i="1"/>
  <c r="AU682" i="1"/>
  <c r="AU683" i="1"/>
  <c r="AU684" i="1"/>
  <c r="AU685" i="1"/>
  <c r="AU686" i="1"/>
  <c r="AU687" i="1"/>
  <c r="AU688" i="1"/>
  <c r="AU689" i="1"/>
  <c r="AU690" i="1"/>
  <c r="AU691" i="1"/>
  <c r="AU692" i="1"/>
  <c r="AU693" i="1"/>
  <c r="AU694" i="1"/>
  <c r="AU695" i="1"/>
  <c r="AU696" i="1"/>
  <c r="AU697" i="1"/>
  <c r="AU698" i="1"/>
  <c r="AU699" i="1"/>
  <c r="AU700" i="1"/>
  <c r="AU701" i="1"/>
  <c r="AU702" i="1"/>
  <c r="AU703" i="1"/>
  <c r="AU704" i="1"/>
  <c r="AU705" i="1"/>
  <c r="AU706" i="1"/>
  <c r="AU707" i="1"/>
  <c r="AU708" i="1"/>
  <c r="AU709" i="1"/>
  <c r="AU710" i="1"/>
  <c r="AU711" i="1"/>
  <c r="AU712" i="1"/>
  <c r="AU713" i="1"/>
  <c r="AU714" i="1"/>
  <c r="AU715" i="1"/>
  <c r="AU716" i="1"/>
  <c r="AU717" i="1"/>
  <c r="AU718" i="1"/>
  <c r="AU719" i="1"/>
  <c r="AU720" i="1"/>
  <c r="AU721" i="1"/>
  <c r="AU722" i="1"/>
  <c r="AU723" i="1"/>
  <c r="AU724" i="1"/>
  <c r="AU725" i="1"/>
  <c r="AU726" i="1"/>
  <c r="AU727" i="1"/>
  <c r="AU728" i="1"/>
  <c r="AU729" i="1"/>
  <c r="AU730" i="1"/>
  <c r="AU731" i="1"/>
  <c r="AU732" i="1"/>
  <c r="AU733" i="1"/>
  <c r="AU734" i="1"/>
  <c r="AU735" i="1"/>
  <c r="AU736" i="1"/>
  <c r="AU737" i="1"/>
  <c r="AU738" i="1"/>
  <c r="AU739" i="1"/>
  <c r="AU740" i="1"/>
  <c r="AU741" i="1"/>
  <c r="AU742" i="1"/>
  <c r="AU743" i="1"/>
  <c r="AU744" i="1"/>
  <c r="AU745" i="1"/>
  <c r="AU746" i="1"/>
  <c r="AU747" i="1"/>
  <c r="AU748" i="1"/>
  <c r="AU749" i="1"/>
  <c r="AU750" i="1"/>
  <c r="AU751" i="1"/>
  <c r="AU752" i="1"/>
  <c r="AU753" i="1"/>
  <c r="AU754" i="1"/>
  <c r="AU755" i="1"/>
  <c r="AU756" i="1"/>
  <c r="AU757" i="1"/>
  <c r="AU758" i="1"/>
  <c r="AU759" i="1"/>
  <c r="AU760" i="1"/>
  <c r="AU761" i="1"/>
  <c r="AU762" i="1"/>
  <c r="AU763" i="1"/>
  <c r="AU764" i="1"/>
  <c r="AU765" i="1"/>
  <c r="AU766" i="1"/>
  <c r="AU767" i="1"/>
  <c r="AU768" i="1"/>
  <c r="AU769" i="1"/>
  <c r="AU770" i="1"/>
  <c r="AU771" i="1"/>
  <c r="AU772" i="1"/>
  <c r="AU773" i="1"/>
  <c r="AU774" i="1"/>
  <c r="AU775" i="1"/>
  <c r="AU776" i="1"/>
  <c r="AU777" i="1"/>
  <c r="AU778" i="1"/>
  <c r="AU779" i="1"/>
  <c r="AU780" i="1"/>
  <c r="AU781" i="1"/>
  <c r="AU782" i="1"/>
  <c r="AU783" i="1"/>
  <c r="AU784" i="1"/>
  <c r="AU785" i="1"/>
  <c r="AU786" i="1"/>
  <c r="AU787" i="1"/>
  <c r="AU788" i="1"/>
  <c r="AU789" i="1"/>
  <c r="AU790" i="1"/>
  <c r="AU791" i="1"/>
  <c r="AU792" i="1"/>
  <c r="AU793" i="1"/>
  <c r="AU794" i="1"/>
  <c r="AU795" i="1"/>
  <c r="AU796" i="1"/>
  <c r="AU797" i="1"/>
  <c r="AU798" i="1"/>
  <c r="AU799" i="1"/>
  <c r="AU800" i="1"/>
  <c r="AU801" i="1"/>
  <c r="AU802" i="1"/>
  <c r="AU803" i="1"/>
  <c r="AU804" i="1"/>
  <c r="AU805" i="1"/>
  <c r="AU806" i="1"/>
  <c r="AU807" i="1"/>
  <c r="AU808" i="1"/>
  <c r="AU809" i="1"/>
  <c r="AU810" i="1"/>
  <c r="AU811" i="1"/>
  <c r="AU812" i="1"/>
  <c r="AU813" i="1"/>
  <c r="AU814" i="1"/>
  <c r="AU815" i="1"/>
  <c r="AU816" i="1"/>
  <c r="AU817" i="1"/>
  <c r="AU818" i="1"/>
  <c r="AU819" i="1"/>
  <c r="AU820" i="1"/>
  <c r="AU821" i="1"/>
  <c r="AU822" i="1"/>
  <c r="AU823" i="1"/>
  <c r="AU824" i="1"/>
  <c r="AU825" i="1"/>
  <c r="AU826" i="1"/>
  <c r="AU827" i="1"/>
  <c r="AU828" i="1"/>
  <c r="AU829" i="1"/>
  <c r="AU830" i="1"/>
  <c r="AU831" i="1"/>
  <c r="AU832" i="1"/>
  <c r="AU833" i="1"/>
  <c r="AU834" i="1"/>
  <c r="AU835" i="1"/>
  <c r="AU836" i="1"/>
  <c r="AU837" i="1"/>
  <c r="AU838" i="1"/>
  <c r="AU839" i="1"/>
  <c r="AU840" i="1"/>
  <c r="AU841" i="1"/>
  <c r="AU842" i="1"/>
  <c r="AU843" i="1"/>
  <c r="AU844" i="1"/>
  <c r="AU845" i="1"/>
  <c r="AU846" i="1"/>
  <c r="AU847" i="1"/>
  <c r="AU848" i="1"/>
  <c r="AU849" i="1"/>
  <c r="AU850" i="1"/>
  <c r="AU851" i="1"/>
  <c r="AU852" i="1"/>
  <c r="AU853" i="1"/>
  <c r="AU854" i="1"/>
  <c r="AU855" i="1"/>
  <c r="AU856" i="1"/>
  <c r="AU857" i="1"/>
  <c r="AU858" i="1"/>
  <c r="AU859" i="1"/>
  <c r="AU860" i="1"/>
  <c r="AU861" i="1"/>
  <c r="AU862" i="1"/>
  <c r="AU863" i="1"/>
  <c r="AU864" i="1"/>
  <c r="AU865" i="1"/>
  <c r="AU866" i="1"/>
  <c r="AU867" i="1"/>
  <c r="AU868" i="1"/>
  <c r="AU869" i="1"/>
  <c r="AU870" i="1"/>
  <c r="AU871" i="1"/>
  <c r="AU872" i="1"/>
  <c r="AU873" i="1"/>
  <c r="AU874" i="1"/>
  <c r="AU875" i="1"/>
  <c r="AU876" i="1"/>
  <c r="AU877" i="1"/>
  <c r="AU878" i="1"/>
  <c r="AU879" i="1"/>
  <c r="AU880" i="1"/>
  <c r="AU881" i="1"/>
  <c r="AU882" i="1"/>
  <c r="AU883" i="1"/>
  <c r="AU884" i="1"/>
  <c r="AU885" i="1"/>
  <c r="AU886" i="1"/>
  <c r="AU887" i="1"/>
  <c r="AU888" i="1"/>
  <c r="AU889" i="1"/>
  <c r="AU890" i="1"/>
  <c r="AU891" i="1"/>
  <c r="AU892" i="1"/>
  <c r="AU893" i="1"/>
  <c r="AU894" i="1"/>
  <c r="AU895" i="1"/>
  <c r="AU896" i="1"/>
  <c r="AU897" i="1"/>
  <c r="AU898" i="1"/>
  <c r="AU899" i="1"/>
  <c r="AU900" i="1"/>
  <c r="AU901" i="1"/>
  <c r="AU902" i="1"/>
  <c r="AU903" i="1"/>
  <c r="AU904" i="1"/>
  <c r="AU905" i="1"/>
  <c r="AU906" i="1"/>
  <c r="AU907" i="1"/>
  <c r="AU908" i="1"/>
  <c r="AU909" i="1"/>
  <c r="AU910" i="1"/>
  <c r="AU911" i="1"/>
  <c r="AU912" i="1"/>
  <c r="AU913" i="1"/>
  <c r="AU914" i="1"/>
  <c r="AU915" i="1"/>
  <c r="AU916" i="1"/>
  <c r="AU917" i="1"/>
  <c r="AU918" i="1"/>
  <c r="AU919" i="1"/>
  <c r="AU920" i="1"/>
  <c r="AU921" i="1"/>
  <c r="AU922" i="1"/>
  <c r="AU923" i="1"/>
  <c r="AU924" i="1"/>
  <c r="AU925" i="1"/>
  <c r="AU926" i="1"/>
  <c r="AU927" i="1"/>
  <c r="AU928" i="1"/>
  <c r="AU929" i="1"/>
  <c r="AU930" i="1"/>
  <c r="AU931" i="1"/>
  <c r="AU932" i="1"/>
  <c r="AU933" i="1"/>
  <c r="AU934" i="1"/>
  <c r="AU935" i="1"/>
  <c r="AU936" i="1"/>
  <c r="AU937" i="1"/>
  <c r="AU938" i="1"/>
  <c r="AU939" i="1"/>
  <c r="AU940" i="1"/>
  <c r="AU941" i="1"/>
  <c r="AU942" i="1"/>
  <c r="AU943" i="1"/>
  <c r="AU944" i="1"/>
  <c r="AU945" i="1"/>
  <c r="AU946" i="1"/>
  <c r="AU947" i="1"/>
  <c r="AU948" i="1"/>
  <c r="AU949" i="1"/>
  <c r="AU950" i="1"/>
  <c r="AU951" i="1"/>
  <c r="AU952" i="1"/>
  <c r="AU953" i="1"/>
  <c r="AU954" i="1"/>
  <c r="AU955" i="1"/>
  <c r="AU956" i="1"/>
  <c r="AU957" i="1"/>
  <c r="AU958" i="1"/>
  <c r="AU959" i="1"/>
  <c r="AU960" i="1"/>
  <c r="AU961" i="1"/>
  <c r="AU962" i="1"/>
  <c r="AU963" i="1"/>
  <c r="AU964" i="1"/>
  <c r="AU965" i="1"/>
  <c r="AU966" i="1"/>
  <c r="AU967" i="1"/>
  <c r="AU968" i="1"/>
  <c r="AU969" i="1"/>
  <c r="AU970" i="1"/>
  <c r="AU971" i="1"/>
  <c r="AU972" i="1"/>
  <c r="AU973" i="1"/>
  <c r="AU974" i="1"/>
  <c r="AU975" i="1"/>
  <c r="AU976" i="1"/>
  <c r="AU977" i="1"/>
  <c r="AU978" i="1"/>
  <c r="AU979" i="1"/>
  <c r="AU980" i="1"/>
  <c r="AU981" i="1"/>
  <c r="AU982" i="1"/>
  <c r="AU983" i="1"/>
  <c r="AU984" i="1"/>
  <c r="AU985" i="1"/>
  <c r="AU986" i="1"/>
  <c r="AU987" i="1"/>
  <c r="AU988" i="1"/>
  <c r="AU989" i="1"/>
  <c r="AU990" i="1"/>
  <c r="AU991" i="1"/>
  <c r="AU992" i="1"/>
  <c r="AU993" i="1"/>
  <c r="AU994" i="1"/>
  <c r="AU995" i="1"/>
  <c r="AU996" i="1"/>
  <c r="AU997" i="1"/>
  <c r="AU998" i="1"/>
  <c r="AU999" i="1"/>
  <c r="AU1000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363" i="1"/>
  <c r="AV364" i="1"/>
  <c r="AV365" i="1"/>
  <c r="AV366" i="1"/>
  <c r="AV367" i="1"/>
  <c r="AV368" i="1"/>
  <c r="AV369" i="1"/>
  <c r="AV370" i="1"/>
  <c r="AV371" i="1"/>
  <c r="AV372" i="1"/>
  <c r="AV373" i="1"/>
  <c r="AV374" i="1"/>
  <c r="AV375" i="1"/>
  <c r="AV376" i="1"/>
  <c r="AV377" i="1"/>
  <c r="AV378" i="1"/>
  <c r="AV379" i="1"/>
  <c r="AV380" i="1"/>
  <c r="AV381" i="1"/>
  <c r="AV382" i="1"/>
  <c r="AV383" i="1"/>
  <c r="AV384" i="1"/>
  <c r="AV385" i="1"/>
  <c r="AV386" i="1"/>
  <c r="AV387" i="1"/>
  <c r="AV388" i="1"/>
  <c r="AV389" i="1"/>
  <c r="AV390" i="1"/>
  <c r="AV391" i="1"/>
  <c r="AV392" i="1"/>
  <c r="AV393" i="1"/>
  <c r="AV394" i="1"/>
  <c r="AV395" i="1"/>
  <c r="AV396" i="1"/>
  <c r="AV397" i="1"/>
  <c r="AV398" i="1"/>
  <c r="AV399" i="1"/>
  <c r="AV400" i="1"/>
  <c r="AV401" i="1"/>
  <c r="AV402" i="1"/>
  <c r="AV403" i="1"/>
  <c r="AV404" i="1"/>
  <c r="AV405" i="1"/>
  <c r="AV406" i="1"/>
  <c r="AV407" i="1"/>
  <c r="AV408" i="1"/>
  <c r="AV409" i="1"/>
  <c r="AV410" i="1"/>
  <c r="AV411" i="1"/>
  <c r="AV412" i="1"/>
  <c r="AV413" i="1"/>
  <c r="AV414" i="1"/>
  <c r="AV415" i="1"/>
  <c r="AV416" i="1"/>
  <c r="AV417" i="1"/>
  <c r="AV418" i="1"/>
  <c r="AV419" i="1"/>
  <c r="AV420" i="1"/>
  <c r="AV421" i="1"/>
  <c r="AV422" i="1"/>
  <c r="AV423" i="1"/>
  <c r="AV424" i="1"/>
  <c r="AV425" i="1"/>
  <c r="AV426" i="1"/>
  <c r="AV427" i="1"/>
  <c r="AV428" i="1"/>
  <c r="AV429" i="1"/>
  <c r="AV430" i="1"/>
  <c r="AV431" i="1"/>
  <c r="AV432" i="1"/>
  <c r="AV433" i="1"/>
  <c r="AV434" i="1"/>
  <c r="AV435" i="1"/>
  <c r="AV436" i="1"/>
  <c r="AV437" i="1"/>
  <c r="AV438" i="1"/>
  <c r="AV439" i="1"/>
  <c r="AV440" i="1"/>
  <c r="AV441" i="1"/>
  <c r="AV442" i="1"/>
  <c r="AV443" i="1"/>
  <c r="AV444" i="1"/>
  <c r="AV445" i="1"/>
  <c r="AV446" i="1"/>
  <c r="AV447" i="1"/>
  <c r="AV448" i="1"/>
  <c r="AV449" i="1"/>
  <c r="AV450" i="1"/>
  <c r="AV451" i="1"/>
  <c r="AV452" i="1"/>
  <c r="AV453" i="1"/>
  <c r="AV454" i="1"/>
  <c r="AV455" i="1"/>
  <c r="AV456" i="1"/>
  <c r="AV457" i="1"/>
  <c r="AV458" i="1"/>
  <c r="AV459" i="1"/>
  <c r="AV460" i="1"/>
  <c r="AV461" i="1"/>
  <c r="AV462" i="1"/>
  <c r="AV463" i="1"/>
  <c r="AV464" i="1"/>
  <c r="AV465" i="1"/>
  <c r="AV466" i="1"/>
  <c r="AV467" i="1"/>
  <c r="AV468" i="1"/>
  <c r="AV469" i="1"/>
  <c r="AV470" i="1"/>
  <c r="AV471" i="1"/>
  <c r="AV472" i="1"/>
  <c r="AV473" i="1"/>
  <c r="AV474" i="1"/>
  <c r="AV475" i="1"/>
  <c r="AV476" i="1"/>
  <c r="AV477" i="1"/>
  <c r="AV478" i="1"/>
  <c r="AV479" i="1"/>
  <c r="AV480" i="1"/>
  <c r="AV481" i="1"/>
  <c r="AV482" i="1"/>
  <c r="AV483" i="1"/>
  <c r="AV484" i="1"/>
  <c r="AV485" i="1"/>
  <c r="AV486" i="1"/>
  <c r="AV487" i="1"/>
  <c r="AV488" i="1"/>
  <c r="AV489" i="1"/>
  <c r="AV490" i="1"/>
  <c r="AV491" i="1"/>
  <c r="AV492" i="1"/>
  <c r="AV493" i="1"/>
  <c r="AV494" i="1"/>
  <c r="AV495" i="1"/>
  <c r="AV496" i="1"/>
  <c r="AV497" i="1"/>
  <c r="AV498" i="1"/>
  <c r="AV499" i="1"/>
  <c r="AV500" i="1"/>
  <c r="AV501" i="1"/>
  <c r="AV502" i="1"/>
  <c r="AV503" i="1"/>
  <c r="AV504" i="1"/>
  <c r="AV505" i="1"/>
  <c r="AV506" i="1"/>
  <c r="AV507" i="1"/>
  <c r="AV508" i="1"/>
  <c r="AV509" i="1"/>
  <c r="AV510" i="1"/>
  <c r="AV511" i="1"/>
  <c r="AV512" i="1"/>
  <c r="AV513" i="1"/>
  <c r="AV514" i="1"/>
  <c r="AV515" i="1"/>
  <c r="AV516" i="1"/>
  <c r="AV517" i="1"/>
  <c r="AV518" i="1"/>
  <c r="AV519" i="1"/>
  <c r="AV520" i="1"/>
  <c r="AV521" i="1"/>
  <c r="AV522" i="1"/>
  <c r="AV523" i="1"/>
  <c r="AV524" i="1"/>
  <c r="AV525" i="1"/>
  <c r="AV526" i="1"/>
  <c r="AV527" i="1"/>
  <c r="AV528" i="1"/>
  <c r="AV529" i="1"/>
  <c r="AV530" i="1"/>
  <c r="AV531" i="1"/>
  <c r="AV532" i="1"/>
  <c r="AV533" i="1"/>
  <c r="AV534" i="1"/>
  <c r="AV535" i="1"/>
  <c r="AV536" i="1"/>
  <c r="AV537" i="1"/>
  <c r="AV538" i="1"/>
  <c r="AV539" i="1"/>
  <c r="AV540" i="1"/>
  <c r="AV541" i="1"/>
  <c r="AV542" i="1"/>
  <c r="AV543" i="1"/>
  <c r="AV544" i="1"/>
  <c r="AV545" i="1"/>
  <c r="AV546" i="1"/>
  <c r="AV547" i="1"/>
  <c r="AV548" i="1"/>
  <c r="AV549" i="1"/>
  <c r="AV550" i="1"/>
  <c r="AV551" i="1"/>
  <c r="AV552" i="1"/>
  <c r="AV553" i="1"/>
  <c r="AV554" i="1"/>
  <c r="AV555" i="1"/>
  <c r="AV556" i="1"/>
  <c r="AV557" i="1"/>
  <c r="AV558" i="1"/>
  <c r="AV559" i="1"/>
  <c r="AV560" i="1"/>
  <c r="AV561" i="1"/>
  <c r="AV562" i="1"/>
  <c r="AV563" i="1"/>
  <c r="AV564" i="1"/>
  <c r="AV565" i="1"/>
  <c r="AV566" i="1"/>
  <c r="AV567" i="1"/>
  <c r="AV568" i="1"/>
  <c r="AV569" i="1"/>
  <c r="AV570" i="1"/>
  <c r="AV571" i="1"/>
  <c r="AV572" i="1"/>
  <c r="AV573" i="1"/>
  <c r="AV574" i="1"/>
  <c r="AV575" i="1"/>
  <c r="AV576" i="1"/>
  <c r="AV577" i="1"/>
  <c r="AV578" i="1"/>
  <c r="AV579" i="1"/>
  <c r="AV580" i="1"/>
  <c r="AV581" i="1"/>
  <c r="AV582" i="1"/>
  <c r="AV583" i="1"/>
  <c r="AV584" i="1"/>
  <c r="AV585" i="1"/>
  <c r="AV586" i="1"/>
  <c r="AV587" i="1"/>
  <c r="AV588" i="1"/>
  <c r="AV589" i="1"/>
  <c r="AV590" i="1"/>
  <c r="AV591" i="1"/>
  <c r="AV592" i="1"/>
  <c r="AV593" i="1"/>
  <c r="AV594" i="1"/>
  <c r="AV595" i="1"/>
  <c r="AV596" i="1"/>
  <c r="AV597" i="1"/>
  <c r="AV598" i="1"/>
  <c r="AV599" i="1"/>
  <c r="AV600" i="1"/>
  <c r="AV601" i="1"/>
  <c r="AV602" i="1"/>
  <c r="AV603" i="1"/>
  <c r="AV604" i="1"/>
  <c r="AV605" i="1"/>
  <c r="AV606" i="1"/>
  <c r="AV607" i="1"/>
  <c r="AV608" i="1"/>
  <c r="AV609" i="1"/>
  <c r="AV610" i="1"/>
  <c r="AV611" i="1"/>
  <c r="AV612" i="1"/>
  <c r="AV613" i="1"/>
  <c r="AV614" i="1"/>
  <c r="AV615" i="1"/>
  <c r="AV616" i="1"/>
  <c r="AV617" i="1"/>
  <c r="AV618" i="1"/>
  <c r="AV619" i="1"/>
  <c r="AV620" i="1"/>
  <c r="AV621" i="1"/>
  <c r="AV622" i="1"/>
  <c r="AV623" i="1"/>
  <c r="AV624" i="1"/>
  <c r="AV625" i="1"/>
  <c r="AV626" i="1"/>
  <c r="AV627" i="1"/>
  <c r="AV628" i="1"/>
  <c r="AV629" i="1"/>
  <c r="AV630" i="1"/>
  <c r="AV631" i="1"/>
  <c r="AV632" i="1"/>
  <c r="AV633" i="1"/>
  <c r="AV634" i="1"/>
  <c r="AV635" i="1"/>
  <c r="AV636" i="1"/>
  <c r="AV637" i="1"/>
  <c r="AV638" i="1"/>
  <c r="AV639" i="1"/>
  <c r="AV640" i="1"/>
  <c r="AV641" i="1"/>
  <c r="AV642" i="1"/>
  <c r="AV643" i="1"/>
  <c r="AV644" i="1"/>
  <c r="AV645" i="1"/>
  <c r="AV646" i="1"/>
  <c r="AV647" i="1"/>
  <c r="AV648" i="1"/>
  <c r="AV649" i="1"/>
  <c r="AV650" i="1"/>
  <c r="AV651" i="1"/>
  <c r="AV652" i="1"/>
  <c r="AV653" i="1"/>
  <c r="AV654" i="1"/>
  <c r="AV655" i="1"/>
  <c r="AV656" i="1"/>
  <c r="AV657" i="1"/>
  <c r="AV658" i="1"/>
  <c r="AV659" i="1"/>
  <c r="AV660" i="1"/>
  <c r="AV661" i="1"/>
  <c r="AV662" i="1"/>
  <c r="AV663" i="1"/>
  <c r="AV664" i="1"/>
  <c r="AV665" i="1"/>
  <c r="AV666" i="1"/>
  <c r="AV667" i="1"/>
  <c r="AV668" i="1"/>
  <c r="AV669" i="1"/>
  <c r="AV670" i="1"/>
  <c r="AV671" i="1"/>
  <c r="AV672" i="1"/>
  <c r="AV673" i="1"/>
  <c r="AV674" i="1"/>
  <c r="AV675" i="1"/>
  <c r="AV676" i="1"/>
  <c r="AV677" i="1"/>
  <c r="AV678" i="1"/>
  <c r="AV679" i="1"/>
  <c r="AV680" i="1"/>
  <c r="AV681" i="1"/>
  <c r="AV682" i="1"/>
  <c r="AV683" i="1"/>
  <c r="AV684" i="1"/>
  <c r="AV685" i="1"/>
  <c r="AV686" i="1"/>
  <c r="AV687" i="1"/>
  <c r="AV688" i="1"/>
  <c r="AV689" i="1"/>
  <c r="AV690" i="1"/>
  <c r="AV691" i="1"/>
  <c r="AV692" i="1"/>
  <c r="AV693" i="1"/>
  <c r="AV694" i="1"/>
  <c r="AV695" i="1"/>
  <c r="AV696" i="1"/>
  <c r="AV697" i="1"/>
  <c r="AV698" i="1"/>
  <c r="AV699" i="1"/>
  <c r="AV700" i="1"/>
  <c r="AV701" i="1"/>
  <c r="AV702" i="1"/>
  <c r="AV703" i="1"/>
  <c r="AV704" i="1"/>
  <c r="AV705" i="1"/>
  <c r="AV706" i="1"/>
  <c r="AV707" i="1"/>
  <c r="AV708" i="1"/>
  <c r="AV709" i="1"/>
  <c r="AV710" i="1"/>
  <c r="AV711" i="1"/>
  <c r="AV712" i="1"/>
  <c r="AV713" i="1"/>
  <c r="AV714" i="1"/>
  <c r="AV715" i="1"/>
  <c r="AV716" i="1"/>
  <c r="AV717" i="1"/>
  <c r="AV718" i="1"/>
  <c r="AV719" i="1"/>
  <c r="AV720" i="1"/>
  <c r="AV721" i="1"/>
  <c r="AV722" i="1"/>
  <c r="AV723" i="1"/>
  <c r="AV724" i="1"/>
  <c r="AV725" i="1"/>
  <c r="AV726" i="1"/>
  <c r="AV727" i="1"/>
  <c r="AV728" i="1"/>
  <c r="AV729" i="1"/>
  <c r="AV730" i="1"/>
  <c r="AV731" i="1"/>
  <c r="AV732" i="1"/>
  <c r="AV733" i="1"/>
  <c r="AV734" i="1"/>
  <c r="AV735" i="1"/>
  <c r="AV736" i="1"/>
  <c r="AV737" i="1"/>
  <c r="AV738" i="1"/>
  <c r="AV739" i="1"/>
  <c r="AV740" i="1"/>
  <c r="AV741" i="1"/>
  <c r="AV742" i="1"/>
  <c r="AV743" i="1"/>
  <c r="AV744" i="1"/>
  <c r="AV745" i="1"/>
  <c r="AV746" i="1"/>
  <c r="AV747" i="1"/>
  <c r="AV748" i="1"/>
  <c r="AV749" i="1"/>
  <c r="AV750" i="1"/>
  <c r="AV751" i="1"/>
  <c r="AV752" i="1"/>
  <c r="AV753" i="1"/>
  <c r="AV754" i="1"/>
  <c r="AV755" i="1"/>
  <c r="AV756" i="1"/>
  <c r="AV757" i="1"/>
  <c r="AV758" i="1"/>
  <c r="AV759" i="1"/>
  <c r="AV760" i="1"/>
  <c r="AV761" i="1"/>
  <c r="AV762" i="1"/>
  <c r="AV763" i="1"/>
  <c r="AV764" i="1"/>
  <c r="AV765" i="1"/>
  <c r="AV766" i="1"/>
  <c r="AV767" i="1"/>
  <c r="AV768" i="1"/>
  <c r="AV769" i="1"/>
  <c r="AV770" i="1"/>
  <c r="AV771" i="1"/>
  <c r="AV772" i="1"/>
  <c r="AV773" i="1"/>
  <c r="AV774" i="1"/>
  <c r="AV775" i="1"/>
  <c r="AV776" i="1"/>
  <c r="AV777" i="1"/>
  <c r="AV778" i="1"/>
  <c r="AV779" i="1"/>
  <c r="AV780" i="1"/>
  <c r="AV781" i="1"/>
  <c r="AV782" i="1"/>
  <c r="AV783" i="1"/>
  <c r="AV784" i="1"/>
  <c r="AV785" i="1"/>
  <c r="AV786" i="1"/>
  <c r="AV787" i="1"/>
  <c r="AV788" i="1"/>
  <c r="AV789" i="1"/>
  <c r="AV790" i="1"/>
  <c r="AV791" i="1"/>
  <c r="AV792" i="1"/>
  <c r="AV793" i="1"/>
  <c r="AV794" i="1"/>
  <c r="AV795" i="1"/>
  <c r="AV796" i="1"/>
  <c r="AV797" i="1"/>
  <c r="AV798" i="1"/>
  <c r="AV799" i="1"/>
  <c r="AV800" i="1"/>
  <c r="AV801" i="1"/>
  <c r="AV802" i="1"/>
  <c r="AV803" i="1"/>
  <c r="AV804" i="1"/>
  <c r="AV805" i="1"/>
  <c r="AV806" i="1"/>
  <c r="AV807" i="1"/>
  <c r="AV808" i="1"/>
  <c r="AV809" i="1"/>
  <c r="AV810" i="1"/>
  <c r="AV811" i="1"/>
  <c r="AV812" i="1"/>
  <c r="AV813" i="1"/>
  <c r="AV814" i="1"/>
  <c r="AV815" i="1"/>
  <c r="AV816" i="1"/>
  <c r="AV817" i="1"/>
  <c r="AV818" i="1"/>
  <c r="AV819" i="1"/>
  <c r="AV820" i="1"/>
  <c r="AV821" i="1"/>
  <c r="AV822" i="1"/>
  <c r="AV823" i="1"/>
  <c r="AV824" i="1"/>
  <c r="AV825" i="1"/>
  <c r="AV826" i="1"/>
  <c r="AV827" i="1"/>
  <c r="AV828" i="1"/>
  <c r="AV829" i="1"/>
  <c r="AV830" i="1"/>
  <c r="AV831" i="1"/>
  <c r="AV832" i="1"/>
  <c r="AV833" i="1"/>
  <c r="AV834" i="1"/>
  <c r="AV835" i="1"/>
  <c r="AV836" i="1"/>
  <c r="AV837" i="1"/>
  <c r="AV838" i="1"/>
  <c r="AV839" i="1"/>
  <c r="AV840" i="1"/>
  <c r="AV841" i="1"/>
  <c r="AV842" i="1"/>
  <c r="AV843" i="1"/>
  <c r="AV844" i="1"/>
  <c r="AV845" i="1"/>
  <c r="AV846" i="1"/>
  <c r="AV847" i="1"/>
  <c r="AV848" i="1"/>
  <c r="AV849" i="1"/>
  <c r="AV850" i="1"/>
  <c r="AV851" i="1"/>
  <c r="AV852" i="1"/>
  <c r="AV853" i="1"/>
  <c r="AV854" i="1"/>
  <c r="AV855" i="1"/>
  <c r="AV856" i="1"/>
  <c r="AV857" i="1"/>
  <c r="AV858" i="1"/>
  <c r="AV859" i="1"/>
  <c r="AV860" i="1"/>
  <c r="AV861" i="1"/>
  <c r="AV862" i="1"/>
  <c r="AV863" i="1"/>
  <c r="AV864" i="1"/>
  <c r="AV865" i="1"/>
  <c r="AV866" i="1"/>
  <c r="AV867" i="1"/>
  <c r="AV868" i="1"/>
  <c r="AV869" i="1"/>
  <c r="AV870" i="1"/>
  <c r="AV871" i="1"/>
  <c r="AV872" i="1"/>
  <c r="AV873" i="1"/>
  <c r="AV874" i="1"/>
  <c r="AV875" i="1"/>
  <c r="AV876" i="1"/>
  <c r="AV877" i="1"/>
  <c r="AV878" i="1"/>
  <c r="AV879" i="1"/>
  <c r="AV880" i="1"/>
  <c r="AV881" i="1"/>
  <c r="AV882" i="1"/>
  <c r="AV883" i="1"/>
  <c r="AV884" i="1"/>
  <c r="AV885" i="1"/>
  <c r="AV886" i="1"/>
  <c r="AV887" i="1"/>
  <c r="AV888" i="1"/>
  <c r="AV889" i="1"/>
  <c r="AV890" i="1"/>
  <c r="AV891" i="1"/>
  <c r="AV892" i="1"/>
  <c r="AV893" i="1"/>
  <c r="AV894" i="1"/>
  <c r="AV895" i="1"/>
  <c r="AV896" i="1"/>
  <c r="AV897" i="1"/>
  <c r="AV898" i="1"/>
  <c r="AV899" i="1"/>
  <c r="AV900" i="1"/>
  <c r="AV901" i="1"/>
  <c r="AV902" i="1"/>
  <c r="AV903" i="1"/>
  <c r="AV904" i="1"/>
  <c r="AV905" i="1"/>
  <c r="AV906" i="1"/>
  <c r="AV907" i="1"/>
  <c r="AV908" i="1"/>
  <c r="AV909" i="1"/>
  <c r="AV910" i="1"/>
  <c r="AV911" i="1"/>
  <c r="AV912" i="1"/>
  <c r="AV913" i="1"/>
  <c r="AV914" i="1"/>
  <c r="AV915" i="1"/>
  <c r="AV916" i="1"/>
  <c r="AV917" i="1"/>
  <c r="AV918" i="1"/>
  <c r="AV919" i="1"/>
  <c r="AV920" i="1"/>
  <c r="AV921" i="1"/>
  <c r="AV922" i="1"/>
  <c r="AV923" i="1"/>
  <c r="AV924" i="1"/>
  <c r="AV925" i="1"/>
  <c r="AV926" i="1"/>
  <c r="AV927" i="1"/>
  <c r="AV928" i="1"/>
  <c r="AV929" i="1"/>
  <c r="AV930" i="1"/>
  <c r="AV931" i="1"/>
  <c r="AV932" i="1"/>
  <c r="AV933" i="1"/>
  <c r="AV934" i="1"/>
  <c r="AV935" i="1"/>
  <c r="AV936" i="1"/>
  <c r="AV937" i="1"/>
  <c r="AV938" i="1"/>
  <c r="AV939" i="1"/>
  <c r="AV940" i="1"/>
  <c r="AV941" i="1"/>
  <c r="AV942" i="1"/>
  <c r="AV943" i="1"/>
  <c r="AV944" i="1"/>
  <c r="AV945" i="1"/>
  <c r="AV946" i="1"/>
  <c r="AV947" i="1"/>
  <c r="AV948" i="1"/>
  <c r="AV949" i="1"/>
  <c r="AV950" i="1"/>
  <c r="AV951" i="1"/>
  <c r="AV952" i="1"/>
  <c r="AV953" i="1"/>
  <c r="AV954" i="1"/>
  <c r="AV955" i="1"/>
  <c r="AV956" i="1"/>
  <c r="AV957" i="1"/>
  <c r="AV958" i="1"/>
  <c r="AV959" i="1"/>
  <c r="AV960" i="1"/>
  <c r="AV961" i="1"/>
  <c r="AV962" i="1"/>
  <c r="AV963" i="1"/>
  <c r="AV964" i="1"/>
  <c r="AV965" i="1"/>
  <c r="AV966" i="1"/>
  <c r="AV967" i="1"/>
  <c r="AV968" i="1"/>
  <c r="AV969" i="1"/>
  <c r="AV970" i="1"/>
  <c r="AV971" i="1"/>
  <c r="AV972" i="1"/>
  <c r="AV973" i="1"/>
  <c r="AV974" i="1"/>
  <c r="AV975" i="1"/>
  <c r="AV976" i="1"/>
  <c r="AV977" i="1"/>
  <c r="AV978" i="1"/>
  <c r="AV979" i="1"/>
  <c r="AV980" i="1"/>
  <c r="AV981" i="1"/>
  <c r="AV982" i="1"/>
  <c r="AV983" i="1"/>
  <c r="AV984" i="1"/>
  <c r="AV985" i="1"/>
  <c r="AV986" i="1"/>
  <c r="AV987" i="1"/>
  <c r="AV988" i="1"/>
  <c r="AV989" i="1"/>
  <c r="AV990" i="1"/>
  <c r="AV991" i="1"/>
  <c r="AV992" i="1"/>
  <c r="AV993" i="1"/>
  <c r="AV994" i="1"/>
  <c r="AV995" i="1"/>
  <c r="AV996" i="1"/>
  <c r="AV997" i="1"/>
  <c r="AV998" i="1"/>
  <c r="AV999" i="1"/>
  <c r="AV1000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85" i="1"/>
  <c r="AW386" i="1"/>
  <c r="AW387" i="1"/>
  <c r="AW388" i="1"/>
  <c r="AW389" i="1"/>
  <c r="AW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440" i="1"/>
  <c r="AW441" i="1"/>
  <c r="AW442" i="1"/>
  <c r="AW443" i="1"/>
  <c r="AW444" i="1"/>
  <c r="AW445" i="1"/>
  <c r="AW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96" i="1"/>
  <c r="AW497" i="1"/>
  <c r="AW498" i="1"/>
  <c r="AW499" i="1"/>
  <c r="AW500" i="1"/>
  <c r="AW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51" i="1"/>
  <c r="AW552" i="1"/>
  <c r="AW553" i="1"/>
  <c r="AW554" i="1"/>
  <c r="AW555" i="1"/>
  <c r="AW556" i="1"/>
  <c r="AW557" i="1"/>
  <c r="AW558" i="1"/>
  <c r="AW559" i="1"/>
  <c r="AW560" i="1"/>
  <c r="AW561" i="1"/>
  <c r="AW562" i="1"/>
  <c r="AW563" i="1"/>
  <c r="AW564" i="1"/>
  <c r="AW565" i="1"/>
  <c r="AW566" i="1"/>
  <c r="AW567" i="1"/>
  <c r="AW568" i="1"/>
  <c r="AW569" i="1"/>
  <c r="AW570" i="1"/>
  <c r="AW571" i="1"/>
  <c r="AW572" i="1"/>
  <c r="AW573" i="1"/>
  <c r="AW574" i="1"/>
  <c r="AW575" i="1"/>
  <c r="AW576" i="1"/>
  <c r="AW577" i="1"/>
  <c r="AW578" i="1"/>
  <c r="AW579" i="1"/>
  <c r="AW580" i="1"/>
  <c r="AW581" i="1"/>
  <c r="AW582" i="1"/>
  <c r="AW583" i="1"/>
  <c r="AW584" i="1"/>
  <c r="AW585" i="1"/>
  <c r="AW586" i="1"/>
  <c r="AW587" i="1"/>
  <c r="AW588" i="1"/>
  <c r="AW589" i="1"/>
  <c r="AW590" i="1"/>
  <c r="AW591" i="1"/>
  <c r="AW592" i="1"/>
  <c r="AW593" i="1"/>
  <c r="AW594" i="1"/>
  <c r="AW595" i="1"/>
  <c r="AW596" i="1"/>
  <c r="AW597" i="1"/>
  <c r="AW598" i="1"/>
  <c r="AW599" i="1"/>
  <c r="AW600" i="1"/>
  <c r="AW601" i="1"/>
  <c r="AW602" i="1"/>
  <c r="AW603" i="1"/>
  <c r="AW604" i="1"/>
  <c r="AW605" i="1"/>
  <c r="AW606" i="1"/>
  <c r="AW607" i="1"/>
  <c r="AW608" i="1"/>
  <c r="AW609" i="1"/>
  <c r="AW610" i="1"/>
  <c r="AW611" i="1"/>
  <c r="AW612" i="1"/>
  <c r="AW613" i="1"/>
  <c r="AW614" i="1"/>
  <c r="AW615" i="1"/>
  <c r="AW616" i="1"/>
  <c r="AW617" i="1"/>
  <c r="AW618" i="1"/>
  <c r="AW619" i="1"/>
  <c r="AW620" i="1"/>
  <c r="AW621" i="1"/>
  <c r="AW622" i="1"/>
  <c r="AW623" i="1"/>
  <c r="AW624" i="1"/>
  <c r="AW625" i="1"/>
  <c r="AW626" i="1"/>
  <c r="AW627" i="1"/>
  <c r="AW628" i="1"/>
  <c r="AW629" i="1"/>
  <c r="AW630" i="1"/>
  <c r="AW631" i="1"/>
  <c r="AW632" i="1"/>
  <c r="AW633" i="1"/>
  <c r="AW634" i="1"/>
  <c r="AW635" i="1"/>
  <c r="AW636" i="1"/>
  <c r="AW637" i="1"/>
  <c r="AW638" i="1"/>
  <c r="AW639" i="1"/>
  <c r="AW640" i="1"/>
  <c r="AW641" i="1"/>
  <c r="AW642" i="1"/>
  <c r="AW643" i="1"/>
  <c r="AW644" i="1"/>
  <c r="AW645" i="1"/>
  <c r="AW646" i="1"/>
  <c r="AW647" i="1"/>
  <c r="AW648" i="1"/>
  <c r="AW649" i="1"/>
  <c r="AW650" i="1"/>
  <c r="AW651" i="1"/>
  <c r="AW652" i="1"/>
  <c r="AW653" i="1"/>
  <c r="AW654" i="1"/>
  <c r="AW655" i="1"/>
  <c r="AW656" i="1"/>
  <c r="AW657" i="1"/>
  <c r="AW658" i="1"/>
  <c r="AW659" i="1"/>
  <c r="AW660" i="1"/>
  <c r="AW661" i="1"/>
  <c r="AW662" i="1"/>
  <c r="AW663" i="1"/>
  <c r="AW664" i="1"/>
  <c r="AW665" i="1"/>
  <c r="AW666" i="1"/>
  <c r="AW667" i="1"/>
  <c r="AW668" i="1"/>
  <c r="AW669" i="1"/>
  <c r="AW670" i="1"/>
  <c r="AW671" i="1"/>
  <c r="AW672" i="1"/>
  <c r="AW673" i="1"/>
  <c r="AW674" i="1"/>
  <c r="AW675" i="1"/>
  <c r="AW676" i="1"/>
  <c r="AW677" i="1"/>
  <c r="AW678" i="1"/>
  <c r="AW679" i="1"/>
  <c r="AW680" i="1"/>
  <c r="AW681" i="1"/>
  <c r="AW682" i="1"/>
  <c r="AW683" i="1"/>
  <c r="AW684" i="1"/>
  <c r="AW685" i="1"/>
  <c r="AW686" i="1"/>
  <c r="AW687" i="1"/>
  <c r="AW688" i="1"/>
  <c r="AW689" i="1"/>
  <c r="AW690" i="1"/>
  <c r="AW691" i="1"/>
  <c r="AW692" i="1"/>
  <c r="AW693" i="1"/>
  <c r="AW694" i="1"/>
  <c r="AW695" i="1"/>
  <c r="AW696" i="1"/>
  <c r="AW697" i="1"/>
  <c r="AW698" i="1"/>
  <c r="AW699" i="1"/>
  <c r="AW700" i="1"/>
  <c r="AW701" i="1"/>
  <c r="AW702" i="1"/>
  <c r="AW703" i="1"/>
  <c r="AW704" i="1"/>
  <c r="AW705" i="1"/>
  <c r="AW706" i="1"/>
  <c r="AW707" i="1"/>
  <c r="AW708" i="1"/>
  <c r="AW709" i="1"/>
  <c r="AW710" i="1"/>
  <c r="AW711" i="1"/>
  <c r="AW712" i="1"/>
  <c r="AW713" i="1"/>
  <c r="AW714" i="1"/>
  <c r="AW715" i="1"/>
  <c r="AW716" i="1"/>
  <c r="AW717" i="1"/>
  <c r="AW718" i="1"/>
  <c r="AW719" i="1"/>
  <c r="AW720" i="1"/>
  <c r="AW721" i="1"/>
  <c r="AW722" i="1"/>
  <c r="AW723" i="1"/>
  <c r="AW724" i="1"/>
  <c r="AW725" i="1"/>
  <c r="AW726" i="1"/>
  <c r="AW727" i="1"/>
  <c r="AW728" i="1"/>
  <c r="AW729" i="1"/>
  <c r="AW730" i="1"/>
  <c r="AW731" i="1"/>
  <c r="AW732" i="1"/>
  <c r="AW733" i="1"/>
  <c r="AW734" i="1"/>
  <c r="AW735" i="1"/>
  <c r="AW736" i="1"/>
  <c r="AW737" i="1"/>
  <c r="AW738" i="1"/>
  <c r="AW739" i="1"/>
  <c r="AW740" i="1"/>
  <c r="AW741" i="1"/>
  <c r="AW742" i="1"/>
  <c r="AW743" i="1"/>
  <c r="AW744" i="1"/>
  <c r="AW745" i="1"/>
  <c r="AW746" i="1"/>
  <c r="AW747" i="1"/>
  <c r="AW748" i="1"/>
  <c r="AW749" i="1"/>
  <c r="AW750" i="1"/>
  <c r="AW751" i="1"/>
  <c r="AW752" i="1"/>
  <c r="AW753" i="1"/>
  <c r="AW754" i="1"/>
  <c r="AW755" i="1"/>
  <c r="AW756" i="1"/>
  <c r="AW757" i="1"/>
  <c r="AW758" i="1"/>
  <c r="AW759" i="1"/>
  <c r="AW760" i="1"/>
  <c r="AW761" i="1"/>
  <c r="AW762" i="1"/>
  <c r="AW763" i="1"/>
  <c r="AW764" i="1"/>
  <c r="AW765" i="1"/>
  <c r="AW766" i="1"/>
  <c r="AW767" i="1"/>
  <c r="AW768" i="1"/>
  <c r="AW769" i="1"/>
  <c r="AW770" i="1"/>
  <c r="AW771" i="1"/>
  <c r="AW772" i="1"/>
  <c r="AW773" i="1"/>
  <c r="AW774" i="1"/>
  <c r="AW775" i="1"/>
  <c r="AW776" i="1"/>
  <c r="AW777" i="1"/>
  <c r="AW778" i="1"/>
  <c r="AW779" i="1"/>
  <c r="AW780" i="1"/>
  <c r="AW781" i="1"/>
  <c r="AW782" i="1"/>
  <c r="AW783" i="1"/>
  <c r="AW784" i="1"/>
  <c r="AW785" i="1"/>
  <c r="AW786" i="1"/>
  <c r="AW787" i="1"/>
  <c r="AW788" i="1"/>
  <c r="AW789" i="1"/>
  <c r="AW790" i="1"/>
  <c r="AW791" i="1"/>
  <c r="AW792" i="1"/>
  <c r="AW793" i="1"/>
  <c r="AW794" i="1"/>
  <c r="AW795" i="1"/>
  <c r="AW796" i="1"/>
  <c r="AW797" i="1"/>
  <c r="AW798" i="1"/>
  <c r="AW799" i="1"/>
  <c r="AW800" i="1"/>
  <c r="AW801" i="1"/>
  <c r="AW802" i="1"/>
  <c r="AW803" i="1"/>
  <c r="AW804" i="1"/>
  <c r="AW805" i="1"/>
  <c r="AW806" i="1"/>
  <c r="AW807" i="1"/>
  <c r="AW808" i="1"/>
  <c r="AW809" i="1"/>
  <c r="AW810" i="1"/>
  <c r="AW811" i="1"/>
  <c r="AW812" i="1"/>
  <c r="AW813" i="1"/>
  <c r="AW814" i="1"/>
  <c r="AW815" i="1"/>
  <c r="AW816" i="1"/>
  <c r="AW817" i="1"/>
  <c r="AW818" i="1"/>
  <c r="AW819" i="1"/>
  <c r="AW820" i="1"/>
  <c r="AW821" i="1"/>
  <c r="AW822" i="1"/>
  <c r="AW823" i="1"/>
  <c r="AW824" i="1"/>
  <c r="AW825" i="1"/>
  <c r="AW826" i="1"/>
  <c r="AW827" i="1"/>
  <c r="AW828" i="1"/>
  <c r="AW829" i="1"/>
  <c r="AW830" i="1"/>
  <c r="AW831" i="1"/>
  <c r="AW832" i="1"/>
  <c r="AW833" i="1"/>
  <c r="AW834" i="1"/>
  <c r="AW835" i="1"/>
  <c r="AW836" i="1"/>
  <c r="AW837" i="1"/>
  <c r="AW838" i="1"/>
  <c r="AW839" i="1"/>
  <c r="AW840" i="1"/>
  <c r="AW841" i="1"/>
  <c r="AW842" i="1"/>
  <c r="AW843" i="1"/>
  <c r="AW844" i="1"/>
  <c r="AW845" i="1"/>
  <c r="AW846" i="1"/>
  <c r="AW847" i="1"/>
  <c r="AW848" i="1"/>
  <c r="AW849" i="1"/>
  <c r="AW850" i="1"/>
  <c r="AW851" i="1"/>
  <c r="AW852" i="1"/>
  <c r="AW853" i="1"/>
  <c r="AW854" i="1"/>
  <c r="AW855" i="1"/>
  <c r="AW856" i="1"/>
  <c r="AW857" i="1"/>
  <c r="AW858" i="1"/>
  <c r="AW859" i="1"/>
  <c r="AW860" i="1"/>
  <c r="AW861" i="1"/>
  <c r="AW862" i="1"/>
  <c r="AW863" i="1"/>
  <c r="AW864" i="1"/>
  <c r="AW865" i="1"/>
  <c r="AW866" i="1"/>
  <c r="AW867" i="1"/>
  <c r="AW868" i="1"/>
  <c r="AW869" i="1"/>
  <c r="AW870" i="1"/>
  <c r="AW871" i="1"/>
  <c r="AW872" i="1"/>
  <c r="AW873" i="1"/>
  <c r="AW874" i="1"/>
  <c r="AW875" i="1"/>
  <c r="AW876" i="1"/>
  <c r="AW877" i="1"/>
  <c r="AW878" i="1"/>
  <c r="AW879" i="1"/>
  <c r="AW880" i="1"/>
  <c r="AW881" i="1"/>
  <c r="AW882" i="1"/>
  <c r="AW883" i="1"/>
  <c r="AW884" i="1"/>
  <c r="AW885" i="1"/>
  <c r="AW886" i="1"/>
  <c r="AW887" i="1"/>
  <c r="AW888" i="1"/>
  <c r="AW889" i="1"/>
  <c r="AW890" i="1"/>
  <c r="AW891" i="1"/>
  <c r="AW892" i="1"/>
  <c r="AW893" i="1"/>
  <c r="AW894" i="1"/>
  <c r="AW895" i="1"/>
  <c r="AW896" i="1"/>
  <c r="AW897" i="1"/>
  <c r="AW898" i="1"/>
  <c r="AW899" i="1"/>
  <c r="AW900" i="1"/>
  <c r="AW901" i="1"/>
  <c r="AW902" i="1"/>
  <c r="AW903" i="1"/>
  <c r="AW904" i="1"/>
  <c r="AW905" i="1"/>
  <c r="AW906" i="1"/>
  <c r="AW907" i="1"/>
  <c r="AW908" i="1"/>
  <c r="AW909" i="1"/>
  <c r="AW910" i="1"/>
  <c r="AW911" i="1"/>
  <c r="AW912" i="1"/>
  <c r="AW913" i="1"/>
  <c r="AW914" i="1"/>
  <c r="AW915" i="1"/>
  <c r="AW916" i="1"/>
  <c r="AW917" i="1"/>
  <c r="AW918" i="1"/>
  <c r="AW919" i="1"/>
  <c r="AW920" i="1"/>
  <c r="AW921" i="1"/>
  <c r="AW922" i="1"/>
  <c r="AW923" i="1"/>
  <c r="AW924" i="1"/>
  <c r="AW925" i="1"/>
  <c r="AW926" i="1"/>
  <c r="AW927" i="1"/>
  <c r="AW928" i="1"/>
  <c r="AW929" i="1"/>
  <c r="AW930" i="1"/>
  <c r="AW931" i="1"/>
  <c r="AW932" i="1"/>
  <c r="AW933" i="1"/>
  <c r="AW934" i="1"/>
  <c r="AW935" i="1"/>
  <c r="AW936" i="1"/>
  <c r="AW937" i="1"/>
  <c r="AW938" i="1"/>
  <c r="AW939" i="1"/>
  <c r="AW940" i="1"/>
  <c r="AW941" i="1"/>
  <c r="AW942" i="1"/>
  <c r="AW943" i="1"/>
  <c r="AW944" i="1"/>
  <c r="AW945" i="1"/>
  <c r="AW946" i="1"/>
  <c r="AW947" i="1"/>
  <c r="AW948" i="1"/>
  <c r="AW949" i="1"/>
  <c r="AW950" i="1"/>
  <c r="AW951" i="1"/>
  <c r="AW952" i="1"/>
  <c r="AW953" i="1"/>
  <c r="AW954" i="1"/>
  <c r="AW955" i="1"/>
  <c r="AW956" i="1"/>
  <c r="AW957" i="1"/>
  <c r="AW958" i="1"/>
  <c r="AW959" i="1"/>
  <c r="AW960" i="1"/>
  <c r="AW961" i="1"/>
  <c r="AW962" i="1"/>
  <c r="AW963" i="1"/>
  <c r="AW964" i="1"/>
  <c r="AW965" i="1"/>
  <c r="AW966" i="1"/>
  <c r="AW967" i="1"/>
  <c r="AW968" i="1"/>
  <c r="AW969" i="1"/>
  <c r="AW970" i="1"/>
  <c r="AW971" i="1"/>
  <c r="AW972" i="1"/>
  <c r="AW973" i="1"/>
  <c r="AW974" i="1"/>
  <c r="AW975" i="1"/>
  <c r="AW976" i="1"/>
  <c r="AW977" i="1"/>
  <c r="AW978" i="1"/>
  <c r="AW979" i="1"/>
  <c r="AW980" i="1"/>
  <c r="AW981" i="1"/>
  <c r="AW982" i="1"/>
  <c r="AW983" i="1"/>
  <c r="AW984" i="1"/>
  <c r="AW985" i="1"/>
  <c r="AW986" i="1"/>
  <c r="AW987" i="1"/>
  <c r="AW988" i="1"/>
  <c r="AW989" i="1"/>
  <c r="AW990" i="1"/>
  <c r="AW991" i="1"/>
  <c r="AW992" i="1"/>
  <c r="AW993" i="1"/>
  <c r="AW994" i="1"/>
  <c r="AW995" i="1"/>
  <c r="AW996" i="1"/>
  <c r="AW997" i="1"/>
  <c r="AW998" i="1"/>
  <c r="AW999" i="1"/>
  <c r="AW1000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AX328" i="1"/>
  <c r="AX329" i="1"/>
  <c r="AX330" i="1"/>
  <c r="AX331" i="1"/>
  <c r="AX332" i="1"/>
  <c r="AX333" i="1"/>
  <c r="AX334" i="1"/>
  <c r="AX335" i="1"/>
  <c r="AX336" i="1"/>
  <c r="AX337" i="1"/>
  <c r="AX338" i="1"/>
  <c r="AX339" i="1"/>
  <c r="AX340" i="1"/>
  <c r="AX341" i="1"/>
  <c r="AX342" i="1"/>
  <c r="AX343" i="1"/>
  <c r="AX344" i="1"/>
  <c r="AX345" i="1"/>
  <c r="AX346" i="1"/>
  <c r="AX347" i="1"/>
  <c r="AX348" i="1"/>
  <c r="AX349" i="1"/>
  <c r="AX350" i="1"/>
  <c r="AX351" i="1"/>
  <c r="AX352" i="1"/>
  <c r="AX353" i="1"/>
  <c r="AX354" i="1"/>
  <c r="AX355" i="1"/>
  <c r="AX356" i="1"/>
  <c r="AX357" i="1"/>
  <c r="AX358" i="1"/>
  <c r="AX359" i="1"/>
  <c r="AX360" i="1"/>
  <c r="AX361" i="1"/>
  <c r="AX362" i="1"/>
  <c r="AX363" i="1"/>
  <c r="AX364" i="1"/>
  <c r="AX365" i="1"/>
  <c r="AX366" i="1"/>
  <c r="AX367" i="1"/>
  <c r="AX368" i="1"/>
  <c r="AX369" i="1"/>
  <c r="AX370" i="1"/>
  <c r="AX371" i="1"/>
  <c r="AX372" i="1"/>
  <c r="AX373" i="1"/>
  <c r="AX374" i="1"/>
  <c r="AX375" i="1"/>
  <c r="AX376" i="1"/>
  <c r="AX377" i="1"/>
  <c r="AX378" i="1"/>
  <c r="AX379" i="1"/>
  <c r="AX380" i="1"/>
  <c r="AX381" i="1"/>
  <c r="AX382" i="1"/>
  <c r="AX383" i="1"/>
  <c r="AX384" i="1"/>
  <c r="AX385" i="1"/>
  <c r="AX386" i="1"/>
  <c r="AX387" i="1"/>
  <c r="AX388" i="1"/>
  <c r="AX389" i="1"/>
  <c r="AX390" i="1"/>
  <c r="AX391" i="1"/>
  <c r="AX392" i="1"/>
  <c r="AX393" i="1"/>
  <c r="AX394" i="1"/>
  <c r="AX395" i="1"/>
  <c r="AX396" i="1"/>
  <c r="AX397" i="1"/>
  <c r="AX398" i="1"/>
  <c r="AX399" i="1"/>
  <c r="AX400" i="1"/>
  <c r="AX401" i="1"/>
  <c r="AX402" i="1"/>
  <c r="AX403" i="1"/>
  <c r="AX404" i="1"/>
  <c r="AX405" i="1"/>
  <c r="AX406" i="1"/>
  <c r="AX407" i="1"/>
  <c r="AX408" i="1"/>
  <c r="AX409" i="1"/>
  <c r="AX410" i="1"/>
  <c r="AX411" i="1"/>
  <c r="AX412" i="1"/>
  <c r="AX413" i="1"/>
  <c r="AX414" i="1"/>
  <c r="AX415" i="1"/>
  <c r="AX416" i="1"/>
  <c r="AX417" i="1"/>
  <c r="AX418" i="1"/>
  <c r="AX419" i="1"/>
  <c r="AX420" i="1"/>
  <c r="AX421" i="1"/>
  <c r="AX422" i="1"/>
  <c r="AX423" i="1"/>
  <c r="AX424" i="1"/>
  <c r="AX425" i="1"/>
  <c r="AX426" i="1"/>
  <c r="AX427" i="1"/>
  <c r="AX428" i="1"/>
  <c r="AX429" i="1"/>
  <c r="AX430" i="1"/>
  <c r="AX431" i="1"/>
  <c r="AX432" i="1"/>
  <c r="AX433" i="1"/>
  <c r="AX434" i="1"/>
  <c r="AX435" i="1"/>
  <c r="AX436" i="1"/>
  <c r="AX437" i="1"/>
  <c r="AX438" i="1"/>
  <c r="AX439" i="1"/>
  <c r="AX440" i="1"/>
  <c r="AX441" i="1"/>
  <c r="AX442" i="1"/>
  <c r="AX443" i="1"/>
  <c r="AX444" i="1"/>
  <c r="AX445" i="1"/>
  <c r="AX446" i="1"/>
  <c r="AX447" i="1"/>
  <c r="AX448" i="1"/>
  <c r="AX449" i="1"/>
  <c r="AX450" i="1"/>
  <c r="AX451" i="1"/>
  <c r="AX452" i="1"/>
  <c r="AX453" i="1"/>
  <c r="AX454" i="1"/>
  <c r="AX455" i="1"/>
  <c r="AX456" i="1"/>
  <c r="AX457" i="1"/>
  <c r="AX458" i="1"/>
  <c r="AX459" i="1"/>
  <c r="AX460" i="1"/>
  <c r="AX461" i="1"/>
  <c r="AX462" i="1"/>
  <c r="AX463" i="1"/>
  <c r="AX464" i="1"/>
  <c r="AX465" i="1"/>
  <c r="AX466" i="1"/>
  <c r="AX467" i="1"/>
  <c r="AX468" i="1"/>
  <c r="AX469" i="1"/>
  <c r="AX470" i="1"/>
  <c r="AX471" i="1"/>
  <c r="AX472" i="1"/>
  <c r="AX473" i="1"/>
  <c r="AX474" i="1"/>
  <c r="AX475" i="1"/>
  <c r="AX476" i="1"/>
  <c r="AX477" i="1"/>
  <c r="AX478" i="1"/>
  <c r="AX479" i="1"/>
  <c r="AX480" i="1"/>
  <c r="AX481" i="1"/>
  <c r="AX482" i="1"/>
  <c r="AX483" i="1"/>
  <c r="AX484" i="1"/>
  <c r="AX485" i="1"/>
  <c r="AX486" i="1"/>
  <c r="AX487" i="1"/>
  <c r="AX488" i="1"/>
  <c r="AX489" i="1"/>
  <c r="AX490" i="1"/>
  <c r="AX491" i="1"/>
  <c r="AX492" i="1"/>
  <c r="AX493" i="1"/>
  <c r="AX494" i="1"/>
  <c r="AX495" i="1"/>
  <c r="AX496" i="1"/>
  <c r="AX497" i="1"/>
  <c r="AX498" i="1"/>
  <c r="AX499" i="1"/>
  <c r="AX500" i="1"/>
  <c r="AX501" i="1"/>
  <c r="AX502" i="1"/>
  <c r="AX503" i="1"/>
  <c r="AX504" i="1"/>
  <c r="AX505" i="1"/>
  <c r="AX506" i="1"/>
  <c r="AX507" i="1"/>
  <c r="AX508" i="1"/>
  <c r="AX509" i="1"/>
  <c r="AX510" i="1"/>
  <c r="AX511" i="1"/>
  <c r="AX512" i="1"/>
  <c r="AX513" i="1"/>
  <c r="AX514" i="1"/>
  <c r="AX515" i="1"/>
  <c r="AX516" i="1"/>
  <c r="AX517" i="1"/>
  <c r="AX518" i="1"/>
  <c r="AX519" i="1"/>
  <c r="AX520" i="1"/>
  <c r="AX521" i="1"/>
  <c r="AX522" i="1"/>
  <c r="AX523" i="1"/>
  <c r="AX524" i="1"/>
  <c r="AX525" i="1"/>
  <c r="AX526" i="1"/>
  <c r="AX527" i="1"/>
  <c r="AX528" i="1"/>
  <c r="AX529" i="1"/>
  <c r="AX530" i="1"/>
  <c r="AX531" i="1"/>
  <c r="AX532" i="1"/>
  <c r="AX533" i="1"/>
  <c r="AX534" i="1"/>
  <c r="AX535" i="1"/>
  <c r="AX536" i="1"/>
  <c r="AX537" i="1"/>
  <c r="AX538" i="1"/>
  <c r="AX539" i="1"/>
  <c r="AX540" i="1"/>
  <c r="AX541" i="1"/>
  <c r="AX542" i="1"/>
  <c r="AX543" i="1"/>
  <c r="AX544" i="1"/>
  <c r="AX545" i="1"/>
  <c r="AX546" i="1"/>
  <c r="AX547" i="1"/>
  <c r="AX548" i="1"/>
  <c r="AX549" i="1"/>
  <c r="AX550" i="1"/>
  <c r="AX551" i="1"/>
  <c r="AX552" i="1"/>
  <c r="AX553" i="1"/>
  <c r="AX554" i="1"/>
  <c r="AX555" i="1"/>
  <c r="AX556" i="1"/>
  <c r="AX557" i="1"/>
  <c r="AX558" i="1"/>
  <c r="AX559" i="1"/>
  <c r="AX560" i="1"/>
  <c r="AX561" i="1"/>
  <c r="AX562" i="1"/>
  <c r="AX563" i="1"/>
  <c r="AX564" i="1"/>
  <c r="AX565" i="1"/>
  <c r="AX566" i="1"/>
  <c r="AX567" i="1"/>
  <c r="AX568" i="1"/>
  <c r="AX569" i="1"/>
  <c r="AX570" i="1"/>
  <c r="AX571" i="1"/>
  <c r="AX572" i="1"/>
  <c r="AX573" i="1"/>
  <c r="AX574" i="1"/>
  <c r="AX575" i="1"/>
  <c r="AX576" i="1"/>
  <c r="AX577" i="1"/>
  <c r="AX578" i="1"/>
  <c r="AX579" i="1"/>
  <c r="AX580" i="1"/>
  <c r="AX581" i="1"/>
  <c r="AX582" i="1"/>
  <c r="AX583" i="1"/>
  <c r="AX584" i="1"/>
  <c r="AX585" i="1"/>
  <c r="AX586" i="1"/>
  <c r="AX587" i="1"/>
  <c r="AX588" i="1"/>
  <c r="AX589" i="1"/>
  <c r="AX590" i="1"/>
  <c r="AX591" i="1"/>
  <c r="AX592" i="1"/>
  <c r="AX593" i="1"/>
  <c r="AX594" i="1"/>
  <c r="AX595" i="1"/>
  <c r="AX596" i="1"/>
  <c r="AX597" i="1"/>
  <c r="AX598" i="1"/>
  <c r="AX599" i="1"/>
  <c r="AX600" i="1"/>
  <c r="AX601" i="1"/>
  <c r="AX602" i="1"/>
  <c r="AX603" i="1"/>
  <c r="AX604" i="1"/>
  <c r="AX605" i="1"/>
  <c r="AX606" i="1"/>
  <c r="AX607" i="1"/>
  <c r="AX608" i="1"/>
  <c r="AX609" i="1"/>
  <c r="AX610" i="1"/>
  <c r="AX611" i="1"/>
  <c r="AX612" i="1"/>
  <c r="AX613" i="1"/>
  <c r="AX614" i="1"/>
  <c r="AX615" i="1"/>
  <c r="AX616" i="1"/>
  <c r="AX617" i="1"/>
  <c r="AX618" i="1"/>
  <c r="AX619" i="1"/>
  <c r="AX620" i="1"/>
  <c r="AX621" i="1"/>
  <c r="AX622" i="1"/>
  <c r="AX623" i="1"/>
  <c r="AX624" i="1"/>
  <c r="AX625" i="1"/>
  <c r="AX626" i="1"/>
  <c r="AX627" i="1"/>
  <c r="AX628" i="1"/>
  <c r="AX629" i="1"/>
  <c r="AX630" i="1"/>
  <c r="AX631" i="1"/>
  <c r="AX632" i="1"/>
  <c r="AX633" i="1"/>
  <c r="AX634" i="1"/>
  <c r="AX635" i="1"/>
  <c r="AX636" i="1"/>
  <c r="AX637" i="1"/>
  <c r="AX638" i="1"/>
  <c r="AX639" i="1"/>
  <c r="AX640" i="1"/>
  <c r="AX641" i="1"/>
  <c r="AX642" i="1"/>
  <c r="AX643" i="1"/>
  <c r="AX644" i="1"/>
  <c r="AX645" i="1"/>
  <c r="AX646" i="1"/>
  <c r="AX647" i="1"/>
  <c r="AX648" i="1"/>
  <c r="AX649" i="1"/>
  <c r="AX650" i="1"/>
  <c r="AX651" i="1"/>
  <c r="AX652" i="1"/>
  <c r="AX653" i="1"/>
  <c r="AX654" i="1"/>
  <c r="AX655" i="1"/>
  <c r="AX656" i="1"/>
  <c r="AX657" i="1"/>
  <c r="AX658" i="1"/>
  <c r="AX659" i="1"/>
  <c r="AX660" i="1"/>
  <c r="AX661" i="1"/>
  <c r="AX662" i="1"/>
  <c r="AX663" i="1"/>
  <c r="AX664" i="1"/>
  <c r="AX665" i="1"/>
  <c r="AX666" i="1"/>
  <c r="AX667" i="1"/>
  <c r="AX668" i="1"/>
  <c r="AX669" i="1"/>
  <c r="AX670" i="1"/>
  <c r="AX671" i="1"/>
  <c r="AX672" i="1"/>
  <c r="AX673" i="1"/>
  <c r="AX674" i="1"/>
  <c r="AX675" i="1"/>
  <c r="AX676" i="1"/>
  <c r="AX677" i="1"/>
  <c r="AX678" i="1"/>
  <c r="AX679" i="1"/>
  <c r="AX680" i="1"/>
  <c r="AX681" i="1"/>
  <c r="AX682" i="1"/>
  <c r="AX683" i="1"/>
  <c r="AX684" i="1"/>
  <c r="AX685" i="1"/>
  <c r="AX686" i="1"/>
  <c r="AX687" i="1"/>
  <c r="AX688" i="1"/>
  <c r="AX689" i="1"/>
  <c r="AX690" i="1"/>
  <c r="AX691" i="1"/>
  <c r="AX692" i="1"/>
  <c r="AX693" i="1"/>
  <c r="AX694" i="1"/>
  <c r="AX695" i="1"/>
  <c r="AX696" i="1"/>
  <c r="AX697" i="1"/>
  <c r="AX698" i="1"/>
  <c r="AX699" i="1"/>
  <c r="AX700" i="1"/>
  <c r="AX701" i="1"/>
  <c r="AX702" i="1"/>
  <c r="AX703" i="1"/>
  <c r="AX704" i="1"/>
  <c r="AX705" i="1"/>
  <c r="AX706" i="1"/>
  <c r="AX707" i="1"/>
  <c r="AX708" i="1"/>
  <c r="AX709" i="1"/>
  <c r="AX710" i="1"/>
  <c r="AX711" i="1"/>
  <c r="AX712" i="1"/>
  <c r="AX713" i="1"/>
  <c r="AX714" i="1"/>
  <c r="AX715" i="1"/>
  <c r="AX716" i="1"/>
  <c r="AX717" i="1"/>
  <c r="AX718" i="1"/>
  <c r="AX719" i="1"/>
  <c r="AX720" i="1"/>
  <c r="AX721" i="1"/>
  <c r="AX722" i="1"/>
  <c r="AX723" i="1"/>
  <c r="AX724" i="1"/>
  <c r="AX725" i="1"/>
  <c r="AX726" i="1"/>
  <c r="AX727" i="1"/>
  <c r="AX728" i="1"/>
  <c r="AX729" i="1"/>
  <c r="AX730" i="1"/>
  <c r="AX731" i="1"/>
  <c r="AX732" i="1"/>
  <c r="AX733" i="1"/>
  <c r="AX734" i="1"/>
  <c r="AX735" i="1"/>
  <c r="AX736" i="1"/>
  <c r="AX737" i="1"/>
  <c r="AX738" i="1"/>
  <c r="AX739" i="1"/>
  <c r="AX740" i="1"/>
  <c r="AX741" i="1"/>
  <c r="AX742" i="1"/>
  <c r="AX743" i="1"/>
  <c r="AX744" i="1"/>
  <c r="AX745" i="1"/>
  <c r="AX746" i="1"/>
  <c r="AX747" i="1"/>
  <c r="AX748" i="1"/>
  <c r="AX749" i="1"/>
  <c r="AX750" i="1"/>
  <c r="AX751" i="1"/>
  <c r="AX752" i="1"/>
  <c r="AX753" i="1"/>
  <c r="AX754" i="1"/>
  <c r="AX755" i="1"/>
  <c r="AX756" i="1"/>
  <c r="AX757" i="1"/>
  <c r="AX758" i="1"/>
  <c r="AX759" i="1"/>
  <c r="AX760" i="1"/>
  <c r="AX761" i="1"/>
  <c r="AX762" i="1"/>
  <c r="AX763" i="1"/>
  <c r="AX764" i="1"/>
  <c r="AX765" i="1"/>
  <c r="AX766" i="1"/>
  <c r="AX767" i="1"/>
  <c r="AX768" i="1"/>
  <c r="AX769" i="1"/>
  <c r="AX770" i="1"/>
  <c r="AX771" i="1"/>
  <c r="AX772" i="1"/>
  <c r="AX773" i="1"/>
  <c r="AX774" i="1"/>
  <c r="AX775" i="1"/>
  <c r="AX776" i="1"/>
  <c r="AX777" i="1"/>
  <c r="AX778" i="1"/>
  <c r="AX779" i="1"/>
  <c r="AX780" i="1"/>
  <c r="AX781" i="1"/>
  <c r="AX782" i="1"/>
  <c r="AX783" i="1"/>
  <c r="AX784" i="1"/>
  <c r="AX785" i="1"/>
  <c r="AX786" i="1"/>
  <c r="AX787" i="1"/>
  <c r="AX788" i="1"/>
  <c r="AX789" i="1"/>
  <c r="AX790" i="1"/>
  <c r="AX791" i="1"/>
  <c r="AX792" i="1"/>
  <c r="AX793" i="1"/>
  <c r="AX794" i="1"/>
  <c r="AX795" i="1"/>
  <c r="AX796" i="1"/>
  <c r="AX797" i="1"/>
  <c r="AX798" i="1"/>
  <c r="AX799" i="1"/>
  <c r="AX800" i="1"/>
  <c r="AX801" i="1"/>
  <c r="AX802" i="1"/>
  <c r="AX803" i="1"/>
  <c r="AX804" i="1"/>
  <c r="AX805" i="1"/>
  <c r="AX806" i="1"/>
  <c r="AX807" i="1"/>
  <c r="AX808" i="1"/>
  <c r="AX809" i="1"/>
  <c r="AX810" i="1"/>
  <c r="AX811" i="1"/>
  <c r="AX812" i="1"/>
  <c r="AX813" i="1"/>
  <c r="AX814" i="1"/>
  <c r="AX815" i="1"/>
  <c r="AX816" i="1"/>
  <c r="AX817" i="1"/>
  <c r="AX818" i="1"/>
  <c r="AX819" i="1"/>
  <c r="AX820" i="1"/>
  <c r="AX821" i="1"/>
  <c r="AX822" i="1"/>
  <c r="AX823" i="1"/>
  <c r="AX824" i="1"/>
  <c r="AX825" i="1"/>
  <c r="AX826" i="1"/>
  <c r="AX827" i="1"/>
  <c r="AX828" i="1"/>
  <c r="AX829" i="1"/>
  <c r="AX830" i="1"/>
  <c r="AX831" i="1"/>
  <c r="AX832" i="1"/>
  <c r="AX833" i="1"/>
  <c r="AX834" i="1"/>
  <c r="AX835" i="1"/>
  <c r="AX836" i="1"/>
  <c r="AX837" i="1"/>
  <c r="AX838" i="1"/>
  <c r="AX839" i="1"/>
  <c r="AX840" i="1"/>
  <c r="AX841" i="1"/>
  <c r="AX842" i="1"/>
  <c r="AX843" i="1"/>
  <c r="AX844" i="1"/>
  <c r="AX845" i="1"/>
  <c r="AX846" i="1"/>
  <c r="AX847" i="1"/>
  <c r="AX848" i="1"/>
  <c r="AX849" i="1"/>
  <c r="AX850" i="1"/>
  <c r="AX851" i="1"/>
  <c r="AX852" i="1"/>
  <c r="AX853" i="1"/>
  <c r="AX854" i="1"/>
  <c r="AX855" i="1"/>
  <c r="AX856" i="1"/>
  <c r="AX857" i="1"/>
  <c r="AX858" i="1"/>
  <c r="AX859" i="1"/>
  <c r="AX860" i="1"/>
  <c r="AX861" i="1"/>
  <c r="AX862" i="1"/>
  <c r="AX863" i="1"/>
  <c r="AX864" i="1"/>
  <c r="AX865" i="1"/>
  <c r="AX866" i="1"/>
  <c r="AX867" i="1"/>
  <c r="AX868" i="1"/>
  <c r="AX869" i="1"/>
  <c r="AX870" i="1"/>
  <c r="AX871" i="1"/>
  <c r="AX872" i="1"/>
  <c r="AX873" i="1"/>
  <c r="AX874" i="1"/>
  <c r="AX875" i="1"/>
  <c r="AX876" i="1"/>
  <c r="AX877" i="1"/>
  <c r="AX878" i="1"/>
  <c r="AX879" i="1"/>
  <c r="AX880" i="1"/>
  <c r="AX881" i="1"/>
  <c r="AX882" i="1"/>
  <c r="AX883" i="1"/>
  <c r="AX884" i="1"/>
  <c r="AX885" i="1"/>
  <c r="AX886" i="1"/>
  <c r="AX887" i="1"/>
  <c r="AX888" i="1"/>
  <c r="AX889" i="1"/>
  <c r="AX890" i="1"/>
  <c r="AX891" i="1"/>
  <c r="AX892" i="1"/>
  <c r="AX893" i="1"/>
  <c r="AX894" i="1"/>
  <c r="AX895" i="1"/>
  <c r="AX896" i="1"/>
  <c r="AX897" i="1"/>
  <c r="AX898" i="1"/>
  <c r="AX899" i="1"/>
  <c r="AX900" i="1"/>
  <c r="AX901" i="1"/>
  <c r="AX902" i="1"/>
  <c r="AX903" i="1"/>
  <c r="AX904" i="1"/>
  <c r="AX905" i="1"/>
  <c r="AX906" i="1"/>
  <c r="AX907" i="1"/>
  <c r="AX908" i="1"/>
  <c r="AX909" i="1"/>
  <c r="AX910" i="1"/>
  <c r="AX911" i="1"/>
  <c r="AX912" i="1"/>
  <c r="AX913" i="1"/>
  <c r="AX914" i="1"/>
  <c r="AX915" i="1"/>
  <c r="AX916" i="1"/>
  <c r="AX917" i="1"/>
  <c r="AX918" i="1"/>
  <c r="AX919" i="1"/>
  <c r="AX920" i="1"/>
  <c r="AX921" i="1"/>
  <c r="AX922" i="1"/>
  <c r="AX923" i="1"/>
  <c r="AX924" i="1"/>
  <c r="AX925" i="1"/>
  <c r="AX926" i="1"/>
  <c r="AX927" i="1"/>
  <c r="AX928" i="1"/>
  <c r="AX929" i="1"/>
  <c r="AX930" i="1"/>
  <c r="AX931" i="1"/>
  <c r="AX932" i="1"/>
  <c r="AX933" i="1"/>
  <c r="AX934" i="1"/>
  <c r="AX935" i="1"/>
  <c r="AX936" i="1"/>
  <c r="AX937" i="1"/>
  <c r="AX938" i="1"/>
  <c r="AX939" i="1"/>
  <c r="AX940" i="1"/>
  <c r="AX941" i="1"/>
  <c r="AX942" i="1"/>
  <c r="AX943" i="1"/>
  <c r="AX944" i="1"/>
  <c r="AX945" i="1"/>
  <c r="AX946" i="1"/>
  <c r="AX947" i="1"/>
  <c r="AX948" i="1"/>
  <c r="AX949" i="1"/>
  <c r="AX950" i="1"/>
  <c r="AX951" i="1"/>
  <c r="AX952" i="1"/>
  <c r="AX953" i="1"/>
  <c r="AX954" i="1"/>
  <c r="AX955" i="1"/>
  <c r="AX956" i="1"/>
  <c r="AX957" i="1"/>
  <c r="AX958" i="1"/>
  <c r="AX959" i="1"/>
  <c r="AX960" i="1"/>
  <c r="AX961" i="1"/>
  <c r="AX962" i="1"/>
  <c r="AX963" i="1"/>
  <c r="AX964" i="1"/>
  <c r="AX965" i="1"/>
  <c r="AX966" i="1"/>
  <c r="AX967" i="1"/>
  <c r="AX968" i="1"/>
  <c r="AX969" i="1"/>
  <c r="AX970" i="1"/>
  <c r="AX971" i="1"/>
  <c r="AX972" i="1"/>
  <c r="AX973" i="1"/>
  <c r="AX974" i="1"/>
  <c r="AX975" i="1"/>
  <c r="AX976" i="1"/>
  <c r="AX977" i="1"/>
  <c r="AX978" i="1"/>
  <c r="AX979" i="1"/>
  <c r="AX980" i="1"/>
  <c r="AX981" i="1"/>
  <c r="AX982" i="1"/>
  <c r="AX983" i="1"/>
  <c r="AX984" i="1"/>
  <c r="AX985" i="1"/>
  <c r="AX986" i="1"/>
  <c r="AX987" i="1"/>
  <c r="AX988" i="1"/>
  <c r="AX989" i="1"/>
  <c r="AX990" i="1"/>
  <c r="AX991" i="1"/>
  <c r="AX992" i="1"/>
  <c r="AX993" i="1"/>
  <c r="AX994" i="1"/>
  <c r="AX995" i="1"/>
  <c r="AX996" i="1"/>
  <c r="AX997" i="1"/>
  <c r="AX998" i="1"/>
  <c r="AX999" i="1"/>
  <c r="AX1000" i="1"/>
  <c r="AY282" i="1"/>
  <c r="AY283" i="1"/>
  <c r="AY284" i="1"/>
  <c r="AY285" i="1"/>
  <c r="AY286" i="1"/>
  <c r="AY287" i="1"/>
  <c r="AY288" i="1"/>
  <c r="AY289" i="1"/>
  <c r="AY290" i="1"/>
  <c r="AY291" i="1"/>
  <c r="AY292" i="1"/>
  <c r="AY293" i="1"/>
  <c r="AY294" i="1"/>
  <c r="AY295" i="1"/>
  <c r="AY296" i="1"/>
  <c r="AY297" i="1"/>
  <c r="AY298" i="1"/>
  <c r="AY299" i="1"/>
  <c r="AY300" i="1"/>
  <c r="AY301" i="1"/>
  <c r="AY302" i="1"/>
  <c r="AY303" i="1"/>
  <c r="AY304" i="1"/>
  <c r="AY305" i="1"/>
  <c r="AY306" i="1"/>
  <c r="AY307" i="1"/>
  <c r="AY308" i="1"/>
  <c r="AY309" i="1"/>
  <c r="AY310" i="1"/>
  <c r="AY311" i="1"/>
  <c r="AY312" i="1"/>
  <c r="AY313" i="1"/>
  <c r="AY314" i="1"/>
  <c r="AY315" i="1"/>
  <c r="AY316" i="1"/>
  <c r="AY317" i="1"/>
  <c r="AY318" i="1"/>
  <c r="AY319" i="1"/>
  <c r="AY320" i="1"/>
  <c r="AY321" i="1"/>
  <c r="AY322" i="1"/>
  <c r="AY323" i="1"/>
  <c r="AY324" i="1"/>
  <c r="AY325" i="1"/>
  <c r="AY326" i="1"/>
  <c r="AY327" i="1"/>
  <c r="AY328" i="1"/>
  <c r="AY329" i="1"/>
  <c r="AY330" i="1"/>
  <c r="AY331" i="1"/>
  <c r="AY332" i="1"/>
  <c r="AY333" i="1"/>
  <c r="AY334" i="1"/>
  <c r="AY335" i="1"/>
  <c r="AY336" i="1"/>
  <c r="AY337" i="1"/>
  <c r="AY338" i="1"/>
  <c r="AY339" i="1"/>
  <c r="AY340" i="1"/>
  <c r="AY341" i="1"/>
  <c r="AY342" i="1"/>
  <c r="AY343" i="1"/>
  <c r="AY344" i="1"/>
  <c r="AY345" i="1"/>
  <c r="AY346" i="1"/>
  <c r="AY347" i="1"/>
  <c r="AY348" i="1"/>
  <c r="AY349" i="1"/>
  <c r="AY350" i="1"/>
  <c r="AY351" i="1"/>
  <c r="AY352" i="1"/>
  <c r="AY353" i="1"/>
  <c r="AY354" i="1"/>
  <c r="AY355" i="1"/>
  <c r="AY356" i="1"/>
  <c r="AY357" i="1"/>
  <c r="AY358" i="1"/>
  <c r="AY359" i="1"/>
  <c r="AY360" i="1"/>
  <c r="AY361" i="1"/>
  <c r="AY362" i="1"/>
  <c r="AY363" i="1"/>
  <c r="AY364" i="1"/>
  <c r="AY365" i="1"/>
  <c r="AY366" i="1"/>
  <c r="AY367" i="1"/>
  <c r="AY368" i="1"/>
  <c r="AY369" i="1"/>
  <c r="AY370" i="1"/>
  <c r="AY371" i="1"/>
  <c r="AY372" i="1"/>
  <c r="AY373" i="1"/>
  <c r="AY374" i="1"/>
  <c r="AY375" i="1"/>
  <c r="AY376" i="1"/>
  <c r="AY377" i="1"/>
  <c r="AY378" i="1"/>
  <c r="AY379" i="1"/>
  <c r="AY380" i="1"/>
  <c r="AY381" i="1"/>
  <c r="AY382" i="1"/>
  <c r="AY383" i="1"/>
  <c r="AY384" i="1"/>
  <c r="AY385" i="1"/>
  <c r="AY386" i="1"/>
  <c r="AY387" i="1"/>
  <c r="AY388" i="1"/>
  <c r="AY389" i="1"/>
  <c r="AY390" i="1"/>
  <c r="AY391" i="1"/>
  <c r="AY392" i="1"/>
  <c r="AY393" i="1"/>
  <c r="AY394" i="1"/>
  <c r="AY395" i="1"/>
  <c r="AY396" i="1"/>
  <c r="AY397" i="1"/>
  <c r="AY398" i="1"/>
  <c r="AY399" i="1"/>
  <c r="AY400" i="1"/>
  <c r="AY401" i="1"/>
  <c r="AY402" i="1"/>
  <c r="AY403" i="1"/>
  <c r="AY404" i="1"/>
  <c r="AY405" i="1"/>
  <c r="AY406" i="1"/>
  <c r="AY407" i="1"/>
  <c r="AY408" i="1"/>
  <c r="AY409" i="1"/>
  <c r="AY410" i="1"/>
  <c r="AY411" i="1"/>
  <c r="AY412" i="1"/>
  <c r="AY413" i="1"/>
  <c r="AY414" i="1"/>
  <c r="AY415" i="1"/>
  <c r="AY416" i="1"/>
  <c r="AY417" i="1"/>
  <c r="AY418" i="1"/>
  <c r="AY419" i="1"/>
  <c r="AY420" i="1"/>
  <c r="AY421" i="1"/>
  <c r="AY422" i="1"/>
  <c r="AY423" i="1"/>
  <c r="AY424" i="1"/>
  <c r="AY425" i="1"/>
  <c r="AY426" i="1"/>
  <c r="AY427" i="1"/>
  <c r="AY428" i="1"/>
  <c r="AY429" i="1"/>
  <c r="AY430" i="1"/>
  <c r="AY431" i="1"/>
  <c r="AY432" i="1"/>
  <c r="AY433" i="1"/>
  <c r="AY434" i="1"/>
  <c r="AY435" i="1"/>
  <c r="AY436" i="1"/>
  <c r="AY437" i="1"/>
  <c r="AY438" i="1"/>
  <c r="AY439" i="1"/>
  <c r="AY440" i="1"/>
  <c r="AY441" i="1"/>
  <c r="AY442" i="1"/>
  <c r="AY443" i="1"/>
  <c r="AY444" i="1"/>
  <c r="AY445" i="1"/>
  <c r="AY446" i="1"/>
  <c r="AY447" i="1"/>
  <c r="AY448" i="1"/>
  <c r="AY449" i="1"/>
  <c r="AY450" i="1"/>
  <c r="AY451" i="1"/>
  <c r="AY452" i="1"/>
  <c r="AY453" i="1"/>
  <c r="AY454" i="1"/>
  <c r="AY455" i="1"/>
  <c r="AY456" i="1"/>
  <c r="AY457" i="1"/>
  <c r="AY458" i="1"/>
  <c r="AY459" i="1"/>
  <c r="AY460" i="1"/>
  <c r="AY461" i="1"/>
  <c r="AY462" i="1"/>
  <c r="AY463" i="1"/>
  <c r="AY464" i="1"/>
  <c r="AY465" i="1"/>
  <c r="AY466" i="1"/>
  <c r="AY467" i="1"/>
  <c r="AY468" i="1"/>
  <c r="AY469" i="1"/>
  <c r="AY470" i="1"/>
  <c r="AY471" i="1"/>
  <c r="AY472" i="1"/>
  <c r="AY473" i="1"/>
  <c r="AY474" i="1"/>
  <c r="AY475" i="1"/>
  <c r="AY476" i="1"/>
  <c r="AY477" i="1"/>
  <c r="AY478" i="1"/>
  <c r="AY479" i="1"/>
  <c r="AY480" i="1"/>
  <c r="AY481" i="1"/>
  <c r="AY482" i="1"/>
  <c r="AY483" i="1"/>
  <c r="AY484" i="1"/>
  <c r="AY485" i="1"/>
  <c r="AY486" i="1"/>
  <c r="AY487" i="1"/>
  <c r="AY488" i="1"/>
  <c r="AY489" i="1"/>
  <c r="AY490" i="1"/>
  <c r="AY491" i="1"/>
  <c r="AY492" i="1"/>
  <c r="AY493" i="1"/>
  <c r="AY494" i="1"/>
  <c r="AY495" i="1"/>
  <c r="AY496" i="1"/>
  <c r="AY497" i="1"/>
  <c r="AY498" i="1"/>
  <c r="AY499" i="1"/>
  <c r="AY500" i="1"/>
  <c r="AY501" i="1"/>
  <c r="AY502" i="1"/>
  <c r="AY503" i="1"/>
  <c r="AY504" i="1"/>
  <c r="AY505" i="1"/>
  <c r="AY506" i="1"/>
  <c r="AY507" i="1"/>
  <c r="AY508" i="1"/>
  <c r="AY509" i="1"/>
  <c r="AY510" i="1"/>
  <c r="AY511" i="1"/>
  <c r="AY512" i="1"/>
  <c r="AY513" i="1"/>
  <c r="AY514" i="1"/>
  <c r="AY515" i="1"/>
  <c r="AY516" i="1"/>
  <c r="AY517" i="1"/>
  <c r="AY518" i="1"/>
  <c r="AY519" i="1"/>
  <c r="AY520" i="1"/>
  <c r="AY521" i="1"/>
  <c r="AY522" i="1"/>
  <c r="AY523" i="1"/>
  <c r="AY524" i="1"/>
  <c r="AY525" i="1"/>
  <c r="AY526" i="1"/>
  <c r="AY527" i="1"/>
  <c r="AY528" i="1"/>
  <c r="AY529" i="1"/>
  <c r="AY530" i="1"/>
  <c r="AY531" i="1"/>
  <c r="AY532" i="1"/>
  <c r="AY533" i="1"/>
  <c r="AY534" i="1"/>
  <c r="AY535" i="1"/>
  <c r="AY536" i="1"/>
  <c r="AY537" i="1"/>
  <c r="AY538" i="1"/>
  <c r="AY539" i="1"/>
  <c r="AY540" i="1"/>
  <c r="AY541" i="1"/>
  <c r="AY542" i="1"/>
  <c r="AY543" i="1"/>
  <c r="AY544" i="1"/>
  <c r="AY545" i="1"/>
  <c r="AY546" i="1"/>
  <c r="AY547" i="1"/>
  <c r="AY548" i="1"/>
  <c r="AY549" i="1"/>
  <c r="AY550" i="1"/>
  <c r="AY551" i="1"/>
  <c r="AY552" i="1"/>
  <c r="AY553" i="1"/>
  <c r="AY554" i="1"/>
  <c r="AY555" i="1"/>
  <c r="AY556" i="1"/>
  <c r="AY557" i="1"/>
  <c r="AY558" i="1"/>
  <c r="AY559" i="1"/>
  <c r="AY560" i="1"/>
  <c r="AY561" i="1"/>
  <c r="AY562" i="1"/>
  <c r="AY563" i="1"/>
  <c r="AY564" i="1"/>
  <c r="AY565" i="1"/>
  <c r="AY566" i="1"/>
  <c r="AY567" i="1"/>
  <c r="AY568" i="1"/>
  <c r="AY569" i="1"/>
  <c r="AY570" i="1"/>
  <c r="AY571" i="1"/>
  <c r="AY572" i="1"/>
  <c r="AY573" i="1"/>
  <c r="AY574" i="1"/>
  <c r="AY575" i="1"/>
  <c r="AY576" i="1"/>
  <c r="AY577" i="1"/>
  <c r="AY578" i="1"/>
  <c r="AY579" i="1"/>
  <c r="AY580" i="1"/>
  <c r="AY581" i="1"/>
  <c r="AY582" i="1"/>
  <c r="AY583" i="1"/>
  <c r="AY584" i="1"/>
  <c r="AY585" i="1"/>
  <c r="AY586" i="1"/>
  <c r="AY587" i="1"/>
  <c r="AY588" i="1"/>
  <c r="AY589" i="1"/>
  <c r="AY590" i="1"/>
  <c r="AY591" i="1"/>
  <c r="AY592" i="1"/>
  <c r="AY593" i="1"/>
  <c r="AY594" i="1"/>
  <c r="AY595" i="1"/>
  <c r="AY596" i="1"/>
  <c r="AY597" i="1"/>
  <c r="AY598" i="1"/>
  <c r="AY599" i="1"/>
  <c r="AY600" i="1"/>
  <c r="AY601" i="1"/>
  <c r="AY602" i="1"/>
  <c r="AY603" i="1"/>
  <c r="AY604" i="1"/>
  <c r="AY605" i="1"/>
  <c r="AY606" i="1"/>
  <c r="AY607" i="1"/>
  <c r="AY608" i="1"/>
  <c r="AY609" i="1"/>
  <c r="AY610" i="1"/>
  <c r="AY611" i="1"/>
  <c r="AY612" i="1"/>
  <c r="AY613" i="1"/>
  <c r="AY614" i="1"/>
  <c r="AY615" i="1"/>
  <c r="AY616" i="1"/>
  <c r="AY617" i="1"/>
  <c r="AY618" i="1"/>
  <c r="AY619" i="1"/>
  <c r="AY620" i="1"/>
  <c r="AY621" i="1"/>
  <c r="AY622" i="1"/>
  <c r="AY623" i="1"/>
  <c r="AY624" i="1"/>
  <c r="AY625" i="1"/>
  <c r="AY626" i="1"/>
  <c r="AY627" i="1"/>
  <c r="AY628" i="1"/>
  <c r="AY629" i="1"/>
  <c r="AY630" i="1"/>
  <c r="AY631" i="1"/>
  <c r="AY632" i="1"/>
  <c r="AY633" i="1"/>
  <c r="AY634" i="1"/>
  <c r="AY635" i="1"/>
  <c r="AY636" i="1"/>
  <c r="AY637" i="1"/>
  <c r="AY638" i="1"/>
  <c r="AY639" i="1"/>
  <c r="AY640" i="1"/>
  <c r="AY641" i="1"/>
  <c r="AY642" i="1"/>
  <c r="AY643" i="1"/>
  <c r="AY644" i="1"/>
  <c r="AY645" i="1"/>
  <c r="AY646" i="1"/>
  <c r="AY647" i="1"/>
  <c r="AY648" i="1"/>
  <c r="AY649" i="1"/>
  <c r="AY650" i="1"/>
  <c r="AY651" i="1"/>
  <c r="AY652" i="1"/>
  <c r="AY653" i="1"/>
  <c r="AY654" i="1"/>
  <c r="AY655" i="1"/>
  <c r="AY656" i="1"/>
  <c r="AY657" i="1"/>
  <c r="AY658" i="1"/>
  <c r="AY659" i="1"/>
  <c r="AY660" i="1"/>
  <c r="AY661" i="1"/>
  <c r="AY662" i="1"/>
  <c r="AY663" i="1"/>
  <c r="AY664" i="1"/>
  <c r="AY665" i="1"/>
  <c r="AY666" i="1"/>
  <c r="AY667" i="1"/>
  <c r="AY668" i="1"/>
  <c r="AY669" i="1"/>
  <c r="AY670" i="1"/>
  <c r="AY671" i="1"/>
  <c r="AY672" i="1"/>
  <c r="AY673" i="1"/>
  <c r="AY674" i="1"/>
  <c r="AY675" i="1"/>
  <c r="AY676" i="1"/>
  <c r="AY677" i="1"/>
  <c r="AY678" i="1"/>
  <c r="AY679" i="1"/>
  <c r="AY680" i="1"/>
  <c r="AY681" i="1"/>
  <c r="AY682" i="1"/>
  <c r="AY683" i="1"/>
  <c r="AY684" i="1"/>
  <c r="AY685" i="1"/>
  <c r="AY686" i="1"/>
  <c r="AY687" i="1"/>
  <c r="AY688" i="1"/>
  <c r="AY689" i="1"/>
  <c r="AY690" i="1"/>
  <c r="AY691" i="1"/>
  <c r="AY692" i="1"/>
  <c r="AY693" i="1"/>
  <c r="AY694" i="1"/>
  <c r="AY695" i="1"/>
  <c r="AY696" i="1"/>
  <c r="AY697" i="1"/>
  <c r="AY698" i="1"/>
  <c r="AY699" i="1"/>
  <c r="AY700" i="1"/>
  <c r="AY701" i="1"/>
  <c r="AY702" i="1"/>
  <c r="AY703" i="1"/>
  <c r="AY704" i="1"/>
  <c r="AY705" i="1"/>
  <c r="AY706" i="1"/>
  <c r="AY707" i="1"/>
  <c r="AY708" i="1"/>
  <c r="AY709" i="1"/>
  <c r="AY710" i="1"/>
  <c r="AY711" i="1"/>
  <c r="AY712" i="1"/>
  <c r="AY713" i="1"/>
  <c r="AY714" i="1"/>
  <c r="AY715" i="1"/>
  <c r="AY716" i="1"/>
  <c r="AY717" i="1"/>
  <c r="AY718" i="1"/>
  <c r="AY719" i="1"/>
  <c r="AY720" i="1"/>
  <c r="AY721" i="1"/>
  <c r="AY722" i="1"/>
  <c r="AY723" i="1"/>
  <c r="AY724" i="1"/>
  <c r="AY725" i="1"/>
  <c r="AY726" i="1"/>
  <c r="AY727" i="1"/>
  <c r="AY728" i="1"/>
  <c r="AY729" i="1"/>
  <c r="AY730" i="1"/>
  <c r="AY731" i="1"/>
  <c r="AY732" i="1"/>
  <c r="AY733" i="1"/>
  <c r="AY734" i="1"/>
  <c r="AY735" i="1"/>
  <c r="AY736" i="1"/>
  <c r="AY737" i="1"/>
  <c r="AY738" i="1"/>
  <c r="AY739" i="1"/>
  <c r="AY740" i="1"/>
  <c r="AY741" i="1"/>
  <c r="AY742" i="1"/>
  <c r="AY743" i="1"/>
  <c r="AY744" i="1"/>
  <c r="AY745" i="1"/>
  <c r="AY746" i="1"/>
  <c r="AY747" i="1"/>
  <c r="AY748" i="1"/>
  <c r="AY749" i="1"/>
  <c r="AY750" i="1"/>
  <c r="AY751" i="1"/>
  <c r="AY752" i="1"/>
  <c r="AY753" i="1"/>
  <c r="AY754" i="1"/>
  <c r="AY755" i="1"/>
  <c r="AY756" i="1"/>
  <c r="AY757" i="1"/>
  <c r="AY758" i="1"/>
  <c r="AY759" i="1"/>
  <c r="AY760" i="1"/>
  <c r="AY761" i="1"/>
  <c r="AY762" i="1"/>
  <c r="AY763" i="1"/>
  <c r="AY764" i="1"/>
  <c r="AY765" i="1"/>
  <c r="AY766" i="1"/>
  <c r="AY767" i="1"/>
  <c r="AY768" i="1"/>
  <c r="AY769" i="1"/>
  <c r="AY770" i="1"/>
  <c r="AY771" i="1"/>
  <c r="AY772" i="1"/>
  <c r="AY773" i="1"/>
  <c r="AY774" i="1"/>
  <c r="AY775" i="1"/>
  <c r="AY776" i="1"/>
  <c r="AY777" i="1"/>
  <c r="AY778" i="1"/>
  <c r="AY779" i="1"/>
  <c r="AY780" i="1"/>
  <c r="AY781" i="1"/>
  <c r="AY782" i="1"/>
  <c r="AY783" i="1"/>
  <c r="AY784" i="1"/>
  <c r="AY785" i="1"/>
  <c r="AY786" i="1"/>
  <c r="AY787" i="1"/>
  <c r="AY788" i="1"/>
  <c r="AY789" i="1"/>
  <c r="AY790" i="1"/>
  <c r="AY791" i="1"/>
  <c r="AY792" i="1"/>
  <c r="AY793" i="1"/>
  <c r="AY794" i="1"/>
  <c r="AY795" i="1"/>
  <c r="AY796" i="1"/>
  <c r="AY797" i="1"/>
  <c r="AY798" i="1"/>
  <c r="AY799" i="1"/>
  <c r="AY800" i="1"/>
  <c r="AY801" i="1"/>
  <c r="AY802" i="1"/>
  <c r="AY803" i="1"/>
  <c r="AY804" i="1"/>
  <c r="AY805" i="1"/>
  <c r="AY806" i="1"/>
  <c r="AY807" i="1"/>
  <c r="AY808" i="1"/>
  <c r="AY809" i="1"/>
  <c r="AY810" i="1"/>
  <c r="AY811" i="1"/>
  <c r="AY812" i="1"/>
  <c r="AY813" i="1"/>
  <c r="AY814" i="1"/>
  <c r="AY815" i="1"/>
  <c r="AY816" i="1"/>
  <c r="AY817" i="1"/>
  <c r="AY818" i="1"/>
  <c r="AY819" i="1"/>
  <c r="AY820" i="1"/>
  <c r="AY821" i="1"/>
  <c r="AY822" i="1"/>
  <c r="AY823" i="1"/>
  <c r="AY824" i="1"/>
  <c r="AY825" i="1"/>
  <c r="AY826" i="1"/>
  <c r="AY827" i="1"/>
  <c r="AY828" i="1"/>
  <c r="AY829" i="1"/>
  <c r="AY830" i="1"/>
  <c r="AY831" i="1"/>
  <c r="AY832" i="1"/>
  <c r="AY833" i="1"/>
  <c r="AY834" i="1"/>
  <c r="AY835" i="1"/>
  <c r="AY836" i="1"/>
  <c r="AY837" i="1"/>
  <c r="AY838" i="1"/>
  <c r="AY839" i="1"/>
  <c r="AY840" i="1"/>
  <c r="AY841" i="1"/>
  <c r="AY842" i="1"/>
  <c r="AY843" i="1"/>
  <c r="AY844" i="1"/>
  <c r="AY845" i="1"/>
  <c r="AY846" i="1"/>
  <c r="AY847" i="1"/>
  <c r="AY848" i="1"/>
  <c r="AY849" i="1"/>
  <c r="AY850" i="1"/>
  <c r="AY851" i="1"/>
  <c r="AY852" i="1"/>
  <c r="AY853" i="1"/>
  <c r="AY854" i="1"/>
  <c r="AY855" i="1"/>
  <c r="AY856" i="1"/>
  <c r="AY857" i="1"/>
  <c r="AY858" i="1"/>
  <c r="AY859" i="1"/>
  <c r="AY860" i="1"/>
  <c r="AY861" i="1"/>
  <c r="AY862" i="1"/>
  <c r="AY863" i="1"/>
  <c r="AY864" i="1"/>
  <c r="AY865" i="1"/>
  <c r="AY866" i="1"/>
  <c r="AY867" i="1"/>
  <c r="AY868" i="1"/>
  <c r="AY869" i="1"/>
  <c r="AY870" i="1"/>
  <c r="AY871" i="1"/>
  <c r="AY872" i="1"/>
  <c r="AY873" i="1"/>
  <c r="AY874" i="1"/>
  <c r="AY875" i="1"/>
  <c r="AY876" i="1"/>
  <c r="AY877" i="1"/>
  <c r="AY878" i="1"/>
  <c r="AY879" i="1"/>
  <c r="AY880" i="1"/>
  <c r="AY881" i="1"/>
  <c r="AY882" i="1"/>
  <c r="AY883" i="1"/>
  <c r="AY884" i="1"/>
  <c r="AY885" i="1"/>
  <c r="AY886" i="1"/>
  <c r="AY887" i="1"/>
  <c r="AY888" i="1"/>
  <c r="AY889" i="1"/>
  <c r="AY890" i="1"/>
  <c r="AY891" i="1"/>
  <c r="AY892" i="1"/>
  <c r="AY893" i="1"/>
  <c r="AY894" i="1"/>
  <c r="AY895" i="1"/>
  <c r="AY896" i="1"/>
  <c r="AY897" i="1"/>
  <c r="AY898" i="1"/>
  <c r="AY899" i="1"/>
  <c r="AY900" i="1"/>
  <c r="AY901" i="1"/>
  <c r="AY902" i="1"/>
  <c r="AY903" i="1"/>
  <c r="AY904" i="1"/>
  <c r="AY905" i="1"/>
  <c r="AY906" i="1"/>
  <c r="AY907" i="1"/>
  <c r="AY908" i="1"/>
  <c r="AY909" i="1"/>
  <c r="AY910" i="1"/>
  <c r="AY911" i="1"/>
  <c r="AY912" i="1"/>
  <c r="AY913" i="1"/>
  <c r="AY914" i="1"/>
  <c r="AY915" i="1"/>
  <c r="AY916" i="1"/>
  <c r="AY917" i="1"/>
  <c r="AY918" i="1"/>
  <c r="AY919" i="1"/>
  <c r="AY920" i="1"/>
  <c r="AY921" i="1"/>
  <c r="AY922" i="1"/>
  <c r="AY923" i="1"/>
  <c r="AY924" i="1"/>
  <c r="AY925" i="1"/>
  <c r="AY926" i="1"/>
  <c r="AY927" i="1"/>
  <c r="AY928" i="1"/>
  <c r="AY929" i="1"/>
  <c r="AY930" i="1"/>
  <c r="AY931" i="1"/>
  <c r="AY932" i="1"/>
  <c r="AY933" i="1"/>
  <c r="AY934" i="1"/>
  <c r="AY935" i="1"/>
  <c r="AY936" i="1"/>
  <c r="AY937" i="1"/>
  <c r="AY938" i="1"/>
  <c r="AY939" i="1"/>
  <c r="AY940" i="1"/>
  <c r="AY941" i="1"/>
  <c r="AY942" i="1"/>
  <c r="AY943" i="1"/>
  <c r="AY944" i="1"/>
  <c r="AY945" i="1"/>
  <c r="AY946" i="1"/>
  <c r="AY947" i="1"/>
  <c r="AY948" i="1"/>
  <c r="AY949" i="1"/>
  <c r="AY950" i="1"/>
  <c r="AY951" i="1"/>
  <c r="AY952" i="1"/>
  <c r="AY953" i="1"/>
  <c r="AY954" i="1"/>
  <c r="AY955" i="1"/>
  <c r="AY956" i="1"/>
  <c r="AY957" i="1"/>
  <c r="AY958" i="1"/>
  <c r="AY959" i="1"/>
  <c r="AY960" i="1"/>
  <c r="AY961" i="1"/>
  <c r="AY962" i="1"/>
  <c r="AY963" i="1"/>
  <c r="AY964" i="1"/>
  <c r="AY965" i="1"/>
  <c r="AY966" i="1"/>
  <c r="AY967" i="1"/>
  <c r="AY968" i="1"/>
  <c r="AY969" i="1"/>
  <c r="AY970" i="1"/>
  <c r="AY971" i="1"/>
  <c r="AY972" i="1"/>
  <c r="AY973" i="1"/>
  <c r="AY974" i="1"/>
  <c r="AY975" i="1"/>
  <c r="AY976" i="1"/>
  <c r="AY977" i="1"/>
  <c r="AY978" i="1"/>
  <c r="AY979" i="1"/>
  <c r="AY980" i="1"/>
  <c r="AY981" i="1"/>
  <c r="AY982" i="1"/>
  <c r="AY983" i="1"/>
  <c r="AY984" i="1"/>
  <c r="AY985" i="1"/>
  <c r="AY986" i="1"/>
  <c r="AY987" i="1"/>
  <c r="AY988" i="1"/>
  <c r="AY989" i="1"/>
  <c r="AY990" i="1"/>
  <c r="AY991" i="1"/>
  <c r="AY992" i="1"/>
  <c r="AY993" i="1"/>
  <c r="AY994" i="1"/>
  <c r="AY995" i="1"/>
  <c r="AY996" i="1"/>
  <c r="AY997" i="1"/>
  <c r="AY998" i="1"/>
  <c r="AY999" i="1"/>
  <c r="AY1000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330" i="1"/>
  <c r="AZ331" i="1"/>
  <c r="AZ332" i="1"/>
  <c r="AZ333" i="1"/>
  <c r="AZ334" i="1"/>
  <c r="AZ335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85" i="1"/>
  <c r="AZ386" i="1"/>
  <c r="AZ387" i="1"/>
  <c r="AZ388" i="1"/>
  <c r="AZ389" i="1"/>
  <c r="AZ390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440" i="1"/>
  <c r="AZ441" i="1"/>
  <c r="AZ442" i="1"/>
  <c r="AZ443" i="1"/>
  <c r="AZ444" i="1"/>
  <c r="AZ445" i="1"/>
  <c r="AZ446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96" i="1"/>
  <c r="AZ497" i="1"/>
  <c r="AZ498" i="1"/>
  <c r="AZ499" i="1"/>
  <c r="AZ500" i="1"/>
  <c r="AZ501" i="1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51" i="1"/>
  <c r="AZ552" i="1"/>
  <c r="AZ553" i="1"/>
  <c r="AZ554" i="1"/>
  <c r="AZ555" i="1"/>
  <c r="AZ556" i="1"/>
  <c r="AZ557" i="1"/>
  <c r="AZ558" i="1"/>
  <c r="AZ559" i="1"/>
  <c r="AZ560" i="1"/>
  <c r="AZ561" i="1"/>
  <c r="AZ562" i="1"/>
  <c r="AZ563" i="1"/>
  <c r="AZ564" i="1"/>
  <c r="AZ565" i="1"/>
  <c r="AZ566" i="1"/>
  <c r="AZ567" i="1"/>
  <c r="AZ568" i="1"/>
  <c r="AZ569" i="1"/>
  <c r="AZ570" i="1"/>
  <c r="AZ571" i="1"/>
  <c r="AZ572" i="1"/>
  <c r="AZ573" i="1"/>
  <c r="AZ574" i="1"/>
  <c r="AZ575" i="1"/>
  <c r="AZ576" i="1"/>
  <c r="AZ577" i="1"/>
  <c r="AZ578" i="1"/>
  <c r="AZ579" i="1"/>
  <c r="AZ580" i="1"/>
  <c r="AZ581" i="1"/>
  <c r="AZ582" i="1"/>
  <c r="AZ583" i="1"/>
  <c r="AZ584" i="1"/>
  <c r="AZ585" i="1"/>
  <c r="AZ586" i="1"/>
  <c r="AZ587" i="1"/>
  <c r="AZ588" i="1"/>
  <c r="AZ589" i="1"/>
  <c r="AZ590" i="1"/>
  <c r="AZ591" i="1"/>
  <c r="AZ592" i="1"/>
  <c r="AZ593" i="1"/>
  <c r="AZ594" i="1"/>
  <c r="AZ595" i="1"/>
  <c r="AZ596" i="1"/>
  <c r="AZ597" i="1"/>
  <c r="AZ598" i="1"/>
  <c r="AZ599" i="1"/>
  <c r="AZ600" i="1"/>
  <c r="AZ601" i="1"/>
  <c r="AZ602" i="1"/>
  <c r="AZ603" i="1"/>
  <c r="AZ604" i="1"/>
  <c r="AZ605" i="1"/>
  <c r="AZ606" i="1"/>
  <c r="AZ607" i="1"/>
  <c r="AZ608" i="1"/>
  <c r="AZ609" i="1"/>
  <c r="AZ610" i="1"/>
  <c r="AZ611" i="1"/>
  <c r="AZ612" i="1"/>
  <c r="AZ613" i="1"/>
  <c r="AZ614" i="1"/>
  <c r="AZ615" i="1"/>
  <c r="AZ616" i="1"/>
  <c r="AZ617" i="1"/>
  <c r="AZ618" i="1"/>
  <c r="AZ619" i="1"/>
  <c r="AZ620" i="1"/>
  <c r="AZ621" i="1"/>
  <c r="AZ622" i="1"/>
  <c r="AZ623" i="1"/>
  <c r="AZ624" i="1"/>
  <c r="AZ625" i="1"/>
  <c r="AZ626" i="1"/>
  <c r="AZ627" i="1"/>
  <c r="AZ628" i="1"/>
  <c r="AZ629" i="1"/>
  <c r="AZ630" i="1"/>
  <c r="AZ631" i="1"/>
  <c r="AZ632" i="1"/>
  <c r="AZ633" i="1"/>
  <c r="AZ634" i="1"/>
  <c r="AZ635" i="1"/>
  <c r="AZ636" i="1"/>
  <c r="AZ637" i="1"/>
  <c r="AZ638" i="1"/>
  <c r="AZ639" i="1"/>
  <c r="AZ640" i="1"/>
  <c r="AZ641" i="1"/>
  <c r="AZ642" i="1"/>
  <c r="AZ643" i="1"/>
  <c r="AZ644" i="1"/>
  <c r="AZ645" i="1"/>
  <c r="AZ646" i="1"/>
  <c r="AZ647" i="1"/>
  <c r="AZ648" i="1"/>
  <c r="AZ649" i="1"/>
  <c r="AZ650" i="1"/>
  <c r="AZ651" i="1"/>
  <c r="AZ652" i="1"/>
  <c r="AZ653" i="1"/>
  <c r="AZ654" i="1"/>
  <c r="AZ655" i="1"/>
  <c r="AZ656" i="1"/>
  <c r="AZ657" i="1"/>
  <c r="AZ658" i="1"/>
  <c r="AZ659" i="1"/>
  <c r="AZ660" i="1"/>
  <c r="AZ661" i="1"/>
  <c r="AZ662" i="1"/>
  <c r="AZ663" i="1"/>
  <c r="AZ664" i="1"/>
  <c r="AZ665" i="1"/>
  <c r="AZ666" i="1"/>
  <c r="AZ667" i="1"/>
  <c r="AZ668" i="1"/>
  <c r="AZ669" i="1"/>
  <c r="AZ670" i="1"/>
  <c r="AZ671" i="1"/>
  <c r="AZ672" i="1"/>
  <c r="AZ673" i="1"/>
  <c r="AZ674" i="1"/>
  <c r="AZ675" i="1"/>
  <c r="AZ676" i="1"/>
  <c r="AZ677" i="1"/>
  <c r="AZ678" i="1"/>
  <c r="AZ679" i="1"/>
  <c r="AZ680" i="1"/>
  <c r="AZ681" i="1"/>
  <c r="AZ682" i="1"/>
  <c r="AZ683" i="1"/>
  <c r="AZ684" i="1"/>
  <c r="AZ685" i="1"/>
  <c r="AZ686" i="1"/>
  <c r="AZ687" i="1"/>
  <c r="AZ688" i="1"/>
  <c r="AZ689" i="1"/>
  <c r="AZ690" i="1"/>
  <c r="AZ691" i="1"/>
  <c r="AZ692" i="1"/>
  <c r="AZ693" i="1"/>
  <c r="AZ694" i="1"/>
  <c r="AZ695" i="1"/>
  <c r="AZ696" i="1"/>
  <c r="AZ697" i="1"/>
  <c r="AZ698" i="1"/>
  <c r="AZ699" i="1"/>
  <c r="AZ700" i="1"/>
  <c r="AZ701" i="1"/>
  <c r="AZ702" i="1"/>
  <c r="AZ703" i="1"/>
  <c r="AZ704" i="1"/>
  <c r="AZ705" i="1"/>
  <c r="AZ706" i="1"/>
  <c r="AZ707" i="1"/>
  <c r="AZ708" i="1"/>
  <c r="AZ709" i="1"/>
  <c r="AZ710" i="1"/>
  <c r="AZ711" i="1"/>
  <c r="AZ712" i="1"/>
  <c r="AZ713" i="1"/>
  <c r="AZ714" i="1"/>
  <c r="AZ715" i="1"/>
  <c r="AZ716" i="1"/>
  <c r="AZ717" i="1"/>
  <c r="AZ718" i="1"/>
  <c r="AZ719" i="1"/>
  <c r="AZ720" i="1"/>
  <c r="AZ721" i="1"/>
  <c r="AZ722" i="1"/>
  <c r="AZ723" i="1"/>
  <c r="AZ724" i="1"/>
  <c r="AZ725" i="1"/>
  <c r="AZ726" i="1"/>
  <c r="AZ727" i="1"/>
  <c r="AZ728" i="1"/>
  <c r="AZ729" i="1"/>
  <c r="AZ730" i="1"/>
  <c r="AZ731" i="1"/>
  <c r="AZ732" i="1"/>
  <c r="AZ733" i="1"/>
  <c r="AZ734" i="1"/>
  <c r="AZ735" i="1"/>
  <c r="AZ736" i="1"/>
  <c r="AZ737" i="1"/>
  <c r="AZ738" i="1"/>
  <c r="AZ739" i="1"/>
  <c r="AZ740" i="1"/>
  <c r="AZ741" i="1"/>
  <c r="AZ742" i="1"/>
  <c r="AZ743" i="1"/>
  <c r="AZ744" i="1"/>
  <c r="AZ745" i="1"/>
  <c r="AZ746" i="1"/>
  <c r="AZ747" i="1"/>
  <c r="AZ748" i="1"/>
  <c r="AZ749" i="1"/>
  <c r="AZ750" i="1"/>
  <c r="AZ751" i="1"/>
  <c r="AZ752" i="1"/>
  <c r="AZ753" i="1"/>
  <c r="AZ754" i="1"/>
  <c r="AZ755" i="1"/>
  <c r="AZ756" i="1"/>
  <c r="AZ757" i="1"/>
  <c r="AZ758" i="1"/>
  <c r="AZ759" i="1"/>
  <c r="AZ760" i="1"/>
  <c r="AZ761" i="1"/>
  <c r="AZ762" i="1"/>
  <c r="AZ763" i="1"/>
  <c r="AZ764" i="1"/>
  <c r="AZ765" i="1"/>
  <c r="AZ766" i="1"/>
  <c r="AZ767" i="1"/>
  <c r="AZ768" i="1"/>
  <c r="AZ769" i="1"/>
  <c r="AZ770" i="1"/>
  <c r="AZ771" i="1"/>
  <c r="AZ772" i="1"/>
  <c r="AZ773" i="1"/>
  <c r="AZ774" i="1"/>
  <c r="AZ775" i="1"/>
  <c r="AZ776" i="1"/>
  <c r="AZ777" i="1"/>
  <c r="AZ778" i="1"/>
  <c r="AZ779" i="1"/>
  <c r="AZ780" i="1"/>
  <c r="AZ781" i="1"/>
  <c r="AZ782" i="1"/>
  <c r="AZ783" i="1"/>
  <c r="AZ784" i="1"/>
  <c r="AZ785" i="1"/>
  <c r="AZ786" i="1"/>
  <c r="AZ787" i="1"/>
  <c r="AZ788" i="1"/>
  <c r="AZ789" i="1"/>
  <c r="AZ790" i="1"/>
  <c r="AZ791" i="1"/>
  <c r="AZ792" i="1"/>
  <c r="AZ793" i="1"/>
  <c r="AZ794" i="1"/>
  <c r="AZ795" i="1"/>
  <c r="AZ796" i="1"/>
  <c r="AZ797" i="1"/>
  <c r="AZ798" i="1"/>
  <c r="AZ799" i="1"/>
  <c r="AZ800" i="1"/>
  <c r="AZ801" i="1"/>
  <c r="AZ802" i="1"/>
  <c r="AZ803" i="1"/>
  <c r="AZ804" i="1"/>
  <c r="AZ805" i="1"/>
  <c r="AZ806" i="1"/>
  <c r="AZ807" i="1"/>
  <c r="AZ808" i="1"/>
  <c r="AZ809" i="1"/>
  <c r="AZ810" i="1"/>
  <c r="AZ811" i="1"/>
  <c r="AZ812" i="1"/>
  <c r="AZ813" i="1"/>
  <c r="AZ814" i="1"/>
  <c r="AZ815" i="1"/>
  <c r="AZ816" i="1"/>
  <c r="AZ817" i="1"/>
  <c r="AZ818" i="1"/>
  <c r="AZ819" i="1"/>
  <c r="AZ820" i="1"/>
  <c r="AZ821" i="1"/>
  <c r="AZ822" i="1"/>
  <c r="AZ823" i="1"/>
  <c r="AZ824" i="1"/>
  <c r="AZ825" i="1"/>
  <c r="AZ826" i="1"/>
  <c r="AZ827" i="1"/>
  <c r="AZ828" i="1"/>
  <c r="AZ829" i="1"/>
  <c r="AZ830" i="1"/>
  <c r="AZ831" i="1"/>
  <c r="AZ832" i="1"/>
  <c r="AZ833" i="1"/>
  <c r="AZ834" i="1"/>
  <c r="AZ835" i="1"/>
  <c r="AZ836" i="1"/>
  <c r="AZ837" i="1"/>
  <c r="AZ838" i="1"/>
  <c r="AZ839" i="1"/>
  <c r="AZ840" i="1"/>
  <c r="AZ841" i="1"/>
  <c r="AZ842" i="1"/>
  <c r="AZ843" i="1"/>
  <c r="AZ844" i="1"/>
  <c r="AZ845" i="1"/>
  <c r="AZ846" i="1"/>
  <c r="AZ847" i="1"/>
  <c r="AZ848" i="1"/>
  <c r="AZ849" i="1"/>
  <c r="AZ850" i="1"/>
  <c r="AZ851" i="1"/>
  <c r="AZ852" i="1"/>
  <c r="AZ853" i="1"/>
  <c r="AZ854" i="1"/>
  <c r="AZ855" i="1"/>
  <c r="AZ856" i="1"/>
  <c r="AZ857" i="1"/>
  <c r="AZ858" i="1"/>
  <c r="AZ859" i="1"/>
  <c r="AZ860" i="1"/>
  <c r="AZ861" i="1"/>
  <c r="AZ862" i="1"/>
  <c r="AZ863" i="1"/>
  <c r="AZ864" i="1"/>
  <c r="AZ865" i="1"/>
  <c r="AZ866" i="1"/>
  <c r="AZ867" i="1"/>
  <c r="AZ868" i="1"/>
  <c r="AZ869" i="1"/>
  <c r="AZ870" i="1"/>
  <c r="AZ871" i="1"/>
  <c r="AZ872" i="1"/>
  <c r="AZ873" i="1"/>
  <c r="AZ874" i="1"/>
  <c r="AZ875" i="1"/>
  <c r="AZ876" i="1"/>
  <c r="AZ877" i="1"/>
  <c r="AZ878" i="1"/>
  <c r="AZ879" i="1"/>
  <c r="AZ880" i="1"/>
  <c r="AZ881" i="1"/>
  <c r="AZ882" i="1"/>
  <c r="AZ883" i="1"/>
  <c r="AZ884" i="1"/>
  <c r="AZ885" i="1"/>
  <c r="AZ886" i="1"/>
  <c r="AZ887" i="1"/>
  <c r="AZ888" i="1"/>
  <c r="AZ889" i="1"/>
  <c r="AZ890" i="1"/>
  <c r="AZ891" i="1"/>
  <c r="AZ892" i="1"/>
  <c r="AZ893" i="1"/>
  <c r="AZ894" i="1"/>
  <c r="AZ895" i="1"/>
  <c r="AZ896" i="1"/>
  <c r="AZ897" i="1"/>
  <c r="AZ898" i="1"/>
  <c r="AZ899" i="1"/>
  <c r="AZ900" i="1"/>
  <c r="AZ901" i="1"/>
  <c r="AZ902" i="1"/>
  <c r="AZ903" i="1"/>
  <c r="AZ904" i="1"/>
  <c r="AZ905" i="1"/>
  <c r="AZ906" i="1"/>
  <c r="AZ907" i="1"/>
  <c r="AZ908" i="1"/>
  <c r="AZ909" i="1"/>
  <c r="AZ910" i="1"/>
  <c r="AZ911" i="1"/>
  <c r="AZ912" i="1"/>
  <c r="AZ913" i="1"/>
  <c r="AZ914" i="1"/>
  <c r="AZ915" i="1"/>
  <c r="AZ916" i="1"/>
  <c r="AZ917" i="1"/>
  <c r="AZ918" i="1"/>
  <c r="AZ919" i="1"/>
  <c r="AZ920" i="1"/>
  <c r="AZ921" i="1"/>
  <c r="AZ922" i="1"/>
  <c r="AZ923" i="1"/>
  <c r="AZ924" i="1"/>
  <c r="AZ925" i="1"/>
  <c r="AZ926" i="1"/>
  <c r="AZ927" i="1"/>
  <c r="AZ928" i="1"/>
  <c r="AZ929" i="1"/>
  <c r="AZ930" i="1"/>
  <c r="AZ931" i="1"/>
  <c r="AZ932" i="1"/>
  <c r="AZ933" i="1"/>
  <c r="AZ934" i="1"/>
  <c r="AZ935" i="1"/>
  <c r="AZ936" i="1"/>
  <c r="AZ937" i="1"/>
  <c r="AZ938" i="1"/>
  <c r="AZ939" i="1"/>
  <c r="AZ940" i="1"/>
  <c r="AZ941" i="1"/>
  <c r="AZ942" i="1"/>
  <c r="AZ943" i="1"/>
  <c r="AZ944" i="1"/>
  <c r="AZ945" i="1"/>
  <c r="AZ946" i="1"/>
  <c r="AZ947" i="1"/>
  <c r="AZ948" i="1"/>
  <c r="AZ949" i="1"/>
  <c r="AZ950" i="1"/>
  <c r="AZ951" i="1"/>
  <c r="AZ952" i="1"/>
  <c r="AZ953" i="1"/>
  <c r="AZ954" i="1"/>
  <c r="AZ955" i="1"/>
  <c r="AZ956" i="1"/>
  <c r="AZ957" i="1"/>
  <c r="AZ958" i="1"/>
  <c r="AZ959" i="1"/>
  <c r="AZ960" i="1"/>
  <c r="AZ961" i="1"/>
  <c r="AZ962" i="1"/>
  <c r="AZ963" i="1"/>
  <c r="AZ964" i="1"/>
  <c r="AZ965" i="1"/>
  <c r="AZ966" i="1"/>
  <c r="AZ967" i="1"/>
  <c r="AZ968" i="1"/>
  <c r="AZ969" i="1"/>
  <c r="AZ970" i="1"/>
  <c r="AZ971" i="1"/>
  <c r="AZ972" i="1"/>
  <c r="AZ973" i="1"/>
  <c r="AZ974" i="1"/>
  <c r="AZ975" i="1"/>
  <c r="AZ976" i="1"/>
  <c r="AZ977" i="1"/>
  <c r="AZ978" i="1"/>
  <c r="AZ979" i="1"/>
  <c r="AZ980" i="1"/>
  <c r="AZ981" i="1"/>
  <c r="AZ982" i="1"/>
  <c r="AZ983" i="1"/>
  <c r="AZ984" i="1"/>
  <c r="AZ985" i="1"/>
  <c r="AZ986" i="1"/>
  <c r="AZ987" i="1"/>
  <c r="AZ988" i="1"/>
  <c r="AZ989" i="1"/>
  <c r="AZ990" i="1"/>
  <c r="AZ991" i="1"/>
  <c r="AZ992" i="1"/>
  <c r="AZ993" i="1"/>
  <c r="AZ994" i="1"/>
  <c r="AZ995" i="1"/>
  <c r="AZ996" i="1"/>
  <c r="AZ997" i="1"/>
  <c r="AZ998" i="1"/>
  <c r="AZ999" i="1"/>
  <c r="AZ1000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E282" i="1"/>
  <c r="BE283" i="1"/>
  <c r="BE284" i="1"/>
  <c r="BE286" i="1"/>
  <c r="BE287" i="1"/>
  <c r="BE288" i="1"/>
  <c r="BE289" i="1"/>
  <c r="BE290" i="1"/>
  <c r="BE291" i="1"/>
  <c r="BG291" i="1" s="1"/>
  <c r="BE292" i="1"/>
  <c r="BG292" i="1" s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G304" i="1" s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G352" i="1" s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G375" i="1" s="1"/>
  <c r="BE376" i="1"/>
  <c r="BG376" i="1" s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G388" i="1" s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G424" i="1" s="1"/>
  <c r="BE425" i="1"/>
  <c r="BE426" i="1"/>
  <c r="BE427" i="1"/>
  <c r="BE428" i="1"/>
  <c r="BE429" i="1"/>
  <c r="BE430" i="1"/>
  <c r="BE431" i="1"/>
  <c r="BE432" i="1"/>
  <c r="BE433" i="1"/>
  <c r="BE434" i="1"/>
  <c r="BE435" i="1"/>
  <c r="BG435" i="1" s="1"/>
  <c r="BE436" i="1"/>
  <c r="BG436" i="1" s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G448" i="1" s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G496" i="1" s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G520" i="1" s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G568" i="1" s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G592" i="1" s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G616" i="1" s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G640" i="1" s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G664" i="1" s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G688" i="1" s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G712" i="1" s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G736" i="1" s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G760" i="1" s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G784" i="1" s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G808" i="1" s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G832" i="1" s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G856" i="1" s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G880" i="1" s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G904" i="1" s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G928" i="1" s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G952" i="1" s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G976" i="1" s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G1000" i="1" s="1"/>
  <c r="BF282" i="1"/>
  <c r="BG282" i="1" s="1"/>
  <c r="BF283" i="1"/>
  <c r="BF284" i="1"/>
  <c r="BF285" i="1"/>
  <c r="BF286" i="1"/>
  <c r="BG286" i="1" s="1"/>
  <c r="BF290" i="1"/>
  <c r="BF291" i="1"/>
  <c r="BF292" i="1"/>
  <c r="BF293" i="1"/>
  <c r="BG293" i="1" s="1"/>
  <c r="BF294" i="1"/>
  <c r="BF295" i="1"/>
  <c r="BF296" i="1"/>
  <c r="BF297" i="1"/>
  <c r="BF298" i="1"/>
  <c r="BF302" i="1"/>
  <c r="BF303" i="1"/>
  <c r="BF304" i="1"/>
  <c r="BF305" i="1"/>
  <c r="BG305" i="1" s="1"/>
  <c r="BF306" i="1"/>
  <c r="BF307" i="1"/>
  <c r="BF308" i="1"/>
  <c r="BF309" i="1"/>
  <c r="BF310" i="1"/>
  <c r="BF314" i="1"/>
  <c r="BF315" i="1"/>
  <c r="BF316" i="1"/>
  <c r="BF317" i="1"/>
  <c r="BG317" i="1" s="1"/>
  <c r="BF318" i="1"/>
  <c r="BF319" i="1"/>
  <c r="BF320" i="1"/>
  <c r="BF321" i="1"/>
  <c r="BF322" i="1"/>
  <c r="BF326" i="1"/>
  <c r="BF327" i="1"/>
  <c r="BF328" i="1"/>
  <c r="BG328" i="1" s="1"/>
  <c r="BF329" i="1"/>
  <c r="BF330" i="1"/>
  <c r="BF331" i="1"/>
  <c r="BF332" i="1"/>
  <c r="BF333" i="1"/>
  <c r="BF334" i="1"/>
  <c r="BF338" i="1"/>
  <c r="BF339" i="1"/>
  <c r="BF340" i="1"/>
  <c r="BF341" i="1"/>
  <c r="BF342" i="1"/>
  <c r="BF343" i="1"/>
  <c r="BF344" i="1"/>
  <c r="BF345" i="1"/>
  <c r="BF346" i="1"/>
  <c r="BF347" i="1"/>
  <c r="BF350" i="1"/>
  <c r="BF351" i="1"/>
  <c r="BF352" i="1"/>
  <c r="BF353" i="1"/>
  <c r="BF354" i="1"/>
  <c r="BF355" i="1"/>
  <c r="BF356" i="1"/>
  <c r="BF357" i="1"/>
  <c r="BF358" i="1"/>
  <c r="BF359" i="1"/>
  <c r="BF360" i="1"/>
  <c r="BG360" i="1" s="1"/>
  <c r="BF362" i="1"/>
  <c r="BF363" i="1"/>
  <c r="BF364" i="1"/>
  <c r="BG364" i="1" s="1"/>
  <c r="BF365" i="1"/>
  <c r="BF366" i="1"/>
  <c r="BF367" i="1"/>
  <c r="BF368" i="1"/>
  <c r="BF369" i="1"/>
  <c r="BF370" i="1"/>
  <c r="BF371" i="1"/>
  <c r="BF372" i="1"/>
  <c r="BG372" i="1" s="1"/>
  <c r="BF374" i="1"/>
  <c r="BG374" i="1" s="1"/>
  <c r="BF375" i="1"/>
  <c r="BF376" i="1"/>
  <c r="BF377" i="1"/>
  <c r="BF378" i="1"/>
  <c r="BF379" i="1"/>
  <c r="BF380" i="1"/>
  <c r="BF381" i="1"/>
  <c r="BF382" i="1"/>
  <c r="BG382" i="1" s="1"/>
  <c r="BF386" i="1"/>
  <c r="BF387" i="1"/>
  <c r="BF388" i="1"/>
  <c r="BF389" i="1"/>
  <c r="BG389" i="1" s="1"/>
  <c r="BF390" i="1"/>
  <c r="BF391" i="1"/>
  <c r="BF392" i="1"/>
  <c r="BF393" i="1"/>
  <c r="BF394" i="1"/>
  <c r="BG394" i="1" s="1"/>
  <c r="BF398" i="1"/>
  <c r="BG398" i="1" s="1"/>
  <c r="BF399" i="1"/>
  <c r="BG399" i="1" s="1"/>
  <c r="BF400" i="1"/>
  <c r="BG400" i="1" s="1"/>
  <c r="BF401" i="1"/>
  <c r="BG401" i="1" s="1"/>
  <c r="BF402" i="1"/>
  <c r="BF403" i="1"/>
  <c r="BF404" i="1"/>
  <c r="BG404" i="1" s="1"/>
  <c r="BF405" i="1"/>
  <c r="BF406" i="1"/>
  <c r="BG406" i="1" s="1"/>
  <c r="BF410" i="1"/>
  <c r="BF411" i="1"/>
  <c r="BF412" i="1"/>
  <c r="BF413" i="1"/>
  <c r="BG413" i="1" s="1"/>
  <c r="BF414" i="1"/>
  <c r="BF415" i="1"/>
  <c r="BF416" i="1"/>
  <c r="BF417" i="1"/>
  <c r="BF418" i="1"/>
  <c r="BG418" i="1" s="1"/>
  <c r="BF422" i="1"/>
  <c r="BF423" i="1"/>
  <c r="BG423" i="1" s="1"/>
  <c r="BF424" i="1"/>
  <c r="BF425" i="1"/>
  <c r="BG425" i="1" s="1"/>
  <c r="BF426" i="1"/>
  <c r="BF427" i="1"/>
  <c r="BF428" i="1"/>
  <c r="BF429" i="1"/>
  <c r="BF430" i="1"/>
  <c r="BG430" i="1" s="1"/>
  <c r="BF434" i="1"/>
  <c r="BF435" i="1"/>
  <c r="BF436" i="1"/>
  <c r="BF437" i="1"/>
  <c r="BG437" i="1" s="1"/>
  <c r="BF438" i="1"/>
  <c r="BF439" i="1"/>
  <c r="BF440" i="1"/>
  <c r="BF441" i="1"/>
  <c r="BF442" i="1"/>
  <c r="BF446" i="1"/>
  <c r="BF447" i="1"/>
  <c r="BF448" i="1"/>
  <c r="BF449" i="1"/>
  <c r="BG449" i="1" s="1"/>
  <c r="BF450" i="1"/>
  <c r="BF451" i="1"/>
  <c r="BF452" i="1"/>
  <c r="BF453" i="1"/>
  <c r="BF454" i="1"/>
  <c r="BF458" i="1"/>
  <c r="BF459" i="1"/>
  <c r="BF460" i="1"/>
  <c r="BF461" i="1"/>
  <c r="BG461" i="1" s="1"/>
  <c r="BF462" i="1"/>
  <c r="BF463" i="1"/>
  <c r="BF464" i="1"/>
  <c r="BF465" i="1"/>
  <c r="BF466" i="1"/>
  <c r="BF470" i="1"/>
  <c r="BF471" i="1"/>
  <c r="BF472" i="1"/>
  <c r="BG472" i="1" s="1"/>
  <c r="BF473" i="1"/>
  <c r="BF474" i="1"/>
  <c r="BF475" i="1"/>
  <c r="BF476" i="1"/>
  <c r="BF477" i="1"/>
  <c r="BF478" i="1"/>
  <c r="BF482" i="1"/>
  <c r="BF483" i="1"/>
  <c r="BF484" i="1"/>
  <c r="BF485" i="1"/>
  <c r="BF486" i="1"/>
  <c r="BF487" i="1"/>
  <c r="BF488" i="1"/>
  <c r="BF489" i="1"/>
  <c r="BF490" i="1"/>
  <c r="BF491" i="1"/>
  <c r="BF494" i="1"/>
  <c r="BF495" i="1"/>
  <c r="BF496" i="1"/>
  <c r="BF497" i="1"/>
  <c r="BF498" i="1"/>
  <c r="BF499" i="1"/>
  <c r="BF500" i="1"/>
  <c r="BF501" i="1"/>
  <c r="BF502" i="1"/>
  <c r="BF503" i="1"/>
  <c r="BF504" i="1"/>
  <c r="BG504" i="1" s="1"/>
  <c r="BF506" i="1"/>
  <c r="BF507" i="1"/>
  <c r="BF508" i="1"/>
  <c r="BG508" i="1" s="1"/>
  <c r="BF509" i="1"/>
  <c r="BF510" i="1"/>
  <c r="BF511" i="1"/>
  <c r="BF512" i="1"/>
  <c r="BF513" i="1"/>
  <c r="BF514" i="1"/>
  <c r="BF515" i="1"/>
  <c r="BF516" i="1"/>
  <c r="BG516" i="1" s="1"/>
  <c r="BF518" i="1"/>
  <c r="BG518" i="1" s="1"/>
  <c r="BF519" i="1"/>
  <c r="BF520" i="1"/>
  <c r="BF521" i="1"/>
  <c r="BF522" i="1"/>
  <c r="BF523" i="1"/>
  <c r="BF524" i="1"/>
  <c r="BF525" i="1"/>
  <c r="BF526" i="1"/>
  <c r="BF530" i="1"/>
  <c r="BF531" i="1"/>
  <c r="BF532" i="1"/>
  <c r="BF533" i="1"/>
  <c r="BF534" i="1"/>
  <c r="BF535" i="1"/>
  <c r="BF536" i="1"/>
  <c r="BF537" i="1"/>
  <c r="BF538" i="1"/>
  <c r="BF542" i="1"/>
  <c r="BG542" i="1" s="1"/>
  <c r="BF543" i="1"/>
  <c r="BF544" i="1"/>
  <c r="BF545" i="1"/>
  <c r="BF546" i="1"/>
  <c r="BF547" i="1"/>
  <c r="BF548" i="1"/>
  <c r="BF549" i="1"/>
  <c r="BF550" i="1"/>
  <c r="BF554" i="1"/>
  <c r="BF555" i="1"/>
  <c r="BF556" i="1"/>
  <c r="BF557" i="1"/>
  <c r="BF558" i="1"/>
  <c r="BF559" i="1"/>
  <c r="BF560" i="1"/>
  <c r="BF561" i="1"/>
  <c r="BF562" i="1"/>
  <c r="BF566" i="1"/>
  <c r="BF567" i="1"/>
  <c r="BF568" i="1"/>
  <c r="BF569" i="1"/>
  <c r="BG569" i="1" s="1"/>
  <c r="BF570" i="1"/>
  <c r="BG570" i="1" s="1"/>
  <c r="BF571" i="1"/>
  <c r="BF572" i="1"/>
  <c r="BF573" i="1"/>
  <c r="BF574" i="1"/>
  <c r="BF578" i="1"/>
  <c r="BF579" i="1"/>
  <c r="BF580" i="1"/>
  <c r="BG580" i="1" s="1"/>
  <c r="BF581" i="1"/>
  <c r="BG581" i="1" s="1"/>
  <c r="BF582" i="1"/>
  <c r="BG582" i="1" s="1"/>
  <c r="BF583" i="1"/>
  <c r="BF584" i="1"/>
  <c r="BF585" i="1"/>
  <c r="BF586" i="1"/>
  <c r="BF590" i="1"/>
  <c r="BF591" i="1"/>
  <c r="BF592" i="1"/>
  <c r="BF593" i="1"/>
  <c r="BG593" i="1" s="1"/>
  <c r="BF594" i="1"/>
  <c r="BG594" i="1" s="1"/>
  <c r="BF595" i="1"/>
  <c r="BF596" i="1"/>
  <c r="BF597" i="1"/>
  <c r="BF598" i="1"/>
  <c r="BF602" i="1"/>
  <c r="BF603" i="1"/>
  <c r="BF604" i="1"/>
  <c r="BG604" i="1" s="1"/>
  <c r="BF605" i="1"/>
  <c r="BG605" i="1" s="1"/>
  <c r="BF606" i="1"/>
  <c r="BG606" i="1" s="1"/>
  <c r="BF607" i="1"/>
  <c r="BF608" i="1"/>
  <c r="BF610" i="1"/>
  <c r="BF614" i="1"/>
  <c r="BF615" i="1"/>
  <c r="BF616" i="1"/>
  <c r="BF617" i="1"/>
  <c r="BF618" i="1"/>
  <c r="BF619" i="1"/>
  <c r="BF620" i="1"/>
  <c r="BF622" i="1"/>
  <c r="BF623" i="1"/>
  <c r="BF624" i="1"/>
  <c r="BG624" i="1" s="1"/>
  <c r="BF626" i="1"/>
  <c r="BF627" i="1"/>
  <c r="BF628" i="1"/>
  <c r="BF629" i="1"/>
  <c r="BF630" i="1"/>
  <c r="BF631" i="1"/>
  <c r="BF632" i="1"/>
  <c r="BF634" i="1"/>
  <c r="BF638" i="1"/>
  <c r="BG638" i="1" s="1"/>
  <c r="BF639" i="1"/>
  <c r="BF640" i="1"/>
  <c r="BF641" i="1"/>
  <c r="BF642" i="1"/>
  <c r="BF643" i="1"/>
  <c r="BF644" i="1"/>
  <c r="BF646" i="1"/>
  <c r="BF650" i="1"/>
  <c r="BF651" i="1"/>
  <c r="BF652" i="1"/>
  <c r="BG652" i="1" s="1"/>
  <c r="BF653" i="1"/>
  <c r="BG653" i="1" s="1"/>
  <c r="BF654" i="1"/>
  <c r="BF655" i="1"/>
  <c r="BF656" i="1"/>
  <c r="BF658" i="1"/>
  <c r="BF662" i="1"/>
  <c r="BF663" i="1"/>
  <c r="BF664" i="1"/>
  <c r="BF665" i="1"/>
  <c r="BG665" i="1" s="1"/>
  <c r="BF666" i="1"/>
  <c r="BG666" i="1" s="1"/>
  <c r="BF667" i="1"/>
  <c r="BF668" i="1"/>
  <c r="BF670" i="1"/>
  <c r="BF674" i="1"/>
  <c r="BF675" i="1"/>
  <c r="BF676" i="1"/>
  <c r="BF677" i="1"/>
  <c r="BG677" i="1" s="1"/>
  <c r="BF678" i="1"/>
  <c r="BG678" i="1" s="1"/>
  <c r="BF679" i="1"/>
  <c r="BF680" i="1"/>
  <c r="BF682" i="1"/>
  <c r="BF686" i="1"/>
  <c r="BF687" i="1"/>
  <c r="BF688" i="1"/>
  <c r="BF689" i="1"/>
  <c r="BF690" i="1"/>
  <c r="BF691" i="1"/>
  <c r="BF692" i="1"/>
  <c r="BF694" i="1"/>
  <c r="BF695" i="1"/>
  <c r="BF696" i="1"/>
  <c r="BG696" i="1" s="1"/>
  <c r="BF698" i="1"/>
  <c r="BF699" i="1"/>
  <c r="BF700" i="1"/>
  <c r="BG700" i="1" s="1"/>
  <c r="BF701" i="1"/>
  <c r="BF702" i="1"/>
  <c r="BF703" i="1"/>
  <c r="BF704" i="1"/>
  <c r="BF706" i="1"/>
  <c r="BF710" i="1"/>
  <c r="BG710" i="1" s="1"/>
  <c r="BF711" i="1"/>
  <c r="BF712" i="1"/>
  <c r="BF713" i="1"/>
  <c r="BF714" i="1"/>
  <c r="BF715" i="1"/>
  <c r="BF716" i="1"/>
  <c r="BF718" i="1"/>
  <c r="BF722" i="1"/>
  <c r="BF723" i="1"/>
  <c r="BF724" i="1"/>
  <c r="BG724" i="1" s="1"/>
  <c r="BF725" i="1"/>
  <c r="BG725" i="1" s="1"/>
  <c r="BF726" i="1"/>
  <c r="BF727" i="1"/>
  <c r="BF728" i="1"/>
  <c r="BF730" i="1"/>
  <c r="BF734" i="1"/>
  <c r="BF735" i="1"/>
  <c r="BF736" i="1"/>
  <c r="BF737" i="1"/>
  <c r="BG737" i="1" s="1"/>
  <c r="BF738" i="1"/>
  <c r="BG738" i="1" s="1"/>
  <c r="BF739" i="1"/>
  <c r="BF740" i="1"/>
  <c r="BF742" i="1"/>
  <c r="BF746" i="1"/>
  <c r="BF747" i="1"/>
  <c r="BF748" i="1"/>
  <c r="BF749" i="1"/>
  <c r="BF750" i="1"/>
  <c r="BG750" i="1" s="1"/>
  <c r="BF751" i="1"/>
  <c r="BF752" i="1"/>
  <c r="BF754" i="1"/>
  <c r="BF758" i="1"/>
  <c r="BF759" i="1"/>
  <c r="BF760" i="1"/>
  <c r="BF761" i="1"/>
  <c r="BG761" i="1" s="1"/>
  <c r="BF762" i="1"/>
  <c r="BF763" i="1"/>
  <c r="BF764" i="1"/>
  <c r="BF766" i="1"/>
  <c r="BF767" i="1"/>
  <c r="BF768" i="1"/>
  <c r="BG768" i="1" s="1"/>
  <c r="BF770" i="1"/>
  <c r="BF771" i="1"/>
  <c r="BF772" i="1"/>
  <c r="BF773" i="1"/>
  <c r="BF774" i="1"/>
  <c r="BF775" i="1"/>
  <c r="BF776" i="1"/>
  <c r="BF778" i="1"/>
  <c r="BF782" i="1"/>
  <c r="BG782" i="1" s="1"/>
  <c r="BF783" i="1"/>
  <c r="BG783" i="1" s="1"/>
  <c r="BF784" i="1"/>
  <c r="BF785" i="1"/>
  <c r="BF786" i="1"/>
  <c r="BF787" i="1"/>
  <c r="BF788" i="1"/>
  <c r="BF790" i="1"/>
  <c r="BF794" i="1"/>
  <c r="BF795" i="1"/>
  <c r="BG795" i="1" s="1"/>
  <c r="BF796" i="1"/>
  <c r="BG796" i="1" s="1"/>
  <c r="BF797" i="1"/>
  <c r="BG797" i="1" s="1"/>
  <c r="BF798" i="1"/>
  <c r="BF799" i="1"/>
  <c r="BF800" i="1"/>
  <c r="BF802" i="1"/>
  <c r="BF806" i="1"/>
  <c r="BF807" i="1"/>
  <c r="BG807" i="1" s="1"/>
  <c r="BF808" i="1"/>
  <c r="BF809" i="1"/>
  <c r="BG809" i="1" s="1"/>
  <c r="BF810" i="1"/>
  <c r="BG810" i="1" s="1"/>
  <c r="BF811" i="1"/>
  <c r="BF812" i="1"/>
  <c r="BF814" i="1"/>
  <c r="BF818" i="1"/>
  <c r="BF819" i="1"/>
  <c r="BF820" i="1"/>
  <c r="BF821" i="1"/>
  <c r="BG821" i="1" s="1"/>
  <c r="BF822" i="1"/>
  <c r="BG822" i="1" s="1"/>
  <c r="BF823" i="1"/>
  <c r="BF824" i="1"/>
  <c r="BF826" i="1"/>
  <c r="BF830" i="1"/>
  <c r="BF831" i="1"/>
  <c r="BF832" i="1"/>
  <c r="BF833" i="1"/>
  <c r="BF834" i="1"/>
  <c r="BF835" i="1"/>
  <c r="BF836" i="1"/>
  <c r="BF838" i="1"/>
  <c r="BF839" i="1"/>
  <c r="BF840" i="1"/>
  <c r="BG840" i="1" s="1"/>
  <c r="BF842" i="1"/>
  <c r="BF843" i="1"/>
  <c r="BF844" i="1"/>
  <c r="BF845" i="1"/>
  <c r="BF846" i="1"/>
  <c r="BF847" i="1"/>
  <c r="BF848" i="1"/>
  <c r="BF850" i="1"/>
  <c r="BF854" i="1"/>
  <c r="BG854" i="1" s="1"/>
  <c r="BF855" i="1"/>
  <c r="BG855" i="1" s="1"/>
  <c r="BF856" i="1"/>
  <c r="BF857" i="1"/>
  <c r="BG857" i="1" s="1"/>
  <c r="BF858" i="1"/>
  <c r="BF859" i="1"/>
  <c r="BF860" i="1"/>
  <c r="BF862" i="1"/>
  <c r="BF866" i="1"/>
  <c r="BF867" i="1"/>
  <c r="BG867" i="1" s="1"/>
  <c r="BF868" i="1"/>
  <c r="BG868" i="1" s="1"/>
  <c r="BF869" i="1"/>
  <c r="BG869" i="1" s="1"/>
  <c r="BF870" i="1"/>
  <c r="BF871" i="1"/>
  <c r="BF872" i="1"/>
  <c r="BF874" i="1"/>
  <c r="BF878" i="1"/>
  <c r="BF879" i="1"/>
  <c r="BG879" i="1" s="1"/>
  <c r="BF880" i="1"/>
  <c r="BF881" i="1"/>
  <c r="BG881" i="1" s="1"/>
  <c r="BF882" i="1"/>
  <c r="BG882" i="1" s="1"/>
  <c r="BF883" i="1"/>
  <c r="BF884" i="1"/>
  <c r="BF886" i="1"/>
  <c r="BF890" i="1"/>
  <c r="BF891" i="1"/>
  <c r="BF892" i="1"/>
  <c r="BG892" i="1" s="1"/>
  <c r="BF893" i="1"/>
  <c r="BG893" i="1" s="1"/>
  <c r="BF894" i="1"/>
  <c r="BG894" i="1" s="1"/>
  <c r="BF895" i="1"/>
  <c r="BF896" i="1"/>
  <c r="BF898" i="1"/>
  <c r="BF902" i="1"/>
  <c r="BF903" i="1"/>
  <c r="BF904" i="1"/>
  <c r="BF905" i="1"/>
  <c r="BF906" i="1"/>
  <c r="BF907" i="1"/>
  <c r="BF908" i="1"/>
  <c r="BF910" i="1"/>
  <c r="BF911" i="1"/>
  <c r="BF912" i="1"/>
  <c r="BG912" i="1" s="1"/>
  <c r="BF914" i="1"/>
  <c r="BF915" i="1"/>
  <c r="BF916" i="1"/>
  <c r="BF917" i="1"/>
  <c r="BF918" i="1"/>
  <c r="BF919" i="1"/>
  <c r="BF920" i="1"/>
  <c r="BF922" i="1"/>
  <c r="BF926" i="1"/>
  <c r="BG926" i="1" s="1"/>
  <c r="BF927" i="1"/>
  <c r="BG927" i="1" s="1"/>
  <c r="BF928" i="1"/>
  <c r="BF929" i="1"/>
  <c r="BF930" i="1"/>
  <c r="BF931" i="1"/>
  <c r="BF932" i="1"/>
  <c r="BF934" i="1"/>
  <c r="BF938" i="1"/>
  <c r="BF939" i="1"/>
  <c r="BF940" i="1"/>
  <c r="BF941" i="1"/>
  <c r="BF942" i="1"/>
  <c r="BF943" i="1"/>
  <c r="BF944" i="1"/>
  <c r="BF946" i="1"/>
  <c r="BF950" i="1"/>
  <c r="BF951" i="1"/>
  <c r="BG951" i="1" s="1"/>
  <c r="BF952" i="1"/>
  <c r="BF953" i="1"/>
  <c r="BG953" i="1" s="1"/>
  <c r="BF954" i="1"/>
  <c r="BG954" i="1" s="1"/>
  <c r="BF955" i="1"/>
  <c r="BF956" i="1"/>
  <c r="BF958" i="1"/>
  <c r="BF962" i="1"/>
  <c r="BF963" i="1"/>
  <c r="BF964" i="1"/>
  <c r="BF965" i="1"/>
  <c r="BF966" i="1"/>
  <c r="BF967" i="1"/>
  <c r="BF968" i="1"/>
  <c r="BF970" i="1"/>
  <c r="BF974" i="1"/>
  <c r="BF975" i="1"/>
  <c r="BF976" i="1"/>
  <c r="BF977" i="1"/>
  <c r="BF978" i="1"/>
  <c r="BF979" i="1"/>
  <c r="BF980" i="1"/>
  <c r="BF982" i="1"/>
  <c r="BF983" i="1"/>
  <c r="BF984" i="1"/>
  <c r="BF986" i="1"/>
  <c r="BF987" i="1"/>
  <c r="BF988" i="1"/>
  <c r="BG988" i="1" s="1"/>
  <c r="BF989" i="1"/>
  <c r="BF990" i="1"/>
  <c r="BF991" i="1"/>
  <c r="BF992" i="1"/>
  <c r="BF993" i="1"/>
  <c r="BF994" i="1"/>
  <c r="BF995" i="1"/>
  <c r="BF996" i="1"/>
  <c r="BF998" i="1"/>
  <c r="BG998" i="1" s="1"/>
  <c r="BF999" i="1"/>
  <c r="BF1000" i="1"/>
  <c r="BG290" i="1"/>
  <c r="BG302" i="1"/>
  <c r="BG303" i="1"/>
  <c r="BG314" i="1"/>
  <c r="BG315" i="1"/>
  <c r="BG316" i="1"/>
  <c r="BG327" i="1"/>
  <c r="BG329" i="1"/>
  <c r="BG338" i="1"/>
  <c r="BG339" i="1"/>
  <c r="BG340" i="1"/>
  <c r="BG341" i="1"/>
  <c r="BG342" i="1"/>
  <c r="BG350" i="1"/>
  <c r="BG351" i="1"/>
  <c r="BG353" i="1"/>
  <c r="BG354" i="1"/>
  <c r="BG363" i="1"/>
  <c r="BG365" i="1"/>
  <c r="BG366" i="1"/>
  <c r="BG373" i="1"/>
  <c r="BG377" i="1"/>
  <c r="BG378" i="1"/>
  <c r="BG387" i="1"/>
  <c r="BG390" i="1"/>
  <c r="BG402" i="1"/>
  <c r="BG411" i="1"/>
  <c r="BG434" i="1"/>
  <c r="BG447" i="1"/>
  <c r="BG458" i="1"/>
  <c r="BG459" i="1"/>
  <c r="BG460" i="1"/>
  <c r="BG470" i="1"/>
  <c r="BG471" i="1"/>
  <c r="BG473" i="1"/>
  <c r="BG483" i="1"/>
  <c r="BG484" i="1"/>
  <c r="BG485" i="1"/>
  <c r="BG486" i="1"/>
  <c r="BG494" i="1"/>
  <c r="BG495" i="1"/>
  <c r="BG497" i="1"/>
  <c r="BG498" i="1"/>
  <c r="BG507" i="1"/>
  <c r="BG509" i="1"/>
  <c r="BG510" i="1"/>
  <c r="BG519" i="1"/>
  <c r="BG521" i="1"/>
  <c r="BG522" i="1"/>
  <c r="BG531" i="1"/>
  <c r="BG532" i="1"/>
  <c r="BG533" i="1"/>
  <c r="BG534" i="1"/>
  <c r="BG543" i="1"/>
  <c r="BG545" i="1"/>
  <c r="BG546" i="1"/>
  <c r="BG555" i="1"/>
  <c r="BG556" i="1"/>
  <c r="BG557" i="1"/>
  <c r="BG558" i="1"/>
  <c r="BG566" i="1"/>
  <c r="BG567" i="1"/>
  <c r="BG579" i="1"/>
  <c r="BG590" i="1"/>
  <c r="BG591" i="1"/>
  <c r="BG603" i="1"/>
  <c r="BG614" i="1"/>
  <c r="BG615" i="1"/>
  <c r="BG617" i="1"/>
  <c r="BG618" i="1"/>
  <c r="BG627" i="1"/>
  <c r="BG628" i="1"/>
  <c r="BG629" i="1"/>
  <c r="BG630" i="1"/>
  <c r="BG639" i="1"/>
  <c r="BG641" i="1"/>
  <c r="BG642" i="1"/>
  <c r="BG651" i="1"/>
  <c r="BG654" i="1"/>
  <c r="BG662" i="1"/>
  <c r="BG663" i="1"/>
  <c r="BG675" i="1"/>
  <c r="BG676" i="1"/>
  <c r="BG686" i="1"/>
  <c r="BG687" i="1"/>
  <c r="BG689" i="1"/>
  <c r="BG690" i="1"/>
  <c r="BG699" i="1"/>
  <c r="BG701" i="1"/>
  <c r="BG702" i="1"/>
  <c r="BG711" i="1"/>
  <c r="BG713" i="1"/>
  <c r="BG714" i="1"/>
  <c r="BG723" i="1"/>
  <c r="BG726" i="1"/>
  <c r="BG734" i="1"/>
  <c r="BG735" i="1"/>
  <c r="BG747" i="1"/>
  <c r="BG748" i="1"/>
  <c r="BG749" i="1"/>
  <c r="BG758" i="1"/>
  <c r="BG759" i="1"/>
  <c r="BG762" i="1"/>
  <c r="BG771" i="1"/>
  <c r="BG772" i="1"/>
  <c r="BG773" i="1"/>
  <c r="BG774" i="1"/>
  <c r="BG785" i="1"/>
  <c r="BG786" i="1"/>
  <c r="BG798" i="1"/>
  <c r="BG805" i="1"/>
  <c r="BG806" i="1"/>
  <c r="BG819" i="1"/>
  <c r="BG820" i="1"/>
  <c r="BG830" i="1"/>
  <c r="BG831" i="1"/>
  <c r="BG833" i="1"/>
  <c r="BG834" i="1"/>
  <c r="BG843" i="1"/>
  <c r="BG844" i="1"/>
  <c r="BG845" i="1"/>
  <c r="BG846" i="1"/>
  <c r="BG858" i="1"/>
  <c r="BG870" i="1"/>
  <c r="BG878" i="1"/>
  <c r="BG891" i="1"/>
  <c r="BG902" i="1"/>
  <c r="BG903" i="1"/>
  <c r="BG905" i="1"/>
  <c r="BG906" i="1"/>
  <c r="BG915" i="1"/>
  <c r="BG916" i="1"/>
  <c r="BG917" i="1"/>
  <c r="BG918" i="1"/>
  <c r="BG929" i="1"/>
  <c r="BG930" i="1"/>
  <c r="BG939" i="1"/>
  <c r="BG940" i="1"/>
  <c r="BG941" i="1"/>
  <c r="BG942" i="1"/>
  <c r="BG950" i="1"/>
  <c r="BG963" i="1"/>
  <c r="BG964" i="1"/>
  <c r="BG965" i="1"/>
  <c r="BG966" i="1"/>
  <c r="BG974" i="1"/>
  <c r="BG975" i="1"/>
  <c r="BG977" i="1"/>
  <c r="BG978" i="1"/>
  <c r="BG987" i="1"/>
  <c r="BG989" i="1"/>
  <c r="BG990" i="1"/>
  <c r="BG999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2" i="1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H2" i="1"/>
  <c r="BH3" i="1"/>
  <c r="BH4" i="1"/>
  <c r="BH5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A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AZ2" i="1"/>
  <c r="AZ3" i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220" i="1"/>
  <c r="AZ221" i="1"/>
  <c r="AZ222" i="1"/>
  <c r="AZ223" i="1"/>
  <c r="AZ224" i="1"/>
  <c r="AZ225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75" i="1"/>
  <c r="AZ276" i="1"/>
  <c r="AZ277" i="1"/>
  <c r="AZ278" i="1"/>
  <c r="AZ279" i="1"/>
  <c r="AZ280" i="1"/>
  <c r="AZ281" i="1"/>
  <c r="AY2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AY195" i="1"/>
  <c r="AY196" i="1"/>
  <c r="AY197" i="1"/>
  <c r="AY198" i="1"/>
  <c r="AY199" i="1"/>
  <c r="AY200" i="1"/>
  <c r="AY201" i="1"/>
  <c r="AY202" i="1"/>
  <c r="AY203" i="1"/>
  <c r="AY204" i="1"/>
  <c r="AY205" i="1"/>
  <c r="AY206" i="1"/>
  <c r="AY207" i="1"/>
  <c r="AY208" i="1"/>
  <c r="AY209" i="1"/>
  <c r="AY210" i="1"/>
  <c r="AY211" i="1"/>
  <c r="AY212" i="1"/>
  <c r="AY213" i="1"/>
  <c r="AY214" i="1"/>
  <c r="AY215" i="1"/>
  <c r="AY216" i="1"/>
  <c r="AY217" i="1"/>
  <c r="AY218" i="1"/>
  <c r="AY219" i="1"/>
  <c r="AY220" i="1"/>
  <c r="AY221" i="1"/>
  <c r="AY222" i="1"/>
  <c r="AY223" i="1"/>
  <c r="AY224" i="1"/>
  <c r="AY225" i="1"/>
  <c r="AY226" i="1"/>
  <c r="AY227" i="1"/>
  <c r="AY228" i="1"/>
  <c r="AY229" i="1"/>
  <c r="AY230" i="1"/>
  <c r="AY231" i="1"/>
  <c r="AY232" i="1"/>
  <c r="AY233" i="1"/>
  <c r="AY234" i="1"/>
  <c r="AY235" i="1"/>
  <c r="AY236" i="1"/>
  <c r="AY237" i="1"/>
  <c r="AY238" i="1"/>
  <c r="AY239" i="1"/>
  <c r="AY240" i="1"/>
  <c r="AY241" i="1"/>
  <c r="AY242" i="1"/>
  <c r="AY243" i="1"/>
  <c r="AY244" i="1"/>
  <c r="AY245" i="1"/>
  <c r="AY246" i="1"/>
  <c r="AY247" i="1"/>
  <c r="AY248" i="1"/>
  <c r="AY249" i="1"/>
  <c r="AY250" i="1"/>
  <c r="AY251" i="1"/>
  <c r="AY252" i="1"/>
  <c r="AY253" i="1"/>
  <c r="AY254" i="1"/>
  <c r="AY255" i="1"/>
  <c r="AY256" i="1"/>
  <c r="AY257" i="1"/>
  <c r="AY258" i="1"/>
  <c r="AY259" i="1"/>
  <c r="AY260" i="1"/>
  <c r="AY261" i="1"/>
  <c r="AY262" i="1"/>
  <c r="AY263" i="1"/>
  <c r="AY264" i="1"/>
  <c r="AY265" i="1"/>
  <c r="AY266" i="1"/>
  <c r="AY267" i="1"/>
  <c r="AY268" i="1"/>
  <c r="AY269" i="1"/>
  <c r="AY270" i="1"/>
  <c r="AY271" i="1"/>
  <c r="AY272" i="1"/>
  <c r="AY273" i="1"/>
  <c r="AY274" i="1"/>
  <c r="AY275" i="1"/>
  <c r="AY276" i="1"/>
  <c r="AY277" i="1"/>
  <c r="AY278" i="1"/>
  <c r="AY279" i="1"/>
  <c r="AY280" i="1"/>
  <c r="AY281" i="1"/>
  <c r="AX2" i="1"/>
  <c r="AK2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J2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I2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X3" i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W2" i="1"/>
  <c r="AW3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V2" i="1"/>
  <c r="AV3" i="1"/>
  <c r="AV4" i="1"/>
  <c r="AV5" i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U2" i="1"/>
  <c r="AU3" i="1"/>
  <c r="AU4" i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AU122" i="1"/>
  <c r="AU123" i="1"/>
  <c r="AU124" i="1"/>
  <c r="AU125" i="1"/>
  <c r="AU126" i="1"/>
  <c r="AU127" i="1"/>
  <c r="AU128" i="1"/>
  <c r="AU129" i="1"/>
  <c r="AU130" i="1"/>
  <c r="AU131" i="1"/>
  <c r="AU132" i="1"/>
  <c r="AU133" i="1"/>
  <c r="AU134" i="1"/>
  <c r="AU135" i="1"/>
  <c r="AU136" i="1"/>
  <c r="AU137" i="1"/>
  <c r="AU138" i="1"/>
  <c r="AU139" i="1"/>
  <c r="AU140" i="1"/>
  <c r="AU141" i="1"/>
  <c r="AU142" i="1"/>
  <c r="AU143" i="1"/>
  <c r="AU144" i="1"/>
  <c r="AU145" i="1"/>
  <c r="AU146" i="1"/>
  <c r="AU147" i="1"/>
  <c r="AU148" i="1"/>
  <c r="AU149" i="1"/>
  <c r="AU150" i="1"/>
  <c r="AU151" i="1"/>
  <c r="AU152" i="1"/>
  <c r="AU153" i="1"/>
  <c r="AU154" i="1"/>
  <c r="AU155" i="1"/>
  <c r="AU156" i="1"/>
  <c r="AU157" i="1"/>
  <c r="AU158" i="1"/>
  <c r="AU159" i="1"/>
  <c r="AU160" i="1"/>
  <c r="AU161" i="1"/>
  <c r="AU162" i="1"/>
  <c r="AU163" i="1"/>
  <c r="AU164" i="1"/>
  <c r="AU165" i="1"/>
  <c r="AU166" i="1"/>
  <c r="AU167" i="1"/>
  <c r="AU168" i="1"/>
  <c r="AU169" i="1"/>
  <c r="AU170" i="1"/>
  <c r="AU171" i="1"/>
  <c r="AU172" i="1"/>
  <c r="AU173" i="1"/>
  <c r="AU174" i="1"/>
  <c r="AU175" i="1"/>
  <c r="AU176" i="1"/>
  <c r="AU177" i="1"/>
  <c r="AU178" i="1"/>
  <c r="AU179" i="1"/>
  <c r="AU180" i="1"/>
  <c r="AU181" i="1"/>
  <c r="AU182" i="1"/>
  <c r="AU183" i="1"/>
  <c r="AU184" i="1"/>
  <c r="AU185" i="1"/>
  <c r="AU186" i="1"/>
  <c r="AU187" i="1"/>
  <c r="AU188" i="1"/>
  <c r="AU189" i="1"/>
  <c r="AU190" i="1"/>
  <c r="AU191" i="1"/>
  <c r="AU192" i="1"/>
  <c r="AU193" i="1"/>
  <c r="AU194" i="1"/>
  <c r="AU195" i="1"/>
  <c r="AU196" i="1"/>
  <c r="AU197" i="1"/>
  <c r="AU198" i="1"/>
  <c r="AU199" i="1"/>
  <c r="AU200" i="1"/>
  <c r="AU201" i="1"/>
  <c r="AU202" i="1"/>
  <c r="AU203" i="1"/>
  <c r="AU204" i="1"/>
  <c r="AU205" i="1"/>
  <c r="AU206" i="1"/>
  <c r="AU207" i="1"/>
  <c r="AU208" i="1"/>
  <c r="AU209" i="1"/>
  <c r="AU210" i="1"/>
  <c r="AU211" i="1"/>
  <c r="AU212" i="1"/>
  <c r="AU213" i="1"/>
  <c r="AU214" i="1"/>
  <c r="AU215" i="1"/>
  <c r="AU216" i="1"/>
  <c r="AU217" i="1"/>
  <c r="AU218" i="1"/>
  <c r="AU219" i="1"/>
  <c r="AU220" i="1"/>
  <c r="AU221" i="1"/>
  <c r="AU222" i="1"/>
  <c r="AU223" i="1"/>
  <c r="AU224" i="1"/>
  <c r="AU225" i="1"/>
  <c r="AU226" i="1"/>
  <c r="AU227" i="1"/>
  <c r="AU228" i="1"/>
  <c r="AU229" i="1"/>
  <c r="AU230" i="1"/>
  <c r="AU231" i="1"/>
  <c r="AU232" i="1"/>
  <c r="AU233" i="1"/>
  <c r="AU234" i="1"/>
  <c r="AU235" i="1"/>
  <c r="AU236" i="1"/>
  <c r="AU237" i="1"/>
  <c r="AU238" i="1"/>
  <c r="AU239" i="1"/>
  <c r="AU240" i="1"/>
  <c r="AU241" i="1"/>
  <c r="AU242" i="1"/>
  <c r="AU243" i="1"/>
  <c r="AU244" i="1"/>
  <c r="AU245" i="1"/>
  <c r="AU246" i="1"/>
  <c r="AU247" i="1"/>
  <c r="AU248" i="1"/>
  <c r="AU249" i="1"/>
  <c r="AU250" i="1"/>
  <c r="AU251" i="1"/>
  <c r="AU252" i="1"/>
  <c r="AU253" i="1"/>
  <c r="AU254" i="1"/>
  <c r="AU255" i="1"/>
  <c r="AU256" i="1"/>
  <c r="AU257" i="1"/>
  <c r="AU258" i="1"/>
  <c r="AU259" i="1"/>
  <c r="AU260" i="1"/>
  <c r="AU261" i="1"/>
  <c r="AU262" i="1"/>
  <c r="AU263" i="1"/>
  <c r="AU264" i="1"/>
  <c r="AU265" i="1"/>
  <c r="AU266" i="1"/>
  <c r="AU267" i="1"/>
  <c r="AU268" i="1"/>
  <c r="AU269" i="1"/>
  <c r="AU270" i="1"/>
  <c r="AU271" i="1"/>
  <c r="AU272" i="1"/>
  <c r="AU273" i="1"/>
  <c r="AU274" i="1"/>
  <c r="AU275" i="1"/>
  <c r="AU276" i="1"/>
  <c r="AU277" i="1"/>
  <c r="AU278" i="1"/>
  <c r="AU279" i="1"/>
  <c r="AU280" i="1"/>
  <c r="AU281" i="1"/>
  <c r="AT2" i="1"/>
  <c r="AT3" i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S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R2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Q2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P2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O2" i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N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M2" i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L2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H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G2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F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B2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A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AE2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L2" i="1"/>
  <c r="L7" i="1"/>
  <c r="BI7" i="1" s="1" a="1"/>
  <c r="BI7" i="1" s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M2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BG201" i="1"/>
  <c r="BF2" i="1"/>
  <c r="BF3" i="1"/>
  <c r="BF5" i="1"/>
  <c r="BF6" i="1"/>
  <c r="BF7" i="1"/>
  <c r="BF8" i="1"/>
  <c r="BF9" i="1"/>
  <c r="BG9" i="1" s="1"/>
  <c r="BF10" i="1"/>
  <c r="BF11" i="1"/>
  <c r="BF14" i="1"/>
  <c r="BF15" i="1"/>
  <c r="BF16" i="1"/>
  <c r="BF17" i="1"/>
  <c r="BF18" i="1"/>
  <c r="BF19" i="1"/>
  <c r="BG19" i="1" s="1"/>
  <c r="BF20" i="1"/>
  <c r="BG20" i="1" s="1"/>
  <c r="BF21" i="1"/>
  <c r="BF22" i="1"/>
  <c r="BF23" i="1"/>
  <c r="BF26" i="1"/>
  <c r="BF27" i="1"/>
  <c r="BF28" i="1"/>
  <c r="BF29" i="1"/>
  <c r="BF30" i="1"/>
  <c r="BF31" i="1"/>
  <c r="BG31" i="1" s="1"/>
  <c r="BF32" i="1"/>
  <c r="BF33" i="1"/>
  <c r="BF34" i="1"/>
  <c r="BF35" i="1"/>
  <c r="BF38" i="1"/>
  <c r="BF39" i="1"/>
  <c r="BF40" i="1"/>
  <c r="BF41" i="1"/>
  <c r="BF42" i="1"/>
  <c r="BF43" i="1"/>
  <c r="BG43" i="1" s="1"/>
  <c r="BF44" i="1"/>
  <c r="BF45" i="1"/>
  <c r="BF46" i="1"/>
  <c r="BF47" i="1"/>
  <c r="BF50" i="1"/>
  <c r="BF51" i="1"/>
  <c r="BF52" i="1"/>
  <c r="BF53" i="1"/>
  <c r="BF54" i="1"/>
  <c r="BF55" i="1"/>
  <c r="BG55" i="1" s="1"/>
  <c r="BF56" i="1"/>
  <c r="BF57" i="1"/>
  <c r="BF58" i="1"/>
  <c r="BF59" i="1"/>
  <c r="BF62" i="1"/>
  <c r="BF63" i="1"/>
  <c r="BF64" i="1"/>
  <c r="BF65" i="1"/>
  <c r="BF66" i="1"/>
  <c r="BF67" i="1"/>
  <c r="BG67" i="1" s="1"/>
  <c r="BF68" i="1"/>
  <c r="BF69" i="1"/>
  <c r="BG69" i="1" s="1"/>
  <c r="BF70" i="1"/>
  <c r="BF71" i="1"/>
  <c r="BF74" i="1"/>
  <c r="BF75" i="1"/>
  <c r="BF76" i="1"/>
  <c r="BF77" i="1"/>
  <c r="BF78" i="1"/>
  <c r="BF79" i="1"/>
  <c r="BF80" i="1"/>
  <c r="BF81" i="1"/>
  <c r="BF82" i="1"/>
  <c r="BF83" i="1"/>
  <c r="BF86" i="1"/>
  <c r="BF87" i="1"/>
  <c r="BF88" i="1"/>
  <c r="BF89" i="1"/>
  <c r="BF90" i="1"/>
  <c r="BF91" i="1"/>
  <c r="BG91" i="1" s="1"/>
  <c r="BF92" i="1"/>
  <c r="BF93" i="1"/>
  <c r="BF94" i="1"/>
  <c r="BF95" i="1"/>
  <c r="BF98" i="1"/>
  <c r="BF99" i="1"/>
  <c r="BF100" i="1"/>
  <c r="BF101" i="1"/>
  <c r="BF102" i="1"/>
  <c r="BF103" i="1"/>
  <c r="BF104" i="1"/>
  <c r="BF105" i="1"/>
  <c r="BF106" i="1"/>
  <c r="BF107" i="1"/>
  <c r="BF110" i="1"/>
  <c r="BF111" i="1"/>
  <c r="BF112" i="1"/>
  <c r="BF113" i="1"/>
  <c r="BF114" i="1"/>
  <c r="BF115" i="1"/>
  <c r="BG115" i="1" s="1"/>
  <c r="BF116" i="1"/>
  <c r="BF117" i="1"/>
  <c r="BF118" i="1"/>
  <c r="BF119" i="1"/>
  <c r="BF122" i="1"/>
  <c r="BF123" i="1"/>
  <c r="BF124" i="1"/>
  <c r="BF125" i="1"/>
  <c r="BF126" i="1"/>
  <c r="BF127" i="1"/>
  <c r="BG127" i="1" s="1"/>
  <c r="BF128" i="1"/>
  <c r="BF129" i="1"/>
  <c r="BG129" i="1" s="1"/>
  <c r="BF130" i="1"/>
  <c r="BF131" i="1"/>
  <c r="BF134" i="1"/>
  <c r="BF135" i="1"/>
  <c r="BF136" i="1"/>
  <c r="BF137" i="1"/>
  <c r="BF138" i="1"/>
  <c r="BF139" i="1"/>
  <c r="BF140" i="1"/>
  <c r="BG140" i="1" s="1"/>
  <c r="BF141" i="1"/>
  <c r="BG141" i="1" s="1"/>
  <c r="BF142" i="1"/>
  <c r="BF146" i="1"/>
  <c r="BF147" i="1"/>
  <c r="BF148" i="1"/>
  <c r="BF149" i="1"/>
  <c r="BF150" i="1"/>
  <c r="BF151" i="1"/>
  <c r="BG151" i="1" s="1"/>
  <c r="BF152" i="1"/>
  <c r="BF153" i="1"/>
  <c r="BF154" i="1"/>
  <c r="BF158" i="1"/>
  <c r="BF159" i="1"/>
  <c r="BF160" i="1"/>
  <c r="BF161" i="1"/>
  <c r="BF162" i="1"/>
  <c r="BF163" i="1"/>
  <c r="BF164" i="1"/>
  <c r="BF165" i="1"/>
  <c r="BF166" i="1"/>
  <c r="BF170" i="1"/>
  <c r="BF171" i="1"/>
  <c r="BF172" i="1"/>
  <c r="BF173" i="1"/>
  <c r="BF174" i="1"/>
  <c r="BF175" i="1"/>
  <c r="BG175" i="1" s="1"/>
  <c r="BF176" i="1"/>
  <c r="BF177" i="1"/>
  <c r="BG177" i="1" s="1"/>
  <c r="BF178" i="1"/>
  <c r="BF182" i="1"/>
  <c r="BF183" i="1"/>
  <c r="BF184" i="1"/>
  <c r="BF185" i="1"/>
  <c r="BF186" i="1"/>
  <c r="BF187" i="1"/>
  <c r="BF188" i="1"/>
  <c r="BF189" i="1"/>
  <c r="BF190" i="1"/>
  <c r="BF194" i="1"/>
  <c r="BF195" i="1"/>
  <c r="BF196" i="1"/>
  <c r="BF197" i="1"/>
  <c r="BF198" i="1"/>
  <c r="BF199" i="1"/>
  <c r="BG199" i="1" s="1"/>
  <c r="BF200" i="1"/>
  <c r="BF201" i="1"/>
  <c r="BF202" i="1"/>
  <c r="BF206" i="1"/>
  <c r="BF207" i="1"/>
  <c r="BF208" i="1"/>
  <c r="BF209" i="1"/>
  <c r="BF210" i="1"/>
  <c r="BF211" i="1"/>
  <c r="BG211" i="1" s="1"/>
  <c r="BF212" i="1"/>
  <c r="BF213" i="1"/>
  <c r="BF214" i="1"/>
  <c r="BF218" i="1"/>
  <c r="BF219" i="1"/>
  <c r="BF220" i="1"/>
  <c r="BF221" i="1"/>
  <c r="BF222" i="1"/>
  <c r="BF223" i="1"/>
  <c r="BF224" i="1"/>
  <c r="BF225" i="1"/>
  <c r="BF226" i="1"/>
  <c r="BF230" i="1"/>
  <c r="BF231" i="1"/>
  <c r="BF232" i="1"/>
  <c r="BF233" i="1"/>
  <c r="BF234" i="1"/>
  <c r="BF235" i="1"/>
  <c r="BG235" i="1" s="1"/>
  <c r="BF236" i="1"/>
  <c r="BF237" i="1"/>
  <c r="BG237" i="1" s="1"/>
  <c r="BF238" i="1"/>
  <c r="BF242" i="1"/>
  <c r="BF243" i="1"/>
  <c r="BF244" i="1"/>
  <c r="BF245" i="1"/>
  <c r="BF246" i="1"/>
  <c r="BF247" i="1"/>
  <c r="BG247" i="1" s="1"/>
  <c r="BF248" i="1"/>
  <c r="BG248" i="1" s="1"/>
  <c r="BF249" i="1"/>
  <c r="BF250" i="1"/>
  <c r="BF254" i="1"/>
  <c r="BF255" i="1"/>
  <c r="BF256" i="1"/>
  <c r="BF257" i="1"/>
  <c r="BF258" i="1"/>
  <c r="BF259" i="1"/>
  <c r="BG259" i="1" s="1"/>
  <c r="BF260" i="1"/>
  <c r="BF261" i="1"/>
  <c r="BF262" i="1"/>
  <c r="BF266" i="1"/>
  <c r="BF267" i="1"/>
  <c r="BF268" i="1"/>
  <c r="BF269" i="1"/>
  <c r="BF270" i="1"/>
  <c r="BF271" i="1"/>
  <c r="BF272" i="1"/>
  <c r="BF273" i="1"/>
  <c r="BF274" i="1"/>
  <c r="BF278" i="1"/>
  <c r="BF279" i="1"/>
  <c r="BF280" i="1"/>
  <c r="BF281" i="1"/>
  <c r="BE6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G23" i="1" s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G35" i="1" s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G47" i="1" s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G59" i="1" s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G71" i="1" s="1"/>
  <c r="BE72" i="1"/>
  <c r="BE73" i="1"/>
  <c r="BE74" i="1"/>
  <c r="BE75" i="1"/>
  <c r="BE76" i="1"/>
  <c r="BE77" i="1"/>
  <c r="BE78" i="1"/>
  <c r="BE79" i="1"/>
  <c r="BG79" i="1" s="1"/>
  <c r="BE80" i="1"/>
  <c r="BE81" i="1"/>
  <c r="BE82" i="1"/>
  <c r="BE83" i="1"/>
  <c r="BG83" i="1" s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G95" i="1" s="1"/>
  <c r="BE96" i="1"/>
  <c r="BE97" i="1"/>
  <c r="BE98" i="1"/>
  <c r="BE99" i="1"/>
  <c r="BE100" i="1"/>
  <c r="BE101" i="1"/>
  <c r="BE102" i="1"/>
  <c r="BE103" i="1"/>
  <c r="BG103" i="1" s="1"/>
  <c r="BE104" i="1"/>
  <c r="BE105" i="1"/>
  <c r="BE106" i="1"/>
  <c r="BE107" i="1"/>
  <c r="BG107" i="1" s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G119" i="1" s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G131" i="1" s="1"/>
  <c r="BE132" i="1"/>
  <c r="BE133" i="1"/>
  <c r="BE134" i="1"/>
  <c r="BE135" i="1"/>
  <c r="BE136" i="1"/>
  <c r="BE137" i="1"/>
  <c r="BE138" i="1"/>
  <c r="BE139" i="1"/>
  <c r="BG139" i="1" s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G163" i="1" s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G187" i="1" s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G223" i="1" s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G270" i="1" s="1"/>
  <c r="BE271" i="1"/>
  <c r="BG271" i="1" s="1"/>
  <c r="BE272" i="1"/>
  <c r="BE273" i="1"/>
  <c r="BE274" i="1"/>
  <c r="BE275" i="1"/>
  <c r="BE276" i="1"/>
  <c r="BE277" i="1"/>
  <c r="BE278" i="1"/>
  <c r="BE279" i="1"/>
  <c r="BE280" i="1"/>
  <c r="BE281" i="1"/>
  <c r="BE7" i="1" l="1"/>
  <c r="BB7" i="1"/>
  <c r="BG7" i="1"/>
  <c r="BE5" i="1"/>
  <c r="BI3" i="1" a="1"/>
  <c r="BI3" i="1" s="1"/>
  <c r="BE3" i="1"/>
  <c r="BG3" i="1" s="1"/>
  <c r="K6" i="1"/>
  <c r="BE4" i="1"/>
  <c r="BG985" i="1"/>
  <c r="BG961" i="1"/>
  <c r="BG937" i="1"/>
  <c r="BG913" i="1"/>
  <c r="BG889" i="1"/>
  <c r="BG865" i="1"/>
  <c r="BG841" i="1"/>
  <c r="BG817" i="1"/>
  <c r="BG793" i="1"/>
  <c r="BG769" i="1"/>
  <c r="BG745" i="1"/>
  <c r="BG721" i="1"/>
  <c r="BG697" i="1"/>
  <c r="BG673" i="1"/>
  <c r="BG649" i="1"/>
  <c r="BG625" i="1"/>
  <c r="BG601" i="1"/>
  <c r="BG577" i="1"/>
  <c r="BG553" i="1"/>
  <c r="BG529" i="1"/>
  <c r="BG505" i="1"/>
  <c r="BG481" i="1"/>
  <c r="BG457" i="1"/>
  <c r="BG445" i="1"/>
  <c r="BG421" i="1"/>
  <c r="BG409" i="1"/>
  <c r="BG397" i="1"/>
  <c r="BG385" i="1"/>
  <c r="BG361" i="1"/>
  <c r="BG349" i="1"/>
  <c r="BG337" i="1"/>
  <c r="BG325" i="1"/>
  <c r="BG313" i="1"/>
  <c r="BG301" i="1"/>
  <c r="BG289" i="1"/>
  <c r="BG995" i="1"/>
  <c r="BG983" i="1"/>
  <c r="BG971" i="1"/>
  <c r="BG959" i="1"/>
  <c r="BG947" i="1"/>
  <c r="BG935" i="1"/>
  <c r="BG923" i="1"/>
  <c r="BG911" i="1"/>
  <c r="BG899" i="1"/>
  <c r="BG887" i="1"/>
  <c r="BG875" i="1"/>
  <c r="BG863" i="1"/>
  <c r="BG851" i="1"/>
  <c r="BG839" i="1"/>
  <c r="BG827" i="1"/>
  <c r="BG815" i="1"/>
  <c r="BG803" i="1"/>
  <c r="BG791" i="1"/>
  <c r="BG779" i="1"/>
  <c r="BG767" i="1"/>
  <c r="BG755" i="1"/>
  <c r="BG743" i="1"/>
  <c r="BG731" i="1"/>
  <c r="BG719" i="1"/>
  <c r="BG707" i="1"/>
  <c r="BG695" i="1"/>
  <c r="BG683" i="1"/>
  <c r="BG671" i="1"/>
  <c r="BG659" i="1"/>
  <c r="BG647" i="1"/>
  <c r="BG635" i="1"/>
  <c r="BG544" i="1"/>
  <c r="BG275" i="1"/>
  <c r="BG227" i="1"/>
  <c r="BG215" i="1"/>
  <c r="BG191" i="1"/>
  <c r="BG179" i="1"/>
  <c r="BG167" i="1"/>
  <c r="BG155" i="1"/>
  <c r="BG143" i="1"/>
  <c r="BG412" i="1"/>
  <c r="BG251" i="1"/>
  <c r="BG262" i="1"/>
  <c r="BG250" i="1"/>
  <c r="BG226" i="1"/>
  <c r="BG214" i="1"/>
  <c r="BG202" i="1"/>
  <c r="BG190" i="1"/>
  <c r="BG178" i="1"/>
  <c r="BG166" i="1"/>
  <c r="BG154" i="1"/>
  <c r="BG142" i="1"/>
  <c r="BG130" i="1"/>
  <c r="BG118" i="1"/>
  <c r="BG106" i="1"/>
  <c r="BG94" i="1"/>
  <c r="BG82" i="1"/>
  <c r="BG70" i="1"/>
  <c r="BG58" i="1"/>
  <c r="BG46" i="1"/>
  <c r="BG34" i="1"/>
  <c r="BG22" i="1"/>
  <c r="BG239" i="1"/>
  <c r="BG203" i="1"/>
  <c r="BG274" i="1"/>
  <c r="BG238" i="1"/>
  <c r="BG273" i="1"/>
  <c r="BG261" i="1"/>
  <c r="BG249" i="1"/>
  <c r="BG225" i="1"/>
  <c r="BG213" i="1"/>
  <c r="BG189" i="1"/>
  <c r="BG165" i="1"/>
  <c r="BG153" i="1"/>
  <c r="BG117" i="1"/>
  <c r="BG105" i="1"/>
  <c r="BG93" i="1"/>
  <c r="BG81" i="1"/>
  <c r="BG57" i="1"/>
  <c r="BG45" i="1"/>
  <c r="BG33" i="1"/>
  <c r="BG21" i="1"/>
  <c r="BG263" i="1"/>
  <c r="BG272" i="1"/>
  <c r="BG260" i="1"/>
  <c r="BG236" i="1"/>
  <c r="BG224" i="1"/>
  <c r="BG212" i="1"/>
  <c r="BG200" i="1"/>
  <c r="BG188" i="1"/>
  <c r="BG176" i="1"/>
  <c r="BG164" i="1"/>
  <c r="BG152" i="1"/>
  <c r="BG128" i="1"/>
  <c r="BG116" i="1"/>
  <c r="BG104" i="1"/>
  <c r="BG92" i="1"/>
  <c r="BG80" i="1"/>
  <c r="BG68" i="1"/>
  <c r="BG56" i="1"/>
  <c r="BG44" i="1"/>
  <c r="BG32" i="1"/>
  <c r="BG8" i="1"/>
  <c r="BG986" i="1"/>
  <c r="BG962" i="1"/>
  <c r="BG938" i="1"/>
  <c r="BG914" i="1"/>
  <c r="BG890" i="1"/>
  <c r="BG866" i="1"/>
  <c r="BG842" i="1"/>
  <c r="BG818" i="1"/>
  <c r="BG794" i="1"/>
  <c r="BG770" i="1"/>
  <c r="BG746" i="1"/>
  <c r="BG722" i="1"/>
  <c r="BG698" i="1"/>
  <c r="BG674" i="1"/>
  <c r="BG650" i="1"/>
  <c r="BG626" i="1"/>
  <c r="BG602" i="1"/>
  <c r="BG578" i="1"/>
  <c r="BG554" i="1"/>
  <c r="BG530" i="1"/>
  <c r="BG506" i="1"/>
  <c r="BG482" i="1"/>
  <c r="BG446" i="1"/>
  <c r="BG422" i="1"/>
  <c r="BG410" i="1"/>
  <c r="BG386" i="1"/>
  <c r="BG362" i="1"/>
  <c r="BG326" i="1"/>
  <c r="BG623" i="1"/>
  <c r="BG611" i="1"/>
  <c r="BG599" i="1"/>
  <c r="BG587" i="1"/>
  <c r="BG575" i="1"/>
  <c r="BG563" i="1"/>
  <c r="BG551" i="1"/>
  <c r="BG539" i="1"/>
  <c r="BG527" i="1"/>
  <c r="BG515" i="1"/>
  <c r="BG503" i="1"/>
  <c r="BG491" i="1"/>
  <c r="BG479" i="1"/>
  <c r="BG467" i="1"/>
  <c r="BG455" i="1"/>
  <c r="BG443" i="1"/>
  <c r="BG431" i="1"/>
  <c r="BG419" i="1"/>
  <c r="BG407" i="1"/>
  <c r="BG395" i="1"/>
  <c r="BG383" i="1"/>
  <c r="BG371" i="1"/>
  <c r="BG359" i="1"/>
  <c r="BG347" i="1"/>
  <c r="BG335" i="1"/>
  <c r="BG323" i="1"/>
  <c r="BG311" i="1"/>
  <c r="BG299" i="1"/>
  <c r="BG287" i="1"/>
  <c r="BG993" i="1"/>
  <c r="BG981" i="1"/>
  <c r="BG969" i="1"/>
  <c r="BG957" i="1"/>
  <c r="BG945" i="1"/>
  <c r="BG933" i="1"/>
  <c r="BG921" i="1"/>
  <c r="BG909" i="1"/>
  <c r="BG897" i="1"/>
  <c r="BG885" i="1"/>
  <c r="BG873" i="1"/>
  <c r="BG861" i="1"/>
  <c r="BG849" i="1"/>
  <c r="BG837" i="1"/>
  <c r="BG825" i="1"/>
  <c r="BG813" i="1"/>
  <c r="BG801" i="1"/>
  <c r="BG789" i="1"/>
  <c r="BG777" i="1"/>
  <c r="BG765" i="1"/>
  <c r="BG753" i="1"/>
  <c r="BG741" i="1"/>
  <c r="BG729" i="1"/>
  <c r="BG717" i="1"/>
  <c r="BG705" i="1"/>
  <c r="BG693" i="1"/>
  <c r="BG681" i="1"/>
  <c r="BG669" i="1"/>
  <c r="BG657" i="1"/>
  <c r="BG645" i="1"/>
  <c r="BG633" i="1"/>
  <c r="BG621" i="1"/>
  <c r="BG609" i="1"/>
  <c r="BG597" i="1"/>
  <c r="BG585" i="1"/>
  <c r="BG573" i="1"/>
  <c r="BG561" i="1"/>
  <c r="BG549" i="1"/>
  <c r="BG537" i="1"/>
  <c r="BG525" i="1"/>
  <c r="BG513" i="1"/>
  <c r="BG501" i="1"/>
  <c r="BG489" i="1"/>
  <c r="BG477" i="1"/>
  <c r="BG465" i="1"/>
  <c r="BG453" i="1"/>
  <c r="BG441" i="1"/>
  <c r="BG429" i="1"/>
  <c r="BG417" i="1"/>
  <c r="BG405" i="1"/>
  <c r="BG393" i="1"/>
  <c r="BG381" i="1"/>
  <c r="BG369" i="1"/>
  <c r="BG357" i="1"/>
  <c r="BG345" i="1"/>
  <c r="BG333" i="1"/>
  <c r="BG321" i="1"/>
  <c r="BG309" i="1"/>
  <c r="BG297" i="1"/>
  <c r="BG992" i="1"/>
  <c r="BG980" i="1"/>
  <c r="BG968" i="1"/>
  <c r="BG956" i="1"/>
  <c r="BG944" i="1"/>
  <c r="BG932" i="1"/>
  <c r="BG920" i="1"/>
  <c r="BG908" i="1"/>
  <c r="BG896" i="1"/>
  <c r="BG884" i="1"/>
  <c r="BG872" i="1"/>
  <c r="BG860" i="1"/>
  <c r="BG848" i="1"/>
  <c r="BG836" i="1"/>
  <c r="BG824" i="1"/>
  <c r="BG812" i="1"/>
  <c r="BG800" i="1"/>
  <c r="BG788" i="1"/>
  <c r="BG776" i="1"/>
  <c r="BG764" i="1"/>
  <c r="BG752" i="1"/>
  <c r="BG740" i="1"/>
  <c r="BG728" i="1"/>
  <c r="BG716" i="1"/>
  <c r="BG704" i="1"/>
  <c r="BG692" i="1"/>
  <c r="BG680" i="1"/>
  <c r="BG668" i="1"/>
  <c r="BG656" i="1"/>
  <c r="BG644" i="1"/>
  <c r="BG632" i="1"/>
  <c r="BG620" i="1"/>
  <c r="BG608" i="1"/>
  <c r="BG596" i="1"/>
  <c r="BG584" i="1"/>
  <c r="BG572" i="1"/>
  <c r="BG560" i="1"/>
  <c r="BG548" i="1"/>
  <c r="BG536" i="1"/>
  <c r="BG524" i="1"/>
  <c r="BG512" i="1"/>
  <c r="BG500" i="1"/>
  <c r="BG488" i="1"/>
  <c r="BG476" i="1"/>
  <c r="BG464" i="1"/>
  <c r="BG452" i="1"/>
  <c r="BG440" i="1"/>
  <c r="BG428" i="1"/>
  <c r="BG416" i="1"/>
  <c r="BG392" i="1"/>
  <c r="BG380" i="1"/>
  <c r="BG356" i="1"/>
  <c r="BG283" i="1"/>
  <c r="BG991" i="1"/>
  <c r="BG979" i="1"/>
  <c r="BG967" i="1"/>
  <c r="BG955" i="1"/>
  <c r="BG943" i="1"/>
  <c r="BG931" i="1"/>
  <c r="BG919" i="1"/>
  <c r="BG907" i="1"/>
  <c r="BG895" i="1"/>
  <c r="BG883" i="1"/>
  <c r="BG871" i="1"/>
  <c r="BG859" i="1"/>
  <c r="BG847" i="1"/>
  <c r="BG835" i="1"/>
  <c r="BG823" i="1"/>
  <c r="BG811" i="1"/>
  <c r="BG799" i="1"/>
  <c r="BG787" i="1"/>
  <c r="BG775" i="1"/>
  <c r="BG763" i="1"/>
  <c r="BG751" i="1"/>
  <c r="BG739" i="1"/>
  <c r="BG727" i="1"/>
  <c r="BG715" i="1"/>
  <c r="BG703" i="1"/>
  <c r="BG691" i="1"/>
  <c r="BG679" i="1"/>
  <c r="BG667" i="1"/>
  <c r="BG655" i="1"/>
  <c r="BG643" i="1"/>
  <c r="BG631" i="1"/>
  <c r="BG619" i="1"/>
  <c r="BG607" i="1"/>
  <c r="BG595" i="1"/>
  <c r="BG583" i="1"/>
  <c r="BG571" i="1"/>
  <c r="BG559" i="1"/>
  <c r="BG547" i="1"/>
  <c r="BG535" i="1"/>
  <c r="BG523" i="1"/>
  <c r="BG511" i="1"/>
  <c r="BG499" i="1"/>
  <c r="BG487" i="1"/>
  <c r="BG475" i="1"/>
  <c r="BG463" i="1"/>
  <c r="BG451" i="1"/>
  <c r="BG439" i="1"/>
  <c r="BG427" i="1"/>
  <c r="BG415" i="1"/>
  <c r="BG403" i="1"/>
  <c r="BG391" i="1"/>
  <c r="BG379" i="1"/>
  <c r="BG367" i="1"/>
  <c r="BG355" i="1"/>
  <c r="BG343" i="1"/>
  <c r="BG331" i="1"/>
  <c r="BG319" i="1"/>
  <c r="BG307" i="1"/>
  <c r="BG295" i="1"/>
  <c r="BG474" i="1"/>
  <c r="BG462" i="1"/>
  <c r="BG450" i="1"/>
  <c r="BG438" i="1"/>
  <c r="BG426" i="1"/>
  <c r="BG414" i="1"/>
  <c r="BG330" i="1"/>
  <c r="BG318" i="1"/>
  <c r="BG306" i="1"/>
  <c r="BG294" i="1"/>
  <c r="BG2" i="1"/>
  <c r="BG996" i="1"/>
  <c r="BG984" i="1"/>
  <c r="BG288" i="1"/>
  <c r="BG276" i="1"/>
  <c r="BG264" i="1"/>
  <c r="BG252" i="1"/>
  <c r="BG240" i="1"/>
  <c r="BG228" i="1"/>
  <c r="BG216" i="1"/>
  <c r="BG204" i="1"/>
  <c r="BG192" i="1"/>
  <c r="BG180" i="1"/>
  <c r="BG168" i="1"/>
  <c r="BG156" i="1"/>
  <c r="BG144" i="1"/>
  <c r="BG132" i="1"/>
  <c r="BG120" i="1"/>
  <c r="BG108" i="1"/>
  <c r="BG96" i="1"/>
  <c r="BG84" i="1"/>
  <c r="BG72" i="1"/>
  <c r="BG60" i="1"/>
  <c r="BG48" i="1"/>
  <c r="BG36" i="1"/>
  <c r="BG24" i="1"/>
  <c r="BG12" i="1"/>
  <c r="BG11" i="1"/>
  <c r="BG10" i="1"/>
  <c r="BG994" i="1"/>
  <c r="BG982" i="1"/>
  <c r="BG970" i="1"/>
  <c r="BG958" i="1"/>
  <c r="BG946" i="1"/>
  <c r="BG934" i="1"/>
  <c r="BG922" i="1"/>
  <c r="BG910" i="1"/>
  <c r="BG898" i="1"/>
  <c r="BG886" i="1"/>
  <c r="BG874" i="1"/>
  <c r="BG862" i="1"/>
  <c r="BG850" i="1"/>
  <c r="BG838" i="1"/>
  <c r="BG826" i="1"/>
  <c r="BG814" i="1"/>
  <c r="BG802" i="1"/>
  <c r="BG790" i="1"/>
  <c r="BG778" i="1"/>
  <c r="BG766" i="1"/>
  <c r="BG754" i="1"/>
  <c r="BG742" i="1"/>
  <c r="BG730" i="1"/>
  <c r="BG718" i="1"/>
  <c r="BG706" i="1"/>
  <c r="BG694" i="1"/>
  <c r="BG682" i="1"/>
  <c r="BG670" i="1"/>
  <c r="BG658" i="1"/>
  <c r="BG646" i="1"/>
  <c r="BG634" i="1"/>
  <c r="BG622" i="1"/>
  <c r="BG610" i="1"/>
  <c r="BG598" i="1"/>
  <c r="BG586" i="1"/>
  <c r="BG574" i="1"/>
  <c r="BG562" i="1"/>
  <c r="BG550" i="1"/>
  <c r="BG538" i="1"/>
  <c r="BG526" i="1"/>
  <c r="BG514" i="1"/>
  <c r="BG502" i="1"/>
  <c r="BG490" i="1"/>
  <c r="BG478" i="1"/>
  <c r="BG466" i="1"/>
  <c r="BG454" i="1"/>
  <c r="BG442" i="1"/>
  <c r="BG370" i="1"/>
  <c r="BG358" i="1"/>
  <c r="BG346" i="1"/>
  <c r="BG334" i="1"/>
  <c r="BG322" i="1"/>
  <c r="BG310" i="1"/>
  <c r="BG298" i="1"/>
  <c r="BG368" i="1"/>
  <c r="BG344" i="1"/>
  <c r="BG332" i="1"/>
  <c r="BG320" i="1"/>
  <c r="BG308" i="1"/>
  <c r="BG296" i="1"/>
  <c r="BG284" i="1"/>
  <c r="BG258" i="1"/>
  <c r="BG210" i="1"/>
  <c r="BG138" i="1"/>
  <c r="BG54" i="1"/>
  <c r="BG269" i="1"/>
  <c r="BG221" i="1"/>
  <c r="BG161" i="1"/>
  <c r="BG101" i="1"/>
  <c r="BG5" i="1"/>
  <c r="BG268" i="1"/>
  <c r="BG244" i="1"/>
  <c r="BG220" i="1"/>
  <c r="BG196" i="1"/>
  <c r="BG148" i="1"/>
  <c r="BG124" i="1"/>
  <c r="BG88" i="1"/>
  <c r="BG64" i="1"/>
  <c r="BG28" i="1"/>
  <c r="BG4" i="1"/>
  <c r="BG246" i="1"/>
  <c r="BG198" i="1"/>
  <c r="BG126" i="1"/>
  <c r="BG30" i="1"/>
  <c r="BG281" i="1"/>
  <c r="BG233" i="1"/>
  <c r="BG185" i="1"/>
  <c r="BG137" i="1"/>
  <c r="BG77" i="1"/>
  <c r="BG17" i="1"/>
  <c r="BG256" i="1"/>
  <c r="BG232" i="1"/>
  <c r="BG208" i="1"/>
  <c r="BG172" i="1"/>
  <c r="BG136" i="1"/>
  <c r="BG112" i="1"/>
  <c r="BG100" i="1"/>
  <c r="BG76" i="1"/>
  <c r="BG52" i="1"/>
  <c r="BG40" i="1"/>
  <c r="BG16" i="1"/>
  <c r="BG279" i="1"/>
  <c r="BG267" i="1"/>
  <c r="BG255" i="1"/>
  <c r="BG243" i="1"/>
  <c r="BG231" i="1"/>
  <c r="BG219" i="1"/>
  <c r="BG207" i="1"/>
  <c r="BG195" i="1"/>
  <c r="BG183" i="1"/>
  <c r="BG171" i="1"/>
  <c r="BG159" i="1"/>
  <c r="BG147" i="1"/>
  <c r="BG135" i="1"/>
  <c r="BG123" i="1"/>
  <c r="BG111" i="1"/>
  <c r="BG99" i="1"/>
  <c r="BG87" i="1"/>
  <c r="BG75" i="1"/>
  <c r="BG63" i="1"/>
  <c r="BG51" i="1"/>
  <c r="BG39" i="1"/>
  <c r="BG27" i="1"/>
  <c r="BG15" i="1"/>
  <c r="BG222" i="1"/>
  <c r="BG174" i="1"/>
  <c r="BG102" i="1"/>
  <c r="BG18" i="1"/>
  <c r="BG245" i="1"/>
  <c r="BG173" i="1"/>
  <c r="BG113" i="1"/>
  <c r="BG29" i="1"/>
  <c r="BG184" i="1"/>
  <c r="BG230" i="1"/>
  <c r="BG62" i="1"/>
  <c r="BG234" i="1"/>
  <c r="BG186" i="1"/>
  <c r="BG162" i="1"/>
  <c r="BG150" i="1"/>
  <c r="BG114" i="1"/>
  <c r="BG90" i="1"/>
  <c r="BG78" i="1"/>
  <c r="BG66" i="1"/>
  <c r="BG42" i="1"/>
  <c r="BG6" i="1"/>
  <c r="BG257" i="1"/>
  <c r="BG209" i="1"/>
  <c r="BG197" i="1"/>
  <c r="BG149" i="1"/>
  <c r="BG125" i="1"/>
  <c r="BG89" i="1"/>
  <c r="BG65" i="1"/>
  <c r="BG53" i="1"/>
  <c r="BG41" i="1"/>
  <c r="BG280" i="1"/>
  <c r="BG160" i="1"/>
  <c r="BG278" i="1"/>
  <c r="BG266" i="1"/>
  <c r="BG254" i="1"/>
  <c r="BG242" i="1"/>
  <c r="BG218" i="1"/>
  <c r="BG206" i="1"/>
  <c r="BG194" i="1"/>
  <c r="BG182" i="1"/>
  <c r="BG170" i="1"/>
  <c r="BG158" i="1"/>
  <c r="BG146" i="1"/>
  <c r="BG134" i="1"/>
  <c r="BG122" i="1"/>
  <c r="BG110" i="1"/>
  <c r="BG98" i="1"/>
  <c r="BG86" i="1"/>
  <c r="BG74" i="1"/>
  <c r="BG50" i="1"/>
  <c r="BG38" i="1"/>
  <c r="BG26" i="1"/>
  <c r="BG14" i="1"/>
  <c r="BG277" i="1"/>
  <c r="BG265" i="1"/>
  <c r="BG253" i="1"/>
  <c r="BG241" i="1"/>
  <c r="BG229" i="1"/>
  <c r="BG217" i="1"/>
  <c r="BG205" i="1"/>
  <c r="BG193" i="1"/>
  <c r="BG181" i="1"/>
  <c r="BG169" i="1"/>
  <c r="BG157" i="1"/>
  <c r="BG145" i="1"/>
  <c r="BG133" i="1"/>
  <c r="BG121" i="1"/>
  <c r="BG109" i="1"/>
  <c r="BG97" i="1"/>
  <c r="BG85" i="1"/>
  <c r="BG73" i="1"/>
  <c r="BG61" i="1"/>
  <c r="BG49" i="1"/>
  <c r="BG37" i="1"/>
  <c r="BG25" i="1"/>
  <c r="BG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<sst xmlns="http://schemas.openxmlformats.org/spreadsheetml/2006/main" count="322" uniqueCount="208">
  <si>
    <t>call_id</t>
  </si>
  <si>
    <t>qc_reviewer</t>
  </si>
  <si>
    <t>call_date</t>
  </si>
  <si>
    <t>call_time</t>
  </si>
  <si>
    <t>team</t>
  </si>
  <si>
    <t>language</t>
  </si>
  <si>
    <t>call_type</t>
  </si>
  <si>
    <t>call_duration</t>
  </si>
  <si>
    <t>agent_name</t>
  </si>
  <si>
    <t>reason_for_call</t>
  </si>
  <si>
    <t>accuracy_result</t>
  </si>
  <si>
    <t>critical_misses_count</t>
  </si>
  <si>
    <t>important_misses_count</t>
  </si>
  <si>
    <t>critical_1</t>
  </si>
  <si>
    <t>critical_1_comment</t>
  </si>
  <si>
    <t>critical_2</t>
  </si>
  <si>
    <t>critical_2_comment</t>
  </si>
  <si>
    <t>critical_3</t>
  </si>
  <si>
    <t>critical_3_comment</t>
  </si>
  <si>
    <t>important_1</t>
  </si>
  <si>
    <t>important_1_comment</t>
  </si>
  <si>
    <t>important_2</t>
  </si>
  <si>
    <t>important_2_comment</t>
  </si>
  <si>
    <t>important_3</t>
  </si>
  <si>
    <t>important_3_comment</t>
  </si>
  <si>
    <t>dv_c1_idv_reviewed</t>
  </si>
  <si>
    <t>dv_c2_insurance</t>
  </si>
  <si>
    <t>dv_c3_duplication_of_benefits</t>
  </si>
  <si>
    <t>dv_c4_occupants_frame_review</t>
  </si>
  <si>
    <t>dv_c5_death_cert_fe_validation</t>
  </si>
  <si>
    <t>dv_c6_required_contact</t>
  </si>
  <si>
    <t>dv_c7_wp_routed_accurately</t>
  </si>
  <si>
    <t>dv_c8_req_verification_call_made</t>
  </si>
  <si>
    <t>dv_c9_transfer_reg_correctly</t>
  </si>
  <si>
    <t>dv_i1_req_substantiations</t>
  </si>
  <si>
    <t>dv_i2_wp_on_hold</t>
  </si>
  <si>
    <t>dv_i3_fsoc_completed</t>
  </si>
  <si>
    <t>al_c1_nemis_file_accessed</t>
  </si>
  <si>
    <t>al_c2_req_information_verified_to_access_file</t>
  </si>
  <si>
    <t>al_c3_pii_information_not_disclosed</t>
  </si>
  <si>
    <t>al_c4_authorized_access_to_nemis</t>
  </si>
  <si>
    <t>al_c5_caller_concerns_accurately_identified</t>
  </si>
  <si>
    <t>al_c6_confirmed_correspondence</t>
  </si>
  <si>
    <t>al_c7_eligibility_determination_not_disclosed_before_schedule_date</t>
  </si>
  <si>
    <t>al_c8_caller_given_info_for_next_steps</t>
  </si>
  <si>
    <t>al_c9_documented_contact_entry_data_change</t>
  </si>
  <si>
    <t>al_c10_critical_data_change_accurately_completed</t>
  </si>
  <si>
    <t>al_c11_action_take_to_resolve_issue_within_realm_of_authority</t>
  </si>
  <si>
    <t>al_c12_call_monitoring_disclosure_provided</t>
  </si>
  <si>
    <t>al_c13_customer_service_skills_demonstrated</t>
  </si>
  <si>
    <t>al_i1_scripted_text_followed</t>
  </si>
  <si>
    <t>al_i2_transfer_procedure_followed</t>
  </si>
  <si>
    <t>al_i3_applicable_referrals_provided</t>
  </si>
  <si>
    <t>qa_fail</t>
  </si>
  <si>
    <t>total_critical_possible</t>
  </si>
  <si>
    <t>total_important_possible</t>
  </si>
  <si>
    <t>critical_accuracy_rate</t>
  </si>
  <si>
    <t>important_accuracy_rate</t>
  </si>
  <si>
    <t>weighted_accuracy_rate_70_30</t>
  </si>
  <si>
    <t>critical_items_missed</t>
  </si>
  <si>
    <t>error_type</t>
  </si>
  <si>
    <t>missed_items_summary</t>
  </si>
  <si>
    <t>Doe, Jane</t>
  </si>
  <si>
    <t>Doger, Roger</t>
  </si>
  <si>
    <t>English</t>
  </si>
  <si>
    <t>AL</t>
  </si>
  <si>
    <t>00:12:48</t>
  </si>
  <si>
    <t>Skelter, Helter</t>
  </si>
  <si>
    <t>Status Check</t>
  </si>
  <si>
    <t>C13. Customer Service Skills Demonstrated</t>
  </si>
  <si>
    <t>C13. Agent yelled at applicant.</t>
  </si>
  <si>
    <t>Star, Bright</t>
  </si>
  <si>
    <t>Zoomie, Oomie</t>
  </si>
  <si>
    <t>DV</t>
  </si>
  <si>
    <t>Lavender, Bailey</t>
  </si>
  <si>
    <t>Document Validation</t>
  </si>
  <si>
    <t>You, Me</t>
  </si>
  <si>
    <t>Pitts, Kiley</t>
  </si>
  <si>
    <t>C5. Death Certificate</t>
  </si>
  <si>
    <t>C5. DC not set to verified</t>
  </si>
  <si>
    <t>Edwards, Clark</t>
  </si>
  <si>
    <t>00:41:14</t>
  </si>
  <si>
    <t>Marie, Elizabeth</t>
  </si>
  <si>
    <t>Missing Payment</t>
  </si>
  <si>
    <t>Conover, Kelly</t>
  </si>
  <si>
    <t>Brown, Marissa</t>
  </si>
  <si>
    <t>00:09:23</t>
  </si>
  <si>
    <t>Carter, Teresa</t>
  </si>
  <si>
    <t>I1. Scripted text not followed</t>
  </si>
  <si>
    <t>I1. Agent did not state full closing script</t>
  </si>
  <si>
    <t>Call Type</t>
  </si>
  <si>
    <t>Code</t>
  </si>
  <si>
    <t>Column</t>
  </si>
  <si>
    <t>Field Name</t>
  </si>
  <si>
    <t>C1</t>
  </si>
  <si>
    <t>Z</t>
  </si>
  <si>
    <t>IDV Reviewed</t>
  </si>
  <si>
    <t>C2</t>
  </si>
  <si>
    <t>AA</t>
  </si>
  <si>
    <t>Insurance</t>
  </si>
  <si>
    <t>C3</t>
  </si>
  <si>
    <t>AB</t>
  </si>
  <si>
    <t>Duplication of Benefits</t>
  </si>
  <si>
    <t>C4</t>
  </si>
  <si>
    <t>AC</t>
  </si>
  <si>
    <t>Occupancy Fram Reviewed</t>
  </si>
  <si>
    <t>C5</t>
  </si>
  <si>
    <t>AD</t>
  </si>
  <si>
    <t>Death Cert Verification</t>
  </si>
  <si>
    <t>C6</t>
  </si>
  <si>
    <t>AE</t>
  </si>
  <si>
    <t>Required Contact</t>
  </si>
  <si>
    <t>C7</t>
  </si>
  <si>
    <t>AF</t>
  </si>
  <si>
    <t>WP Routed</t>
  </si>
  <si>
    <t>C8</t>
  </si>
  <si>
    <t>AG</t>
  </si>
  <si>
    <t>Verification Call Made</t>
  </si>
  <si>
    <t>C9</t>
  </si>
  <si>
    <t>AH</t>
  </si>
  <si>
    <t>Transfer Registration Correctly</t>
  </si>
  <si>
    <t>I1</t>
  </si>
  <si>
    <t>AI</t>
  </si>
  <si>
    <t>Required Substantiations</t>
  </si>
  <si>
    <t>I2</t>
  </si>
  <si>
    <t>AJ</t>
  </si>
  <si>
    <t>WP on Hold</t>
  </si>
  <si>
    <t>I3</t>
  </si>
  <si>
    <t>AK</t>
  </si>
  <si>
    <t>FSOC Completed</t>
  </si>
  <si>
    <t>NEMIS File Accessed</t>
  </si>
  <si>
    <t>AM</t>
  </si>
  <si>
    <t>Req Information Verified</t>
  </si>
  <si>
    <t>AN</t>
  </si>
  <si>
    <t>PII Information Not Disclosed</t>
  </si>
  <si>
    <t>AO</t>
  </si>
  <si>
    <t>Authorized Access to NEMIS File</t>
  </si>
  <si>
    <t>AP</t>
  </si>
  <si>
    <t>Caller Concerns Accurately Identified</t>
  </si>
  <si>
    <t>AQ</t>
  </si>
  <si>
    <t>Confirmed Correspondence</t>
  </si>
  <si>
    <t>AR</t>
  </si>
  <si>
    <t>Eligibility Determination Not Disclosed</t>
  </si>
  <si>
    <t>AS</t>
  </si>
  <si>
    <t>Caller Given Info For Next Steps</t>
  </si>
  <si>
    <t>AT</t>
  </si>
  <si>
    <t>Documented Contact</t>
  </si>
  <si>
    <t>C10</t>
  </si>
  <si>
    <t>AU</t>
  </si>
  <si>
    <t>Critical Data Change</t>
  </si>
  <si>
    <t>C11</t>
  </si>
  <si>
    <t>AV</t>
  </si>
  <si>
    <t>Action Taken to Resolve Issue Within Realm of Authority</t>
  </si>
  <si>
    <t>C12</t>
  </si>
  <si>
    <t>AW</t>
  </si>
  <si>
    <t>Call Monitoring Disclosure Statement Provided</t>
  </si>
  <si>
    <t>C13</t>
  </si>
  <si>
    <t>AX</t>
  </si>
  <si>
    <t>Customer Service Skills Demonstrated</t>
  </si>
  <si>
    <t>AY</t>
  </si>
  <si>
    <t>Scripted Text Followed</t>
  </si>
  <si>
    <t>AZ</t>
  </si>
  <si>
    <t>Transfer Procedures Followed</t>
  </si>
  <si>
    <t>BA</t>
  </si>
  <si>
    <t>Applicable Referals Provided</t>
  </si>
  <si>
    <t>Status Key</t>
  </si>
  <si>
    <t>Present</t>
  </si>
  <si>
    <t>Absent</t>
  </si>
  <si>
    <t>Late</t>
  </si>
  <si>
    <t>PTO</t>
  </si>
  <si>
    <t>Sick</t>
  </si>
  <si>
    <t>date</t>
  </si>
  <si>
    <t>status</t>
  </si>
  <si>
    <t>hours_worked</t>
  </si>
  <si>
    <t>notes</t>
  </si>
  <si>
    <t>Left Early</t>
  </si>
  <si>
    <t>Called in at 7:25a</t>
  </si>
  <si>
    <t>Planned</t>
  </si>
  <si>
    <t>Unplanned</t>
  </si>
  <si>
    <t>Dr Appt</t>
  </si>
  <si>
    <t>Supervisor Update</t>
  </si>
  <si>
    <t>Handled (Inbound)</t>
  </si>
  <si>
    <t>Avg Talk Time (Inbound)</t>
  </si>
  <si>
    <t>Handled (Outbound)</t>
  </si>
  <si>
    <t>Avg Talk Time (Outbound)</t>
  </si>
  <si>
    <t>Available Time</t>
  </si>
  <si>
    <t>Total Unavailable Time</t>
  </si>
  <si>
    <t>Refused</t>
  </si>
  <si>
    <t>Login Time</t>
  </si>
  <si>
    <t>00:00:00</t>
  </si>
  <si>
    <t>00:00:24</t>
  </si>
  <si>
    <t>08:37:33</t>
  </si>
  <si>
    <t>08:39:41</t>
  </si>
  <si>
    <t>00:04:36</t>
  </si>
  <si>
    <t>00:00:02</t>
  </si>
  <si>
    <t>05:45:18</t>
  </si>
  <si>
    <t>01:27:12</t>
  </si>
  <si>
    <t>07:36:30</t>
  </si>
  <si>
    <t>00:25:07</t>
  </si>
  <si>
    <t>03:35:09</t>
  </si>
  <si>
    <t>02:35:14</t>
  </si>
  <si>
    <t>07:00:38</t>
  </si>
  <si>
    <t>08:58:47</t>
  </si>
  <si>
    <t>00:25:08</t>
  </si>
  <si>
    <t>03:35:10</t>
  </si>
  <si>
    <t>02:35:15</t>
  </si>
  <si>
    <t>07:00:39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</si>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</sst>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Aptos Narrow"/>
      <family val="2"/>
      <scheme val="minor"/>
    </font>
    <font>
      <b/>
      <sz val="10"/>
      <color rgb="FF000000"/>
      <name val="Trebuchet MS"/>
    </font>
    <font>
      <sz val="10"/>
      <color rgb="FF000000"/>
      <name val="Arial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DAF2D0"/>
        <bgColor rgb="FFDAF2D0"/>
      </patternFill>
    </fill>
  </fills>
  <borders count="10">
    <border>
      <left/>
      <right/>
      <top/>
      <bottom/>
      <diagonal/>
    </border>
    <border>
      <left style="thin">
        <color theme="9" tint="0.39997558519241921"/>
      </left>
      <right style="thin">
        <color theme="1"/>
      </right>
      <top/>
      <bottom style="thin">
        <color theme="9" tint="0.39997558519241921"/>
      </bottom>
      <diagonal/>
    </border>
    <border>
      <left style="thin">
        <color theme="1"/>
      </left>
      <right style="thin">
        <color theme="1"/>
      </right>
      <top/>
      <bottom style="thin">
        <color theme="9" tint="0.3999755851924192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rgb="FF4EA72E"/>
      </left>
      <right style="thin">
        <color rgb="FF4EA72E"/>
      </right>
      <top style="thin">
        <color rgb="FF4EA72E"/>
      </top>
      <bottom style="thin">
        <color rgb="FF4EA72E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C8D1D5"/>
      </left>
      <right style="thin">
        <color rgb="FFC8D1D5"/>
      </right>
      <top/>
      <bottom style="thin">
        <color rgb="FFC8D1D5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C8D1D5"/>
      </left>
      <right style="thin">
        <color rgb="FFC8D1D5"/>
      </right>
      <top/>
      <bottom/>
      <diagonal/>
    </border>
    <border>
      <left style="thin">
        <color rgb="FFD3D3D3"/>
      </left>
      <right style="thin">
        <color rgb="FFD3D3D3"/>
      </right>
      <top/>
      <bottom style="thin">
        <color rgb="FFD3D3D3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/>
  </cellStyleXfs>
  <cellXfs count="32">
    <xf numFmtId="0" fontId="0" fillId="0" borderId="0" xfId="0"/>
    <xf numFmtId="1" fontId="2" fillId="2" borderId="1" xfId="0" applyNumberFormat="1" applyFont="1" applyFill="1" applyBorder="1"/>
    <xf numFmtId="0" fontId="2" fillId="2" borderId="2" xfId="0" applyFont="1" applyFill="1" applyBorder="1"/>
    <xf numFmtId="0" fontId="2" fillId="2" borderId="2" xfId="1" applyNumberFormat="1" applyFont="1" applyFill="1" applyBorder="1"/>
    <xf numFmtId="10" fontId="2" fillId="2" borderId="2" xfId="1" applyNumberFormat="1" applyFont="1" applyFill="1" applyBorder="1"/>
    <xf numFmtId="0" fontId="2" fillId="2" borderId="3" xfId="0" applyFont="1" applyFill="1" applyBorder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10" fontId="0" fillId="0" borderId="0" xfId="0" applyNumberFormat="1"/>
    <xf numFmtId="14" fontId="2" fillId="2" borderId="2" xfId="0" applyNumberFormat="1" applyFont="1" applyFill="1" applyBorder="1"/>
    <xf numFmtId="164" fontId="2" fillId="2" borderId="2" xfId="0" applyNumberFormat="1" applyFont="1" applyFill="1" applyBorder="1"/>
    <xf numFmtId="1" fontId="2" fillId="2" borderId="2" xfId="0" applyNumberFormat="1" applyFont="1" applyFill="1" applyBorder="1"/>
    <xf numFmtId="1" fontId="0" fillId="0" borderId="0" xfId="0" applyNumberFormat="1"/>
    <xf numFmtId="1" fontId="2" fillId="2" borderId="2" xfId="1" applyNumberFormat="1" applyFont="1" applyFill="1" applyBorder="1"/>
    <xf numFmtId="1" fontId="5" fillId="3" borderId="4" xfId="0" applyNumberFormat="1" applyFont="1" applyFill="1" applyBorder="1"/>
    <xf numFmtId="0" fontId="5" fillId="3" borderId="4" xfId="0" applyFont="1" applyFill="1" applyBorder="1"/>
    <xf numFmtId="14" fontId="5" fillId="3" borderId="4" xfId="0" applyNumberFormat="1" applyFont="1" applyFill="1" applyBorder="1"/>
    <xf numFmtId="19" fontId="5" fillId="3" borderId="4" xfId="0" applyNumberFormat="1" applyFont="1" applyFill="1" applyBorder="1"/>
    <xf numFmtId="21" fontId="5" fillId="3" borderId="4" xfId="0" quotePrefix="1" applyNumberFormat="1" applyFont="1" applyFill="1" applyBorder="1"/>
    <xf numFmtId="16" fontId="0" fillId="0" borderId="0" xfId="0" applyNumberFormat="1"/>
    <xf numFmtId="0" fontId="8" fillId="0" borderId="5" xfId="2" applyFont="1" applyBorder="1" applyAlignment="1">
      <alignment vertical="top" wrapText="1" readingOrder="1"/>
    </xf>
    <xf numFmtId="0" fontId="8" fillId="0" borderId="5" xfId="2" applyFont="1" applyBorder="1" applyAlignment="1">
      <alignment horizontal="right" vertical="top" wrapText="1" readingOrder="1"/>
    </xf>
    <xf numFmtId="0" fontId="7" fillId="0" borderId="6" xfId="2" applyFont="1" applyBorder="1" applyAlignment="1">
      <alignment horizontal="center" vertical="top" wrapText="1" readingOrder="1"/>
    </xf>
    <xf numFmtId="0" fontId="7" fillId="0" borderId="6" xfId="2" applyFont="1" applyBorder="1" applyAlignment="1">
      <alignment horizontal="right" vertical="top" wrapText="1" readingOrder="1"/>
    </xf>
    <xf numFmtId="0" fontId="8" fillId="0" borderId="7" xfId="2" applyFont="1" applyBorder="1" applyAlignment="1">
      <alignment vertical="top" wrapText="1" readingOrder="1"/>
    </xf>
    <xf numFmtId="0" fontId="7" fillId="0" borderId="8" xfId="2" applyFont="1" applyBorder="1" applyAlignment="1">
      <alignment horizontal="center" vertical="top" wrapText="1" readingOrder="1"/>
    </xf>
    <xf numFmtId="0" fontId="5" fillId="0" borderId="0" xfId="0" applyFont="1"/>
    <xf numFmtId="16" fontId="8" fillId="0" borderId="9" xfId="2" applyNumberFormat="1" applyFont="1" applyBorder="1" applyAlignment="1">
      <alignment horizontal="right" vertical="top" wrapText="1" readingOrder="1"/>
    </xf>
    <xf numFmtId="16" fontId="8" fillId="0" borderId="5" xfId="2" applyNumberFormat="1" applyFont="1" applyBorder="1" applyAlignment="1">
      <alignment horizontal="right" vertical="top" wrapText="1" readingOrder="1"/>
    </xf>
  </cellXfs>
  <cellStyles count="3">
    <cellStyle name="Normal" xfId="0" builtinId="0"/>
    <cellStyle name="Normal 2" xfId="2" xr:uid="{8013396E-0FA2-4BE8-B705-67196789E8AD}"/>
    <cellStyle name="Percent" xfId="1" builtinId="5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C8D1D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</dxf>
    <dxf>
      <border outline="0">
        <bottom style="thin">
          <color rgb="FFC8D1D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rebuchet MS"/>
        <scheme val="none"/>
      </font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1"/>
      <border diagonalUp="0" diagonalDown="0" outline="0">
        <left style="thin">
          <color rgb="FFC8D1D5"/>
        </left>
        <right style="thin">
          <color rgb="FFC8D1D5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4" formatCode="0.00%"/>
    </dxf>
    <dxf>
      <numFmt numFmtId="14" formatCode="0.0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64" formatCode="[$-F400]h:mm:ss\ AM/PM"/>
    </dxf>
    <dxf>
      <numFmt numFmtId="19" formatCode="m/d/yyyy"/>
    </dxf>
    <dxf>
      <border outline="0">
        <top style="thin">
          <color theme="9" tint="0.3999755851924192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23/09/relationships/Python" Target="pytho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BAFBED-14AE-43A6-A7FC-283C7AE81C89}" name="Table1" displayName="Table1" ref="A1:BJ1000" totalsRowShown="0" tableBorderDxfId="57">
  <autoFilter ref="A1:BJ1000" xr:uid="{EEBAFBED-14AE-43A6-A7FC-283C7AE81C89}"/>
  <tableColumns count="62">
    <tableColumn id="1" xr3:uid="{E63DFEA5-71D4-4F9F-BAED-30697B57603F}" name="call_id"/>
    <tableColumn id="2" xr3:uid="{FC464A00-734F-4B03-8FAA-D8B6D180CA6F}" name="qc_reviewer"/>
    <tableColumn id="3" xr3:uid="{38C29F41-D86F-4C76-BB0D-AFAB648B9854}" name="call_date" dataDxfId="56"/>
    <tableColumn id="4" xr3:uid="{C4AD82EB-100E-4B42-88D0-EBFDFA25A25E}" name="call_time" dataDxfId="55"/>
    <tableColumn id="5" xr3:uid="{889C8DB9-490B-48D4-AF3F-C9DEBB6C1E21}" name="team"/>
    <tableColumn id="6" xr3:uid="{8DE87EE2-D7AD-4926-85E6-9B5AC9E02791}" name="language"/>
    <tableColumn id="7" xr3:uid="{E98CF518-02FA-496C-8C0F-18C0F5A4FB97}" name="call_type"/>
    <tableColumn id="8" xr3:uid="{270B0367-34BF-43B2-AB35-B22A23503991}" name="call_duration"/>
    <tableColumn id="9" xr3:uid="{94D42563-20BF-4E2E-8EC1-BC297F5BDE71}" name="agent_name"/>
    <tableColumn id="10" xr3:uid="{2F4F19D5-7FD0-4CC6-8255-ADEB6D1E8079}" name="reason_for_call"/>
    <tableColumn id="11" xr3:uid="{3B4D9474-51D9-441F-82C8-7591C3A7D94E}" name="accuracy_result" dataDxfId="54">
      <calculatedColumnFormula>IF(L2="","",IF(L2&gt;0,"Fail","Pass"))</calculatedColumnFormula>
    </tableColumn>
    <tableColumn id="12" xr3:uid="{BDF56CBC-4409-44A4-9245-A7D343454937}" name="critical_misses_count" dataDxfId="53">
      <calculatedColumnFormula>COUNTA(N2,P2,R2)</calculatedColumnFormula>
    </tableColumn>
    <tableColumn id="13" xr3:uid="{285C96E8-D454-4CB4-8CE4-040572361C1E}" name="important_misses_count" dataDxfId="52">
      <calculatedColumnFormula>COUNTA(T2,V2,X2)</calculatedColumnFormula>
    </tableColumn>
    <tableColumn id="14" xr3:uid="{57B73BEF-A52C-4195-9655-D39237705A3B}" name="critical_1"/>
    <tableColumn id="15" xr3:uid="{D3C73552-4EB7-4DE2-B335-325C864CF1AA}" name="critical_1_comment"/>
    <tableColumn id="16" xr3:uid="{D54BFB61-DF8E-4ABD-BB59-DF46E3C5C1A0}" name="critical_2"/>
    <tableColumn id="17" xr3:uid="{555F69D6-F444-47A4-BA55-C9B77BBE98D2}" name="critical_2_comment"/>
    <tableColumn id="18" xr3:uid="{7C6E51B5-27A9-4CE3-988D-CCA5704B8670}" name="critical_3"/>
    <tableColumn id="19" xr3:uid="{EFA21E2B-3EE4-492B-B9DA-D20AFBDED3D4}" name="critical_3_comment"/>
    <tableColumn id="20" xr3:uid="{4ED3288B-6CA9-4B3C-B89C-50F0AE9FEA8F}" name="important_1"/>
    <tableColumn id="21" xr3:uid="{4D2C72E9-C271-4082-8FD3-62C69FF22355}" name="important_1_comment"/>
    <tableColumn id="22" xr3:uid="{FC1D170F-34E0-457D-A26E-67179084294E}" name="important_2"/>
    <tableColumn id="23" xr3:uid="{937192BA-2147-4EDE-9B74-AA6F50E4CD4F}" name="important_2_comment"/>
    <tableColumn id="24" xr3:uid="{22A3EBB6-FE27-4C2F-A684-86A10773A63A}" name="important_3"/>
    <tableColumn id="25" xr3:uid="{32E1FB6E-B403-483E-B966-EA2164A72EC3}" name="important_3_comment"/>
    <tableColumn id="26" xr3:uid="{F8EBEFF0-C739-48DC-B554-B0B92CF0AB8A}" name="dv_c1_idv_reviewed" dataDxfId="51">
      <calculatedColumnFormula>IF(AND(G2="DV",ISNUMBER(SEARCH("C1",N2&amp;P2&amp;R2&amp;T2&amp;V2&amp;X2))),0,1)</calculatedColumnFormula>
    </tableColumn>
    <tableColumn id="27" xr3:uid="{2B6E872A-7F2D-43B4-816B-60EFEFF2DF75}" name="dv_c2_insurance" dataDxfId="50">
      <calculatedColumnFormula>IF(AND(G2="DV",ISNUMBER(SEARCH("C2",N2&amp;P2&amp;R2&amp;T2&amp;V2&amp;X2))),0,1)</calculatedColumnFormula>
    </tableColumn>
    <tableColumn id="28" xr3:uid="{D23649A7-13E2-4FFC-BC39-FCD0840DE767}" name="dv_c3_duplication_of_benefits" dataDxfId="49">
      <calculatedColumnFormula>IF(AND(G2="DV",ISNUMBER(SEARCH("C3",N2&amp;P2&amp;R2&amp;T2&amp;V2&amp;X2))),0,1)</calculatedColumnFormula>
    </tableColumn>
    <tableColumn id="29" xr3:uid="{16CDAE0A-1A3D-427E-BB4A-427EBC612104}" name="dv_c4_occupants_frame_review" dataDxfId="48">
      <calculatedColumnFormula>IF(AND(G2="DV",ISNUMBER(SEARCH("C4",N2&amp;P2&amp;R2&amp;T2&amp;V2&amp;X2))),0,1)</calculatedColumnFormula>
    </tableColumn>
    <tableColumn id="30" xr3:uid="{E8A722CF-B19E-42E6-A349-607DE5507DA7}" name="dv_c5_death_cert_fe_validation" dataDxfId="47">
      <calculatedColumnFormula>IF(AND(G2="DV",ISNUMBER(SEARCH("C5",N2&amp;P2&amp;R2&amp;T2&amp;V2&amp;X2))),0,1)</calculatedColumnFormula>
    </tableColumn>
    <tableColumn id="31" xr3:uid="{C2F7FAB7-CF57-4459-B5DD-06E4432D2BEB}" name="dv_c6_required_contact" dataDxfId="46">
      <calculatedColumnFormula>IF(AND(G2="DV",ISNUMBER(SEARCH("C6",N2&amp;P2&amp;R2&amp;T2&amp;V2&amp;X2))),0,1)</calculatedColumnFormula>
    </tableColumn>
    <tableColumn id="32" xr3:uid="{796D489F-60F4-42D4-9239-1C012673B16B}" name="dv_c7_wp_routed_accurately" dataDxfId="45">
      <calculatedColumnFormula>IF(AND(G2="DV",ISNUMBER(SEARCH("C7",N2&amp;P2&amp;R2&amp;T2&amp;V2&amp;X2))),0,1)</calculatedColumnFormula>
    </tableColumn>
    <tableColumn id="33" xr3:uid="{9F2AF48E-5415-4C22-8715-4D39C056B23B}" name="dv_c8_req_verification_call_made" dataDxfId="44">
      <calculatedColumnFormula>IF(AND(G2="DV",ISNUMBER(SEARCH("C8",N2&amp;P2&amp;R2&amp;T2&amp;V2&amp;X2))),0,1)</calculatedColumnFormula>
    </tableColumn>
    <tableColumn id="34" xr3:uid="{52B6AD23-B22C-4DCC-82E6-724CD6904442}" name="dv_c9_transfer_reg_correctly" dataDxfId="43">
      <calculatedColumnFormula>IF(AND(G2="DV",ISNUMBER(SEARCH("C9",N2&amp;P2&amp;R2&amp;T2&amp;V2&amp;X2))),0,1)</calculatedColumnFormula>
    </tableColumn>
    <tableColumn id="35" xr3:uid="{817582B4-7125-40BC-9C8C-872A89243510}" name="dv_i1_req_substantiations" dataDxfId="42">
      <calculatedColumnFormula>IF(AND(G2="DV",ISNUMBER(SEARCH("I1",N2&amp;P2&amp;R2&amp;T2&amp;V2&amp;X2))),0,1)</calculatedColumnFormula>
    </tableColumn>
    <tableColumn id="36" xr3:uid="{0210AAA3-6998-46C6-AF32-32DED53253AD}" name="dv_i2_wp_on_hold" dataDxfId="41">
      <calculatedColumnFormula>IF(AND(G2="DV",ISNUMBER(SEARCH("I2",N2&amp;P2&amp;R2&amp;T2&amp;V2&amp;X2))),0,1)</calculatedColumnFormula>
    </tableColumn>
    <tableColumn id="37" xr3:uid="{DCB1A808-66B1-4A4F-B277-22DC77F16C98}" name="dv_i3_fsoc_completed" dataDxfId="40">
      <calculatedColumnFormula>IF(AND(G2="DV",ISNUMBER(SEARCH("I3",N2&amp;P2&amp;R2&amp;T2&amp;V2&amp;X2))),0,1)</calculatedColumnFormula>
    </tableColumn>
    <tableColumn id="38" xr3:uid="{4525EE80-8888-4B2B-AB37-4A6DE3F818B1}" name="al_c1_nemis_file_accessed" dataDxfId="39">
      <calculatedColumnFormula>IF(AND(G2="AL",ISNUMBER(SEARCH("C1",N2&amp;P2&amp;R2&amp;T2&amp;V2&amp;X2))),0,1)</calculatedColumnFormula>
    </tableColumn>
    <tableColumn id="39" xr3:uid="{E3E1A26C-DA6D-43DF-B4F8-CD7635FF940A}" name="al_c2_req_information_verified_to_access_file" dataDxfId="38">
      <calculatedColumnFormula>IF(AND(G2="AL",ISNUMBER(SEARCH("C2",N2&amp;P2&amp;R2&amp;T2&amp;V2&amp;X2))),0,1)</calculatedColumnFormula>
    </tableColumn>
    <tableColumn id="40" xr3:uid="{E3E792C4-E1D0-4491-8BBF-5BE1E7849089}" name="al_c3_pii_information_not_disclosed" dataDxfId="37">
      <calculatedColumnFormula>IF(AND(G2="AL",ISNUMBER(SEARCH("C3",N2&amp;P2&amp;R2&amp;T2&amp;V2&amp;X2))),0,1)</calculatedColumnFormula>
    </tableColumn>
    <tableColumn id="41" xr3:uid="{730C4D72-8910-4D61-97F1-918148F1757F}" name="al_c4_authorized_access_to_nemis" dataDxfId="36">
      <calculatedColumnFormula>IF(AND(G2="AL",ISNUMBER(SEARCH("C4",N2&amp;P2&amp;R2&amp;T2&amp;V2&amp;X2))),0,1)</calculatedColumnFormula>
    </tableColumn>
    <tableColumn id="42" xr3:uid="{0E2F3861-4296-45E5-A94A-10E32FEDF5F2}" name="al_c5_caller_concerns_accurately_identified" dataDxfId="35">
      <calculatedColumnFormula>IF(AND(G2="AL",ISNUMBER(SEARCH("C5",N2&amp;P2&amp;R2&amp;T2&amp;V2&amp;X2))),0,1)</calculatedColumnFormula>
    </tableColumn>
    <tableColumn id="43" xr3:uid="{A241DBDC-1651-476B-A9CF-5751263B8F7A}" name="al_c6_confirmed_correspondence" dataDxfId="34">
      <calculatedColumnFormula>IF(AND(G2="AL",ISNUMBER(SEARCH("C6",N2&amp;P2&amp;R2&amp;T2&amp;V2&amp;X2))),0,1)</calculatedColumnFormula>
    </tableColumn>
    <tableColumn id="44" xr3:uid="{21C32EBE-B58F-4277-98E6-28E8D44F074B}" name="al_c7_eligibility_determination_not_disclosed_before_schedule_date" dataDxfId="33">
      <calculatedColumnFormula>IF(AND(G2="AL",ISNUMBER(SEARCH("C7",N2&amp;P2&amp;R2&amp;T2&amp;V2&amp;X2))),0,1)</calculatedColumnFormula>
    </tableColumn>
    <tableColumn id="45" xr3:uid="{2E5DD188-6764-478F-B7B1-04E0D8668F14}" name="al_c8_caller_given_info_for_next_steps" dataDxfId="32">
      <calculatedColumnFormula>IF(AND(G2="AL",ISNUMBER(SEARCH("C8",N2&amp;P2&amp;R2&amp;T2&amp;V2&amp;X2))),0,1)</calculatedColumnFormula>
    </tableColumn>
    <tableColumn id="46" xr3:uid="{C0162A66-A98A-49D4-90F9-030130A46F65}" name="al_c9_documented_contact_entry_data_change" dataDxfId="31">
      <calculatedColumnFormula>IF(AND(G2="AL",ISNUMBER(SEARCH("C9",N2&amp;P2&amp;R2&amp;T2&amp;V2&amp;X2))),0,1)</calculatedColumnFormula>
    </tableColumn>
    <tableColumn id="47" xr3:uid="{DD3B4507-1C91-4580-A13B-F063A167A388}" name="al_c10_critical_data_change_accurately_completed" dataDxfId="30">
      <calculatedColumnFormula>IF(AND(G2="AL",ISNUMBER(SEARCH("C10",N2&amp;P2&amp;R2&amp;T2&amp;V2&amp;X2))),0,1)</calculatedColumnFormula>
    </tableColumn>
    <tableColumn id="48" xr3:uid="{8EF58295-2165-4B44-823E-2A3432C90728}" name="al_c11_action_take_to_resolve_issue_within_realm_of_authority" dataDxfId="29">
      <calculatedColumnFormula>IF(AND(G2="AL",ISNUMBER(SEARCH("C11",N2&amp;P2&amp;R2&amp;T2&amp;V2&amp;X2))),0,1)</calculatedColumnFormula>
    </tableColumn>
    <tableColumn id="49" xr3:uid="{5BAE5DD6-FAB1-4B1B-B337-60CAAA70F862}" name="al_c12_call_monitoring_disclosure_provided" dataDxfId="28">
      <calculatedColumnFormula>IF(AND(G2="AL",ISNUMBER(SEARCH("C12",N2&amp;P2&amp;R2&amp;T2&amp;V2&amp;X2))),0,1)</calculatedColumnFormula>
    </tableColumn>
    <tableColumn id="50" xr3:uid="{FB6F0693-26EC-45D5-876C-CAA5AC04A1EE}" name="al_c13_customer_service_skills_demonstrated" dataDxfId="27">
      <calculatedColumnFormula>IF(AND(G2="AL",ISNUMBER(SEARCH("C13",N2&amp;P2&amp;R2&amp;T2&amp;V2&amp;X2))),0,1)</calculatedColumnFormula>
    </tableColumn>
    <tableColumn id="51" xr3:uid="{8F6B6684-2BF1-4433-A221-F77CB48C3934}" name="al_i1_scripted_text_followed" dataDxfId="26">
      <calculatedColumnFormula>IF(AND(G2="AL",ISNUMBER(SEARCH("I1",N2&amp;P2&amp;R2&amp;T2&amp;V2&amp;X2))),0,1)</calculatedColumnFormula>
    </tableColumn>
    <tableColumn id="52" xr3:uid="{C625D053-F092-4A1E-A740-FF5D54D8DFFF}" name="al_i2_transfer_procedure_followed" dataDxfId="25">
      <calculatedColumnFormula>IF(AND(G2="AL",ISNUMBER(SEARCH("I2",N2&amp;P2&amp;R2&amp;T2&amp;V2&amp;X2))),0,1)</calculatedColumnFormula>
    </tableColumn>
    <tableColumn id="53" xr3:uid="{3F97ED1D-FA1C-493D-B5BB-A3B8B1FA1FF2}" name="al_i3_applicable_referrals_provided" dataDxfId="24">
      <calculatedColumnFormula>IF(AND(G2="AL",ISNUMBER(SEARCH("I3",N2&amp;P2&amp;R2&amp;T2&amp;V2&amp;X2))),0,1)</calculatedColumnFormula>
    </tableColumn>
    <tableColumn id="54" xr3:uid="{FB84E552-8711-4ADF-BC7B-5CA54AAD8074}" name="qa_fail" dataDxfId="23">
      <calculatedColumnFormula>IF(L2&gt;0,1,0)</calculatedColumnFormula>
    </tableColumn>
    <tableColumn id="55" xr3:uid="{DAA6AF1D-095C-4B8E-8E86-8F208847AAC7}" name="total_critical_possible" dataDxfId="22">
      <calculatedColumnFormula>IF(G2="DV",9,IF(G2="AL",13,""))</calculatedColumnFormula>
    </tableColumn>
    <tableColumn id="56" xr3:uid="{6672C2E5-C801-4297-9F25-4CA29CD561F8}" name="total_important_possible" dataDxfId="21">
      <calculatedColumnFormula>IF(G2="DV",3,IF(G2="AL",3,""))</calculatedColumnFormula>
    </tableColumn>
    <tableColumn id="57" xr3:uid="{B7D0D01C-896B-4859-B5E4-29E5644856F4}" name="critical_accuracy_rate" dataDxfId="20">
      <calculatedColumnFormula>IF(BC2=0,1,(BC2-L2)/BC2)</calculatedColumnFormula>
    </tableColumn>
    <tableColumn id="58" xr3:uid="{3BAAC5AE-F90C-40A8-9C8C-6BD49CB28F3A}" name="important_accuracy_rate" dataDxfId="19">
      <calculatedColumnFormula>IF(BD2=0,1,(BD2-M2)/BD2)</calculatedColumnFormula>
    </tableColumn>
    <tableColumn id="59" xr3:uid="{BB1E6DF4-8173-4D7C-B428-21C4C3ECE8BB}" name="weighted_accuracy_rate_70_30" dataDxfId="18">
      <calculatedColumnFormula>(BE2*0.7)+(BF2*0.3)</calculatedColumnFormula>
    </tableColumn>
    <tableColumn id="60" xr3:uid="{5C148E10-1DF6-474D-9211-B1FDC453C360}" name="critical_items_missed" dataDxfId="17">
      <calculatedColumnFormula>_xlfn.TEXTJOIN(",",TRUE,N2,P2,R2)</calculatedColumnFormula>
    </tableColumn>
    <tableColumn id="61" xr3:uid="{A50D0E74-4451-45CF-9C0F-519AF0D84339}" name="error_type" dataDxfId="16">
      <calculatedColumnFormula array="1">_xlfn.IFS(
  L2&gt;0,"Critical Fail",
  M2&gt;0,"Important (Coaching)",
  TRUE,"Clean Pass"
)</calculatedColumnFormula>
    </tableColumn>
    <tableColumn id="62" xr3:uid="{9DE734E1-558B-47C9-91D5-6F5403523DE4}" name="missed_items_summary" dataDxfId="15">
      <calculatedColumnFormula>IF(COUNTA(N2:Y2)=0,"NA",_xlfn.TEXTJOIN(",",TRUE,N2:Y2))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5F1D08-700B-4AAA-9948-C2F6BB741842}" name="Table2" displayName="Table2" ref="A1:G21" totalsRowShown="0">
  <autoFilter ref="A1:G21" xr:uid="{825F1D08-700B-4AAA-9948-C2F6BB741842}"/>
  <tableColumns count="7">
    <tableColumn id="1" xr3:uid="{1A2416F8-7318-4CDD-9169-5D459075F7AC}" name="date"/>
    <tableColumn id="2" xr3:uid="{26202E47-DEB4-4CF9-B63F-326EA7CEFE1E}" name="agent_name"/>
    <tableColumn id="3" xr3:uid="{F1171073-6A52-43FA-96DB-23D68CD76314}" name="team"/>
    <tableColumn id="7" xr3:uid="{F84FBB96-CA26-40AD-9B84-45561F7D4D64}" name="Supervisor Update"/>
    <tableColumn id="4" xr3:uid="{8904EE59-CD93-4463-BEE0-4B5E1E0BB7B0}" name="status" dataDxfId="14">
      <calculatedColumnFormula>IF(Table2[[#This Row],[Supervisor Update]]="","Present",Table2[[#This Row],[Supervisor Update]])</calculatedColumnFormula>
    </tableColumn>
    <tableColumn id="5" xr3:uid="{C06A3105-3109-4A27-B314-AE0413996F21}" name="hours_worked"/>
    <tableColumn id="6" xr3:uid="{5F6AF0AA-53A1-4E83-AE5C-1EAFD4AE41DC}" name="notes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E9DC0D-82E7-4978-BF55-4AFC322742E5}" name="Table3" displayName="Table3" ref="A1:J6" totalsRowShown="0" headerRowDxfId="13" dataDxfId="11" headerRowBorderDxfId="12" tableBorderDxfId="10" headerRowCellStyle="Normal 2" dataCellStyle="Normal 2">
  <autoFilter ref="A1:J6" xr:uid="{7BE9DC0D-82E7-4978-BF55-4AFC322742E5}"/>
  <tableColumns count="10">
    <tableColumn id="10" xr3:uid="{1B19B62A-FB96-43B2-B189-66BB2815A892}" name="Date" dataDxfId="9" dataCellStyle="Normal 2"/>
    <tableColumn id="1" xr3:uid="{1326C868-5E16-4637-849D-8A885AFD1D27}" name="agent_name" dataDxfId="8"/>
    <tableColumn id="2" xr3:uid="{68357377-334A-4E68-B74F-103B9D4548A0}" name="Handled (Inbound)" dataDxfId="7" dataCellStyle="Normal 2"/>
    <tableColumn id="3" xr3:uid="{8786218A-A2B1-4358-AEB5-BB35BD8091FE}" name="Avg Talk Time (Inbound)" dataDxfId="6" dataCellStyle="Normal 2"/>
    <tableColumn id="4" xr3:uid="{AFD62BE6-BE6C-48F8-A6E7-A6D368CF3894}" name="Handled (Outbound)" dataDxfId="5" dataCellStyle="Normal 2"/>
    <tableColumn id="5" xr3:uid="{13D147EA-FC7E-457A-B6A0-680D10CCAEA1}" name="Avg Talk Time (Outbound)" dataDxfId="4" dataCellStyle="Normal 2"/>
    <tableColumn id="6" xr3:uid="{140CA2F1-D0AA-45FA-9957-FDAC5B74371C}" name="Available Time" dataDxfId="3" dataCellStyle="Normal 2"/>
    <tableColumn id="7" xr3:uid="{46E834E0-7DF5-48D2-A0EB-0536441FD2C4}" name="Total Unavailable Time" dataDxfId="2" dataCellStyle="Normal 2"/>
    <tableColumn id="8" xr3:uid="{972E233E-D392-49EF-9602-3A8DA27A1114}" name="Refused" dataDxfId="1" dataCellStyle="Normal 2"/>
    <tableColumn id="9" xr3:uid="{1B1060FD-B108-427A-A9F0-B2CDFF0AE840}" name="Login Time" dataDxfId="0" dataCellStyle="Normal 2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AF5A7-4280-4AA8-9418-A3FBFF6689E1}">
  <sheetPr codeName="Sheet1"/>
  <dimension ref="A1:BJ1000"/>
  <sheetViews>
    <sheetView workbookViewId="0">
      <selection activeCell="BJ2" sqref="BJ2"/>
    </sheetView>
  </sheetViews>
  <sheetFormatPr defaultRowHeight="14.4" x14ac:dyDescent="0.3"/>
  <cols>
    <col min="1" max="1" width="9.109375" bestFit="1" customWidth="1"/>
    <col min="2" max="2" width="13.44140625" customWidth="1"/>
    <col min="3" max="3" width="10.6640625" style="8" customWidth="1"/>
    <col min="4" max="4" width="10.88671875" style="9" customWidth="1"/>
    <col min="5" max="5" width="18.6640625" customWidth="1"/>
    <col min="6" max="7" width="10.6640625" customWidth="1"/>
    <col min="8" max="8" width="14.33203125" customWidth="1"/>
    <col min="9" max="9" width="18.33203125" customWidth="1"/>
    <col min="10" max="10" width="16.109375" customWidth="1"/>
    <col min="11" max="11" width="16.5546875" customWidth="1"/>
    <col min="12" max="12" width="21.6640625" style="15" customWidth="1"/>
    <col min="13" max="13" width="24.44140625" style="15" customWidth="1"/>
    <col min="14" max="14" width="10.6640625" customWidth="1"/>
    <col min="15" max="15" width="19.88671875" customWidth="1"/>
    <col min="16" max="16" width="10.6640625" customWidth="1"/>
    <col min="17" max="17" width="19.88671875" customWidth="1"/>
    <col min="18" max="18" width="10.6640625" customWidth="1"/>
    <col min="19" max="19" width="19.88671875" customWidth="1"/>
    <col min="20" max="20" width="13.33203125" customWidth="1"/>
    <col min="21" max="21" width="22.5546875" customWidth="1"/>
    <col min="22" max="22" width="13.33203125" customWidth="1"/>
    <col min="23" max="23" width="22.5546875" customWidth="1"/>
    <col min="24" max="24" width="13.33203125" customWidth="1"/>
    <col min="25" max="25" width="22.5546875" customWidth="1"/>
    <col min="26" max="26" width="20.109375" style="15" customWidth="1"/>
    <col min="27" max="27" width="17.33203125" style="15" customWidth="1"/>
    <col min="28" max="28" width="29.33203125" style="15" customWidth="1"/>
    <col min="29" max="29" width="30.33203125" style="15" customWidth="1"/>
    <col min="30" max="30" width="30" style="15" customWidth="1"/>
    <col min="31" max="31" width="23.44140625" style="15" customWidth="1"/>
    <col min="32" max="32" width="27.6640625" style="15" customWidth="1"/>
    <col min="33" max="33" width="32" style="15" customWidth="1"/>
    <col min="34" max="34" width="27.6640625" style="15" customWidth="1"/>
    <col min="35" max="35" width="25.5546875" style="15" customWidth="1"/>
    <col min="36" max="36" width="18.44140625" style="15" customWidth="1"/>
    <col min="37" max="37" width="22.33203125" style="15" customWidth="1"/>
    <col min="38" max="38" width="26.33203125" style="15" customWidth="1"/>
    <col min="39" max="39" width="42.88671875" style="15" customWidth="1"/>
    <col min="40" max="40" width="34.44140625" style="15" customWidth="1"/>
    <col min="41" max="41" width="33.109375" style="15" customWidth="1"/>
    <col min="42" max="42" width="41.109375" style="15" customWidth="1"/>
    <col min="43" max="43" width="32.33203125" style="15" customWidth="1"/>
    <col min="44" max="44" width="62.88671875" style="15" customWidth="1"/>
    <col min="45" max="45" width="36.5546875" style="15" customWidth="1"/>
    <col min="46" max="46" width="43.6640625" style="15" customWidth="1"/>
    <col min="47" max="47" width="46.6640625" style="15" customWidth="1"/>
    <col min="48" max="48" width="58.109375" style="15" customWidth="1"/>
    <col min="49" max="49" width="41.109375" style="15" customWidth="1"/>
    <col min="50" max="50" width="43.33203125" style="15" customWidth="1"/>
    <col min="51" max="51" width="27.6640625" style="15" customWidth="1"/>
    <col min="52" max="52" width="32.88671875" style="15" customWidth="1"/>
    <col min="53" max="53" width="33.6640625" style="15" customWidth="1"/>
    <col min="54" max="54" width="8.88671875" style="15"/>
    <col min="55" max="55" width="22.109375" style="15" customWidth="1"/>
    <col min="56" max="56" width="24.6640625" style="15" customWidth="1"/>
    <col min="57" max="57" width="21.6640625" style="11" customWidth="1"/>
    <col min="58" max="58" width="24.33203125" style="11" customWidth="1"/>
    <col min="59" max="59" width="29.33203125" style="11" customWidth="1"/>
    <col min="60" max="60" width="22" customWidth="1"/>
    <col min="61" max="61" width="12" customWidth="1"/>
    <col min="62" max="62" width="24" customWidth="1"/>
  </cols>
  <sheetData>
    <row r="1" spans="1:62" ht="15" thickBot="1" x14ac:dyDescent="0.35">
      <c r="A1" s="1" t="s">
        <v>0</v>
      </c>
      <c r="B1" s="2" t="s">
        <v>1</v>
      </c>
      <c r="C1" s="12" t="s">
        <v>2</v>
      </c>
      <c r="D1" s="1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14" t="s">
        <v>11</v>
      </c>
      <c r="M1" s="14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14" t="s">
        <v>25</v>
      </c>
      <c r="AA1" s="14" t="s">
        <v>26</v>
      </c>
      <c r="AB1" s="14" t="s">
        <v>27</v>
      </c>
      <c r="AC1" s="14" t="s">
        <v>28</v>
      </c>
      <c r="AD1" s="14" t="s">
        <v>29</v>
      </c>
      <c r="AE1" s="14" t="s">
        <v>30</v>
      </c>
      <c r="AF1" s="14" t="s">
        <v>31</v>
      </c>
      <c r="AG1" s="14" t="s">
        <v>32</v>
      </c>
      <c r="AH1" s="14" t="s">
        <v>33</v>
      </c>
      <c r="AI1" s="14" t="s">
        <v>34</v>
      </c>
      <c r="AJ1" s="14" t="s">
        <v>35</v>
      </c>
      <c r="AK1" s="14" t="s">
        <v>36</v>
      </c>
      <c r="AL1" s="14" t="s">
        <v>37</v>
      </c>
      <c r="AM1" s="14" t="s">
        <v>38</v>
      </c>
      <c r="AN1" s="14" t="s">
        <v>39</v>
      </c>
      <c r="AO1" s="14" t="s">
        <v>40</v>
      </c>
      <c r="AP1" s="14" t="s">
        <v>41</v>
      </c>
      <c r="AQ1" s="14" t="s">
        <v>42</v>
      </c>
      <c r="AR1" s="14" t="s">
        <v>43</v>
      </c>
      <c r="AS1" s="14" t="s">
        <v>44</v>
      </c>
      <c r="AT1" s="14" t="s">
        <v>45</v>
      </c>
      <c r="AU1" s="14" t="s">
        <v>46</v>
      </c>
      <c r="AV1" s="14" t="s">
        <v>47</v>
      </c>
      <c r="AW1" s="14" t="s">
        <v>48</v>
      </c>
      <c r="AX1" s="14" t="s">
        <v>49</v>
      </c>
      <c r="AY1" s="14" t="s">
        <v>50</v>
      </c>
      <c r="AZ1" s="14" t="s">
        <v>51</v>
      </c>
      <c r="BA1" s="14" t="s">
        <v>52</v>
      </c>
      <c r="BB1" s="16" t="s">
        <v>53</v>
      </c>
      <c r="BC1" s="14" t="s">
        <v>54</v>
      </c>
      <c r="BD1" s="14" t="s">
        <v>55</v>
      </c>
      <c r="BE1" s="4" t="s">
        <v>56</v>
      </c>
      <c r="BF1" s="4" t="s">
        <v>57</v>
      </c>
      <c r="BG1" s="4" t="s">
        <v>58</v>
      </c>
      <c r="BH1" s="3" t="s">
        <v>59</v>
      </c>
      <c r="BI1" s="5" t="s">
        <v>60</v>
      </c>
      <c r="BJ1" s="2" t="s">
        <v>61</v>
      </c>
    </row>
    <row r="2" spans="1:62" x14ac:dyDescent="0.3">
      <c r="A2">
        <v>435723</v>
      </c>
      <c r="B2" t="s">
        <v>62</v>
      </c>
      <c r="C2" s="8">
        <v>46119</v>
      </c>
      <c r="D2" s="9">
        <v>0.40790509259259261</v>
      </c>
      <c r="E2" t="s">
        <v>63</v>
      </c>
      <c r="F2" t="s">
        <v>64</v>
      </c>
      <c r="G2" t="s">
        <v>65</v>
      </c>
      <c r="H2" s="10" t="s">
        <v>66</v>
      </c>
      <c r="I2" t="s">
        <v>67</v>
      </c>
      <c r="J2" t="s">
        <v>68</v>
      </c>
      <c r="K2" t="str">
        <f t="shared" ref="K2:K65" si="0">IF(L2="","",IF(L2&gt;0,"Fail","Pass"))</f>
        <v>Fail</v>
      </c>
      <c r="L2" s="15">
        <f t="shared" ref="L2:L65" si="1">COUNTA(N2,P2,R2)</f>
        <v>1</v>
      </c>
      <c r="M2" s="15">
        <f t="shared" ref="M2:M65" si="2">COUNTA(T2,V2,X2)</f>
        <v>0</v>
      </c>
      <c r="N2" t="s">
        <v>69</v>
      </c>
      <c r="O2" t="s">
        <v>70</v>
      </c>
      <c r="Z2" s="15">
        <f t="shared" ref="Z2:Z65" si="3">IF(AND(G2="DV",ISNUMBER(SEARCH("C1",N2&amp;P2&amp;R2&amp;T2&amp;V2&amp;X2))),0,1)</f>
        <v>1</v>
      </c>
      <c r="AA2" s="15">
        <f t="shared" ref="AA2:AA65" si="4">IF(AND(G2="DV",ISNUMBER(SEARCH("C2",N2&amp;P2&amp;R2&amp;T2&amp;V2&amp;X2))),0,1)</f>
        <v>1</v>
      </c>
      <c r="AB2" s="15">
        <f t="shared" ref="AB2:AB65" si="5">IF(AND(G2="DV",ISNUMBER(SEARCH("C3",N2&amp;P2&amp;R2&amp;T2&amp;V2&amp;X2))),0,1)</f>
        <v>1</v>
      </c>
      <c r="AC2" s="15">
        <f t="shared" ref="AC2:AC65" si="6">IF(AND(G2="DV",ISNUMBER(SEARCH("C4",N2&amp;P2&amp;R2&amp;T2&amp;V2&amp;X2))),0,1)</f>
        <v>1</v>
      </c>
      <c r="AD2" s="15">
        <f t="shared" ref="AD2:AD65" si="7">IF(AND(G2="DV",ISNUMBER(SEARCH("C5",N2&amp;P2&amp;R2&amp;T2&amp;V2&amp;X2))),0,1)</f>
        <v>1</v>
      </c>
      <c r="AE2" s="15">
        <f t="shared" ref="AE2:AE65" si="8">IF(AND(G2="DV",ISNUMBER(SEARCH("C6",N2&amp;P2&amp;R2&amp;T2&amp;V2&amp;X2))),0,1)</f>
        <v>1</v>
      </c>
      <c r="AF2" s="15">
        <f t="shared" ref="AF2:AF65" si="9">IF(AND(G2="DV",ISNUMBER(SEARCH("C7",N2&amp;P2&amp;R2&amp;T2&amp;V2&amp;X2))),0,1)</f>
        <v>1</v>
      </c>
      <c r="AG2" s="15">
        <f t="shared" ref="AG2:AG65" si="10">IF(AND(G2="DV",ISNUMBER(SEARCH("C8",N2&amp;P2&amp;R2&amp;T2&amp;V2&amp;X2))),0,1)</f>
        <v>1</v>
      </c>
      <c r="AH2" s="15">
        <f t="shared" ref="AH2:AH65" si="11">IF(AND(G2="DV",ISNUMBER(SEARCH("C9",N2&amp;P2&amp;R2&amp;T2&amp;V2&amp;X2))),0,1)</f>
        <v>1</v>
      </c>
      <c r="AI2" s="15">
        <f t="shared" ref="AI2:AI65" si="12">IF(AND(G2="DV",ISNUMBER(SEARCH("I1",N2&amp;P2&amp;R2&amp;T2&amp;V2&amp;X2))),0,1)</f>
        <v>1</v>
      </c>
      <c r="AJ2" s="15">
        <f t="shared" ref="AJ2:AJ65" si="13">IF(AND(G2="DV",ISNUMBER(SEARCH("I2",N2&amp;P2&amp;R2&amp;T2&amp;V2&amp;X2))),0,1)</f>
        <v>1</v>
      </c>
      <c r="AK2" s="15">
        <f t="shared" ref="AK2:AK65" si="14">IF(AND(G2="DV",ISNUMBER(SEARCH("I3",N2&amp;P2&amp;R2&amp;T2&amp;V2&amp;X2))),0,1)</f>
        <v>1</v>
      </c>
      <c r="AL2" s="15">
        <f t="shared" ref="AL2:AL65" si="15">IF(AND(G2="AL",ISNUMBER(SEARCH("C1",N2&amp;P2&amp;R2&amp;T2&amp;V2&amp;X2))),0,1)</f>
        <v>0</v>
      </c>
      <c r="AM2" s="15">
        <f t="shared" ref="AM2:AM65" si="16">IF(AND(G2="AL",ISNUMBER(SEARCH("C2",N2&amp;P2&amp;R2&amp;T2&amp;V2&amp;X2))),0,1)</f>
        <v>1</v>
      </c>
      <c r="AN2" s="15">
        <f t="shared" ref="AN2:AN65" si="17">IF(AND(G2="AL",ISNUMBER(SEARCH("C3",N2&amp;P2&amp;R2&amp;T2&amp;V2&amp;X2))),0,1)</f>
        <v>1</v>
      </c>
      <c r="AO2" s="15">
        <f t="shared" ref="AO2:AO65" si="18">IF(AND(G2="AL",ISNUMBER(SEARCH("C4",N2&amp;P2&amp;R2&amp;T2&amp;V2&amp;X2))),0,1)</f>
        <v>1</v>
      </c>
      <c r="AP2" s="15">
        <f t="shared" ref="AP2:AP65" si="19">IF(AND(G2="AL",ISNUMBER(SEARCH("C5",N2&amp;P2&amp;R2&amp;T2&amp;V2&amp;X2))),0,1)</f>
        <v>1</v>
      </c>
      <c r="AQ2" s="15">
        <f t="shared" ref="AQ2:AQ65" si="20">IF(AND(G2="AL",ISNUMBER(SEARCH("C6",N2&amp;P2&amp;R2&amp;T2&amp;V2&amp;X2))),0,1)</f>
        <v>1</v>
      </c>
      <c r="AR2" s="15">
        <f t="shared" ref="AR2:AR65" si="21">IF(AND(G2="AL",ISNUMBER(SEARCH("C7",N2&amp;P2&amp;R2&amp;T2&amp;V2&amp;X2))),0,1)</f>
        <v>1</v>
      </c>
      <c r="AS2" s="15">
        <f t="shared" ref="AS2:AS65" si="22">IF(AND(G2="AL",ISNUMBER(SEARCH("C8",N2&amp;P2&amp;R2&amp;T2&amp;V2&amp;X2))),0,1)</f>
        <v>1</v>
      </c>
      <c r="AT2" s="15">
        <f t="shared" ref="AT2:AT65" si="23">IF(AND(G2="AL",ISNUMBER(SEARCH("C9",N2&amp;P2&amp;R2&amp;T2&amp;V2&amp;X2))),0,1)</f>
        <v>1</v>
      </c>
      <c r="AU2" s="15">
        <f t="shared" ref="AU2:AU65" si="24">IF(AND(G2="AL",ISNUMBER(SEARCH("C10",N2&amp;P2&amp;R2&amp;T2&amp;V2&amp;X2))),0,1)</f>
        <v>1</v>
      </c>
      <c r="AV2" s="15">
        <f t="shared" ref="AV2:AV65" si="25">IF(AND(G2="AL",ISNUMBER(SEARCH("C11",N2&amp;P2&amp;R2&amp;T2&amp;V2&amp;X2))),0,1)</f>
        <v>1</v>
      </c>
      <c r="AW2" s="15">
        <f t="shared" ref="AW2:AW65" si="26">IF(AND(G2="AL",ISNUMBER(SEARCH("C12",N2&amp;P2&amp;R2&amp;T2&amp;V2&amp;X2))),0,1)</f>
        <v>1</v>
      </c>
      <c r="AX2" s="15">
        <f>IF(AND(G2="AL",ISNUMBER(SEARCH("C13",N2&amp;P2&amp;R2&amp;T2&amp;V2&amp;X2))),0,1)</f>
        <v>0</v>
      </c>
      <c r="AY2" s="15">
        <f t="shared" ref="AY2:AY65" si="27">IF(AND(G2="AL",ISNUMBER(SEARCH("I1",N2&amp;P2&amp;R2&amp;T2&amp;V2&amp;X2))),0,1)</f>
        <v>1</v>
      </c>
      <c r="AZ2" s="15">
        <f t="shared" ref="AZ2:AZ65" si="28">IF(AND(G2="AL",ISNUMBER(SEARCH("I2",N2&amp;P2&amp;R2&amp;T2&amp;V2&amp;X2))),0,1)</f>
        <v>1</v>
      </c>
      <c r="BA2" s="15">
        <f t="shared" ref="BA2:BA65" si="29">IF(AND(G2="AL",ISNUMBER(SEARCH("I3",N2&amp;P2&amp;R2&amp;T2&amp;V2&amp;X2))),0,1)</f>
        <v>1</v>
      </c>
      <c r="BB2" s="17">
        <f t="shared" ref="BB2:BB65" si="30">IF(L2&gt;0,1,0)</f>
        <v>1</v>
      </c>
      <c r="BC2" s="15">
        <f t="shared" ref="BC2:BC65" si="31">IF(G2="DV",9,IF(G2="AL",13,""))</f>
        <v>13</v>
      </c>
      <c r="BD2" s="15">
        <f t="shared" ref="BD2:BD65" si="32">IF(G2="DV",3,IF(G2="AL",3,""))</f>
        <v>3</v>
      </c>
      <c r="BE2" s="11">
        <f t="shared" ref="BE2:BE65" si="33">IF(BC2=0,1,(BC2-L2)/BC2)</f>
        <v>0.92307692307692313</v>
      </c>
      <c r="BF2" s="11">
        <f t="shared" ref="BF2:BF65" si="34">IF(BD2=0,1,(BD2-M2)/BD2)</f>
        <v>1</v>
      </c>
      <c r="BG2" s="11">
        <f t="shared" ref="BG2:BG65" si="35">(BE2*0.7)+(BF2*0.3)</f>
        <v>0.94615384615384612</v>
      </c>
      <c r="BH2" t="str">
        <f t="shared" ref="BH2:BH65" si="36">_xlfn.TEXTJOIN(",",TRUE,N2,P2,R2)</f>
        <v>C13. Customer Service Skills Demonstrated</v>
      </c>
      <c r="BI2" t="str" cm="1">
        <f t="array" ref="BI2">_xlfn.IFS(
  L2&gt;0,"Critical Fail",
  M2&gt;0,"Important (Coaching)",
  TRUE,"Clean Pass"
)</f>
        <v>Critical Fail</v>
      </c>
      <c r="BJ2" t="str">
        <f t="shared" ref="BJ2:BJ65" si="37">IF(COUNTA(N2:Y2)=0,"NA",_xlfn.TEXTJOIN(",",TRUE,N2:Y2))</f>
        <v>C13. Customer Service Skills Demonstrated,C13. Agent yelled at applicant.</v>
      </c>
    </row>
    <row r="3" spans="1:62" x14ac:dyDescent="0.3">
      <c r="A3">
        <v>459549</v>
      </c>
      <c r="B3" t="s">
        <v>71</v>
      </c>
      <c r="C3" s="8">
        <v>46119</v>
      </c>
      <c r="D3" s="9">
        <v>0.5640856481481481</v>
      </c>
      <c r="E3" t="s">
        <v>72</v>
      </c>
      <c r="F3" t="s">
        <v>64</v>
      </c>
      <c r="G3" t="s">
        <v>73</v>
      </c>
      <c r="I3" t="s">
        <v>74</v>
      </c>
      <c r="J3" t="s">
        <v>75</v>
      </c>
      <c r="K3" t="str">
        <f t="shared" si="0"/>
        <v>Pass</v>
      </c>
      <c r="L3" s="15">
        <f t="shared" si="1"/>
        <v>0</v>
      </c>
      <c r="M3" s="15">
        <f t="shared" si="2"/>
        <v>0</v>
      </c>
      <c r="Z3" s="15">
        <f t="shared" si="3"/>
        <v>1</v>
      </c>
      <c r="AA3" s="15">
        <f t="shared" si="4"/>
        <v>1</v>
      </c>
      <c r="AB3" s="15">
        <f t="shared" si="5"/>
        <v>1</v>
      </c>
      <c r="AC3" s="15">
        <f t="shared" si="6"/>
        <v>1</v>
      </c>
      <c r="AD3" s="15">
        <f t="shared" si="7"/>
        <v>1</v>
      </c>
      <c r="AE3" s="15">
        <f t="shared" si="8"/>
        <v>1</v>
      </c>
      <c r="AF3" s="15">
        <f t="shared" si="9"/>
        <v>1</v>
      </c>
      <c r="AG3" s="15">
        <f t="shared" si="10"/>
        <v>1</v>
      </c>
      <c r="AH3" s="15">
        <f t="shared" si="11"/>
        <v>1</v>
      </c>
      <c r="AI3" s="15">
        <f t="shared" si="12"/>
        <v>1</v>
      </c>
      <c r="AJ3" s="15">
        <f t="shared" si="13"/>
        <v>1</v>
      </c>
      <c r="AK3" s="15">
        <f t="shared" si="14"/>
        <v>1</v>
      </c>
      <c r="AL3" s="15">
        <f t="shared" si="15"/>
        <v>1</v>
      </c>
      <c r="AM3" s="15">
        <f t="shared" si="16"/>
        <v>1</v>
      </c>
      <c r="AN3" s="15">
        <f t="shared" si="17"/>
        <v>1</v>
      </c>
      <c r="AO3" s="15">
        <f t="shared" si="18"/>
        <v>1</v>
      </c>
      <c r="AP3" s="15">
        <f t="shared" si="19"/>
        <v>1</v>
      </c>
      <c r="AQ3" s="15">
        <f t="shared" si="20"/>
        <v>1</v>
      </c>
      <c r="AR3" s="15">
        <f t="shared" si="21"/>
        <v>1</v>
      </c>
      <c r="AS3" s="15">
        <f t="shared" si="22"/>
        <v>1</v>
      </c>
      <c r="AT3" s="15">
        <f t="shared" si="23"/>
        <v>1</v>
      </c>
      <c r="AU3" s="15">
        <f t="shared" si="24"/>
        <v>1</v>
      </c>
      <c r="AV3" s="15">
        <f t="shared" si="25"/>
        <v>1</v>
      </c>
      <c r="AW3" s="15">
        <f t="shared" si="26"/>
        <v>1</v>
      </c>
      <c r="AX3" s="15">
        <f t="shared" ref="AX3:AX65" si="38">IF(AND(G3="AL",ISNUMBER(SEARCH("C13",N3&amp;P3&amp;R3&amp;T3&amp;V3&amp;X3))),0,1)</f>
        <v>1</v>
      </c>
      <c r="AY3" s="15">
        <f t="shared" si="27"/>
        <v>1</v>
      </c>
      <c r="AZ3" s="15">
        <f t="shared" si="28"/>
        <v>1</v>
      </c>
      <c r="BA3" s="15">
        <f t="shared" si="29"/>
        <v>1</v>
      </c>
      <c r="BB3" s="15">
        <f t="shared" si="30"/>
        <v>0</v>
      </c>
      <c r="BC3" s="15">
        <f t="shared" si="31"/>
        <v>9</v>
      </c>
      <c r="BD3" s="15">
        <f t="shared" si="32"/>
        <v>3</v>
      </c>
      <c r="BE3" s="11">
        <f t="shared" si="33"/>
        <v>1</v>
      </c>
      <c r="BF3" s="11">
        <f t="shared" si="34"/>
        <v>1</v>
      </c>
      <c r="BG3" s="11">
        <f t="shared" si="35"/>
        <v>1</v>
      </c>
      <c r="BH3" t="str">
        <f t="shared" si="36"/>
        <v/>
      </c>
      <c r="BI3" t="str" cm="1">
        <f t="array" ref="BI3">_xlfn.IFS(
  L3&gt;0,"Critical Fail",
  M3&gt;0,"Important (Coaching)",
  TRUE,"Clean Pass"
)</f>
        <v>Clean Pass</v>
      </c>
      <c r="BJ3" t="str">
        <f t="shared" si="37"/>
        <v>NA</v>
      </c>
    </row>
    <row r="4" spans="1:62" x14ac:dyDescent="0.3">
      <c r="A4">
        <v>843527</v>
      </c>
      <c r="B4" t="s">
        <v>76</v>
      </c>
      <c r="C4" s="8">
        <v>46119</v>
      </c>
      <c r="D4" s="9">
        <v>0.60464120370370367</v>
      </c>
      <c r="E4" t="s">
        <v>63</v>
      </c>
      <c r="F4" t="s">
        <v>64</v>
      </c>
      <c r="G4" t="s">
        <v>73</v>
      </c>
      <c r="I4" t="s">
        <v>77</v>
      </c>
      <c r="J4" t="s">
        <v>75</v>
      </c>
      <c r="K4" t="str">
        <f t="shared" si="0"/>
        <v>Fail</v>
      </c>
      <c r="L4" s="15">
        <f t="shared" si="1"/>
        <v>1</v>
      </c>
      <c r="M4" s="15">
        <f t="shared" si="2"/>
        <v>0</v>
      </c>
      <c r="N4" t="s">
        <v>78</v>
      </c>
      <c r="O4" t="s">
        <v>79</v>
      </c>
      <c r="Z4" s="15">
        <f t="shared" si="3"/>
        <v>1</v>
      </c>
      <c r="AA4" s="15">
        <f t="shared" si="4"/>
        <v>1</v>
      </c>
      <c r="AB4" s="15">
        <f t="shared" si="5"/>
        <v>1</v>
      </c>
      <c r="AC4" s="15">
        <f t="shared" si="6"/>
        <v>1</v>
      </c>
      <c r="AD4" s="15">
        <f t="shared" si="7"/>
        <v>0</v>
      </c>
      <c r="AE4" s="15">
        <f t="shared" si="8"/>
        <v>1</v>
      </c>
      <c r="AF4" s="15">
        <f t="shared" si="9"/>
        <v>1</v>
      </c>
      <c r="AG4" s="15">
        <f t="shared" si="10"/>
        <v>1</v>
      </c>
      <c r="AH4" s="15">
        <f t="shared" si="11"/>
        <v>1</v>
      </c>
      <c r="AI4" s="15">
        <f t="shared" si="12"/>
        <v>1</v>
      </c>
      <c r="AJ4" s="15">
        <f t="shared" si="13"/>
        <v>1</v>
      </c>
      <c r="AK4" s="15">
        <f t="shared" si="14"/>
        <v>1</v>
      </c>
      <c r="AL4" s="15">
        <f t="shared" si="15"/>
        <v>1</v>
      </c>
      <c r="AM4" s="15">
        <f t="shared" si="16"/>
        <v>1</v>
      </c>
      <c r="AN4" s="15">
        <f t="shared" si="17"/>
        <v>1</v>
      </c>
      <c r="AO4" s="15">
        <f t="shared" si="18"/>
        <v>1</v>
      </c>
      <c r="AP4" s="15">
        <f t="shared" si="19"/>
        <v>1</v>
      </c>
      <c r="AQ4" s="15">
        <f t="shared" si="20"/>
        <v>1</v>
      </c>
      <c r="AR4" s="15">
        <f t="shared" si="21"/>
        <v>1</v>
      </c>
      <c r="AS4" s="15">
        <f t="shared" si="22"/>
        <v>1</v>
      </c>
      <c r="AT4" s="15">
        <f t="shared" si="23"/>
        <v>1</v>
      </c>
      <c r="AU4" s="15">
        <f t="shared" si="24"/>
        <v>1</v>
      </c>
      <c r="AV4" s="15">
        <f t="shared" si="25"/>
        <v>1</v>
      </c>
      <c r="AW4" s="15">
        <f t="shared" si="26"/>
        <v>1</v>
      </c>
      <c r="AX4" s="15">
        <f t="shared" si="38"/>
        <v>1</v>
      </c>
      <c r="AY4" s="15">
        <f t="shared" si="27"/>
        <v>1</v>
      </c>
      <c r="AZ4" s="15">
        <f t="shared" si="28"/>
        <v>1</v>
      </c>
      <c r="BA4" s="15">
        <f t="shared" si="29"/>
        <v>1</v>
      </c>
      <c r="BB4" s="15">
        <f t="shared" si="30"/>
        <v>1</v>
      </c>
      <c r="BC4" s="15">
        <f t="shared" si="31"/>
        <v>9</v>
      </c>
      <c r="BD4" s="15">
        <f t="shared" si="32"/>
        <v>3</v>
      </c>
      <c r="BE4" s="11">
        <f t="shared" si="33"/>
        <v>0.88888888888888884</v>
      </c>
      <c r="BF4" s="11">
        <f t="shared" si="34"/>
        <v>1</v>
      </c>
      <c r="BG4" s="11">
        <f t="shared" si="35"/>
        <v>0.92222222222222205</v>
      </c>
      <c r="BH4" t="str">
        <f t="shared" si="36"/>
        <v>C5. Death Certificate</v>
      </c>
      <c r="BI4" t="str" cm="1">
        <f t="array" ref="BI4">_xlfn.IFS(
  L4&gt;0,"Critical Fail",
  M4&gt;0,"Important (Coaching)",
  TRUE,"Clean Pass"
)</f>
        <v>Critical Fail</v>
      </c>
      <c r="BJ4" t="str">
        <f t="shared" si="37"/>
        <v>C5. Death Certificate,C5. DC not set to verified</v>
      </c>
    </row>
    <row r="5" spans="1:62" x14ac:dyDescent="0.3">
      <c r="A5">
        <v>817646</v>
      </c>
      <c r="B5" t="s">
        <v>80</v>
      </c>
      <c r="C5" s="8">
        <v>46119</v>
      </c>
      <c r="D5" s="9">
        <v>0.36947916666666669</v>
      </c>
      <c r="E5" t="s">
        <v>72</v>
      </c>
      <c r="F5" t="s">
        <v>64</v>
      </c>
      <c r="G5" t="s">
        <v>65</v>
      </c>
      <c r="H5" s="10" t="s">
        <v>81</v>
      </c>
      <c r="I5" t="s">
        <v>82</v>
      </c>
      <c r="J5" t="s">
        <v>83</v>
      </c>
      <c r="K5" t="str">
        <f t="shared" si="0"/>
        <v>Pass</v>
      </c>
      <c r="L5" s="15">
        <f t="shared" si="1"/>
        <v>0</v>
      </c>
      <c r="M5" s="15">
        <f t="shared" si="2"/>
        <v>0</v>
      </c>
      <c r="Z5" s="15">
        <f t="shared" si="3"/>
        <v>1</v>
      </c>
      <c r="AA5" s="15">
        <f t="shared" si="4"/>
        <v>1</v>
      </c>
      <c r="AB5" s="15">
        <f t="shared" si="5"/>
        <v>1</v>
      </c>
      <c r="AC5" s="15">
        <f t="shared" si="6"/>
        <v>1</v>
      </c>
      <c r="AD5" s="15">
        <f t="shared" si="7"/>
        <v>1</v>
      </c>
      <c r="AE5" s="15">
        <f t="shared" si="8"/>
        <v>1</v>
      </c>
      <c r="AF5" s="15">
        <f t="shared" si="9"/>
        <v>1</v>
      </c>
      <c r="AG5" s="15">
        <f t="shared" si="10"/>
        <v>1</v>
      </c>
      <c r="AH5" s="15">
        <f t="shared" si="11"/>
        <v>1</v>
      </c>
      <c r="AI5" s="15">
        <f t="shared" si="12"/>
        <v>1</v>
      </c>
      <c r="AJ5" s="15">
        <f t="shared" si="13"/>
        <v>1</v>
      </c>
      <c r="AK5" s="15">
        <f t="shared" si="14"/>
        <v>1</v>
      </c>
      <c r="AL5" s="15">
        <f t="shared" si="15"/>
        <v>1</v>
      </c>
      <c r="AM5" s="15">
        <f t="shared" si="16"/>
        <v>1</v>
      </c>
      <c r="AN5" s="15">
        <f t="shared" si="17"/>
        <v>1</v>
      </c>
      <c r="AO5" s="15">
        <f t="shared" si="18"/>
        <v>1</v>
      </c>
      <c r="AP5" s="15">
        <f t="shared" si="19"/>
        <v>1</v>
      </c>
      <c r="AQ5" s="15">
        <f t="shared" si="20"/>
        <v>1</v>
      </c>
      <c r="AR5" s="15">
        <f t="shared" si="21"/>
        <v>1</v>
      </c>
      <c r="AS5" s="15">
        <f t="shared" si="22"/>
        <v>1</v>
      </c>
      <c r="AT5" s="15">
        <f t="shared" si="23"/>
        <v>1</v>
      </c>
      <c r="AU5" s="15">
        <f t="shared" si="24"/>
        <v>1</v>
      </c>
      <c r="AV5" s="15">
        <f t="shared" si="25"/>
        <v>1</v>
      </c>
      <c r="AW5" s="15">
        <f t="shared" si="26"/>
        <v>1</v>
      </c>
      <c r="AX5" s="15">
        <f t="shared" si="38"/>
        <v>1</v>
      </c>
      <c r="AY5" s="15">
        <f t="shared" si="27"/>
        <v>1</v>
      </c>
      <c r="AZ5" s="15">
        <f t="shared" si="28"/>
        <v>1</v>
      </c>
      <c r="BA5" s="15">
        <f t="shared" si="29"/>
        <v>1</v>
      </c>
      <c r="BB5" s="15">
        <f t="shared" si="30"/>
        <v>0</v>
      </c>
      <c r="BC5" s="15">
        <f t="shared" si="31"/>
        <v>13</v>
      </c>
      <c r="BD5" s="15">
        <f t="shared" si="32"/>
        <v>3</v>
      </c>
      <c r="BE5" s="11">
        <f t="shared" si="33"/>
        <v>1</v>
      </c>
      <c r="BF5" s="11">
        <f t="shared" si="34"/>
        <v>1</v>
      </c>
      <c r="BG5" s="11">
        <f t="shared" si="35"/>
        <v>1</v>
      </c>
      <c r="BH5" t="str">
        <f t="shared" si="36"/>
        <v/>
      </c>
      <c r="BI5" t="str" cm="1">
        <f t="array" ref="BI5">_xlfn.IFS(
  L5&gt;0,"Critical Fail",
  M5&gt;0,"Important (Coaching)",
  TRUE,"Clean Pass"
)</f>
        <v>Clean Pass</v>
      </c>
      <c r="BJ5" t="str">
        <f t="shared" si="37"/>
        <v>NA</v>
      </c>
    </row>
    <row r="6" spans="1:62" x14ac:dyDescent="0.3">
      <c r="A6">
        <v>995351</v>
      </c>
      <c r="B6" s="18" t="s">
        <v>84</v>
      </c>
      <c r="C6" s="19">
        <v>46112</v>
      </c>
      <c r="D6" s="20">
        <v>0.63402777777777775</v>
      </c>
      <c r="E6" s="18" t="s">
        <v>85</v>
      </c>
      <c r="F6" s="18" t="s">
        <v>64</v>
      </c>
      <c r="G6" s="18" t="s">
        <v>65</v>
      </c>
      <c r="H6" s="21" t="s">
        <v>86</v>
      </c>
      <c r="I6" s="18" t="s">
        <v>87</v>
      </c>
      <c r="J6" s="18" t="s">
        <v>68</v>
      </c>
      <c r="K6" t="str">
        <f t="shared" si="0"/>
        <v>Pass</v>
      </c>
      <c r="L6" s="15">
        <f t="shared" si="1"/>
        <v>0</v>
      </c>
      <c r="M6" s="15">
        <f t="shared" si="2"/>
        <v>1</v>
      </c>
      <c r="N6" s="18"/>
      <c r="O6" s="18"/>
      <c r="P6" s="18"/>
      <c r="Q6" s="18"/>
      <c r="R6" s="18"/>
      <c r="S6" s="18"/>
      <c r="T6" s="18" t="s">
        <v>88</v>
      </c>
      <c r="U6" s="18" t="s">
        <v>89</v>
      </c>
      <c r="Z6" s="15">
        <f t="shared" si="3"/>
        <v>1</v>
      </c>
      <c r="AA6" s="15">
        <f t="shared" si="4"/>
        <v>1</v>
      </c>
      <c r="AB6" s="15">
        <f t="shared" si="5"/>
        <v>1</v>
      </c>
      <c r="AC6" s="15">
        <f t="shared" si="6"/>
        <v>1</v>
      </c>
      <c r="AD6" s="15">
        <f t="shared" si="7"/>
        <v>1</v>
      </c>
      <c r="AE6" s="15">
        <f t="shared" si="8"/>
        <v>1</v>
      </c>
      <c r="AF6" s="15">
        <f t="shared" si="9"/>
        <v>1</v>
      </c>
      <c r="AG6" s="15">
        <f t="shared" si="10"/>
        <v>1</v>
      </c>
      <c r="AH6" s="15">
        <f t="shared" si="11"/>
        <v>1</v>
      </c>
      <c r="AI6" s="15">
        <f t="shared" si="12"/>
        <v>1</v>
      </c>
      <c r="AJ6" s="15">
        <f t="shared" si="13"/>
        <v>1</v>
      </c>
      <c r="AK6" s="15">
        <f t="shared" si="14"/>
        <v>1</v>
      </c>
      <c r="AL6" s="15">
        <f t="shared" si="15"/>
        <v>1</v>
      </c>
      <c r="AM6" s="15">
        <f t="shared" si="16"/>
        <v>1</v>
      </c>
      <c r="AN6" s="15">
        <f t="shared" si="17"/>
        <v>1</v>
      </c>
      <c r="AO6" s="15">
        <f t="shared" si="18"/>
        <v>1</v>
      </c>
      <c r="AP6" s="15">
        <f t="shared" si="19"/>
        <v>1</v>
      </c>
      <c r="AQ6" s="15">
        <f t="shared" si="20"/>
        <v>1</v>
      </c>
      <c r="AR6" s="15">
        <f t="shared" si="21"/>
        <v>1</v>
      </c>
      <c r="AS6" s="15">
        <f t="shared" si="22"/>
        <v>1</v>
      </c>
      <c r="AT6" s="15">
        <f t="shared" si="23"/>
        <v>1</v>
      </c>
      <c r="AU6" s="15">
        <f t="shared" si="24"/>
        <v>1</v>
      </c>
      <c r="AV6" s="15">
        <f t="shared" si="25"/>
        <v>1</v>
      </c>
      <c r="AW6" s="15">
        <f t="shared" si="26"/>
        <v>1</v>
      </c>
      <c r="AX6" s="15">
        <f t="shared" si="38"/>
        <v>1</v>
      </c>
      <c r="AY6" s="15">
        <f t="shared" si="27"/>
        <v>0</v>
      </c>
      <c r="AZ6" s="15">
        <f t="shared" si="28"/>
        <v>1</v>
      </c>
      <c r="BA6" s="15">
        <f t="shared" si="29"/>
        <v>1</v>
      </c>
      <c r="BB6" s="15">
        <f t="shared" si="30"/>
        <v>0</v>
      </c>
      <c r="BC6" s="15">
        <f t="shared" si="31"/>
        <v>13</v>
      </c>
      <c r="BD6" s="15">
        <f t="shared" si="32"/>
        <v>3</v>
      </c>
      <c r="BE6" s="11">
        <f t="shared" si="33"/>
        <v>1</v>
      </c>
      <c r="BF6" s="11">
        <f t="shared" si="34"/>
        <v>0.66666666666666663</v>
      </c>
      <c r="BG6" s="11">
        <f t="shared" si="35"/>
        <v>0.89999999999999991</v>
      </c>
      <c r="BH6" t="str">
        <f t="shared" si="36"/>
        <v/>
      </c>
      <c r="BI6" t="str" cm="1">
        <f t="array" ref="BI6">_xlfn.IFS(
  L6&gt;0,"Critical Fail",
  M6&gt;0,"Important (Coaching)",
  TRUE,"Clean Pass"
)</f>
        <v>Important (Coaching)</v>
      </c>
      <c r="BJ6" t="str">
        <f t="shared" si="37"/>
        <v>I1. Scripted text not followed,I1. Agent did not state full closing script</v>
      </c>
    </row>
    <row r="7" spans="1:62" x14ac:dyDescent="0.3">
      <c r="A7">
        <v>205666</v>
      </c>
      <c r="K7" t="str">
        <f>IF(L7="","",IF(L7&gt;0,"Fail","Pass"))</f>
        <v>Pass</v>
      </c>
      <c r="L7" s="15">
        <f t="shared" si="1"/>
        <v>0</v>
      </c>
      <c r="M7" s="15">
        <f t="shared" si="2"/>
        <v>0</v>
      </c>
      <c r="Z7" s="15">
        <f t="shared" si="3"/>
        <v>1</v>
      </c>
      <c r="AA7" s="15">
        <f t="shared" si="4"/>
        <v>1</v>
      </c>
      <c r="AB7" s="15">
        <f t="shared" si="5"/>
        <v>1</v>
      </c>
      <c r="AC7" s="15">
        <f t="shared" si="6"/>
        <v>1</v>
      </c>
      <c r="AD7" s="15">
        <f t="shared" si="7"/>
        <v>1</v>
      </c>
      <c r="AE7" s="15">
        <f t="shared" si="8"/>
        <v>1</v>
      </c>
      <c r="AF7" s="15">
        <f t="shared" si="9"/>
        <v>1</v>
      </c>
      <c r="AG7" s="15">
        <f t="shared" si="10"/>
        <v>1</v>
      </c>
      <c r="AH7" s="15">
        <f t="shared" si="11"/>
        <v>1</v>
      </c>
      <c r="AI7" s="15">
        <f t="shared" si="12"/>
        <v>1</v>
      </c>
      <c r="AJ7" s="15">
        <f t="shared" si="13"/>
        <v>1</v>
      </c>
      <c r="AK7" s="15">
        <f t="shared" si="14"/>
        <v>1</v>
      </c>
      <c r="AL7" s="15">
        <f t="shared" si="15"/>
        <v>1</v>
      </c>
      <c r="AM7" s="15">
        <f t="shared" si="16"/>
        <v>1</v>
      </c>
      <c r="AN7" s="15">
        <f t="shared" si="17"/>
        <v>1</v>
      </c>
      <c r="AO7" s="15">
        <f t="shared" si="18"/>
        <v>1</v>
      </c>
      <c r="AP7" s="15">
        <f t="shared" si="19"/>
        <v>1</v>
      </c>
      <c r="AQ7" s="15">
        <f t="shared" si="20"/>
        <v>1</v>
      </c>
      <c r="AR7" s="15">
        <f t="shared" si="21"/>
        <v>1</v>
      </c>
      <c r="AS7" s="15">
        <f t="shared" si="22"/>
        <v>1</v>
      </c>
      <c r="AT7" s="15">
        <f t="shared" si="23"/>
        <v>1</v>
      </c>
      <c r="AU7" s="15">
        <f t="shared" si="24"/>
        <v>1</v>
      </c>
      <c r="AV7" s="15">
        <f t="shared" si="25"/>
        <v>1</v>
      </c>
      <c r="AW7" s="15">
        <f t="shared" si="26"/>
        <v>1</v>
      </c>
      <c r="AX7" s="15">
        <f t="shared" si="38"/>
        <v>1</v>
      </c>
      <c r="AY7" s="15">
        <f t="shared" si="27"/>
        <v>1</v>
      </c>
      <c r="AZ7" s="15">
        <f t="shared" si="28"/>
        <v>1</v>
      </c>
      <c r="BA7" s="15">
        <f t="shared" si="29"/>
        <v>1</v>
      </c>
      <c r="BB7" s="15">
        <f t="shared" si="30"/>
        <v>0</v>
      </c>
      <c r="BC7" s="15" t="str">
        <f t="shared" si="31"/>
        <v/>
      </c>
      <c r="BD7" s="15" t="str">
        <f t="shared" si="32"/>
        <v/>
      </c>
      <c r="BE7" s="11" t="e">
        <f t="shared" si="33"/>
        <v>#VALUE!</v>
      </c>
      <c r="BF7" s="11" t="e">
        <f t="shared" si="34"/>
        <v>#VALUE!</v>
      </c>
      <c r="BG7" s="11" t="e">
        <f t="shared" si="35"/>
        <v>#VALUE!</v>
      </c>
      <c r="BH7" t="str">
        <f t="shared" si="36"/>
        <v/>
      </c>
      <c r="BI7" t="str" cm="1">
        <f t="array" ref="BI7">_xlfn.IFS(
  L7&gt;0,"Critical Fail",
  M7&gt;0,"Important (Coaching)",
  TRUE,"Clean Pass"
)</f>
        <v>Clean Pass</v>
      </c>
      <c r="BJ7" t="str">
        <f t="shared" si="37"/>
        <v>NA</v>
      </c>
    </row>
    <row r="8" spans="1:62" x14ac:dyDescent="0.3">
      <c r="A8">
        <v>549632</v>
      </c>
      <c r="K8" t="str">
        <f t="shared" si="0"/>
        <v>Pass</v>
      </c>
      <c r="L8" s="15">
        <f t="shared" si="1"/>
        <v>0</v>
      </c>
      <c r="M8" s="15">
        <f t="shared" si="2"/>
        <v>0</v>
      </c>
      <c r="Z8" s="15">
        <f t="shared" si="3"/>
        <v>1</v>
      </c>
      <c r="AA8" s="15">
        <f t="shared" si="4"/>
        <v>1</v>
      </c>
      <c r="AB8" s="15">
        <f t="shared" si="5"/>
        <v>1</v>
      </c>
      <c r="AC8" s="15">
        <f t="shared" si="6"/>
        <v>1</v>
      </c>
      <c r="AD8" s="15">
        <f t="shared" si="7"/>
        <v>1</v>
      </c>
      <c r="AE8" s="15">
        <f t="shared" si="8"/>
        <v>1</v>
      </c>
      <c r="AF8" s="15">
        <f t="shared" si="9"/>
        <v>1</v>
      </c>
      <c r="AG8" s="15">
        <f t="shared" si="10"/>
        <v>1</v>
      </c>
      <c r="AH8" s="15">
        <f t="shared" si="11"/>
        <v>1</v>
      </c>
      <c r="AI8" s="15">
        <f t="shared" si="12"/>
        <v>1</v>
      </c>
      <c r="AJ8" s="15">
        <f t="shared" si="13"/>
        <v>1</v>
      </c>
      <c r="AK8" s="15">
        <f t="shared" si="14"/>
        <v>1</v>
      </c>
      <c r="AL8" s="15">
        <f t="shared" si="15"/>
        <v>1</v>
      </c>
      <c r="AM8" s="15">
        <f t="shared" si="16"/>
        <v>1</v>
      </c>
      <c r="AN8" s="15">
        <f t="shared" si="17"/>
        <v>1</v>
      </c>
      <c r="AO8" s="15">
        <f t="shared" si="18"/>
        <v>1</v>
      </c>
      <c r="AP8" s="15">
        <f t="shared" si="19"/>
        <v>1</v>
      </c>
      <c r="AQ8" s="15">
        <f t="shared" si="20"/>
        <v>1</v>
      </c>
      <c r="AR8" s="15">
        <f t="shared" si="21"/>
        <v>1</v>
      </c>
      <c r="AS8" s="15">
        <f t="shared" si="22"/>
        <v>1</v>
      </c>
      <c r="AT8" s="15">
        <f t="shared" si="23"/>
        <v>1</v>
      </c>
      <c r="AU8" s="15">
        <f t="shared" si="24"/>
        <v>1</v>
      </c>
      <c r="AV8" s="15">
        <f t="shared" si="25"/>
        <v>1</v>
      </c>
      <c r="AW8" s="15">
        <f t="shared" si="26"/>
        <v>1</v>
      </c>
      <c r="AX8" s="15">
        <f t="shared" si="38"/>
        <v>1</v>
      </c>
      <c r="AY8" s="15">
        <f t="shared" si="27"/>
        <v>1</v>
      </c>
      <c r="AZ8" s="15">
        <f t="shared" si="28"/>
        <v>1</v>
      </c>
      <c r="BA8" s="15">
        <f t="shared" si="29"/>
        <v>1</v>
      </c>
      <c r="BB8" s="15">
        <f t="shared" si="30"/>
        <v>0</v>
      </c>
      <c r="BC8" s="15" t="str">
        <f t="shared" si="31"/>
        <v/>
      </c>
      <c r="BD8" s="15" t="str">
        <f t="shared" si="32"/>
        <v/>
      </c>
      <c r="BE8" s="11" t="e">
        <f t="shared" si="33"/>
        <v>#VALUE!</v>
      </c>
      <c r="BF8" s="11" t="e">
        <f t="shared" si="34"/>
        <v>#VALUE!</v>
      </c>
      <c r="BG8" s="11" t="e">
        <f t="shared" si="35"/>
        <v>#VALUE!</v>
      </c>
      <c r="BH8" t="str">
        <f t="shared" si="36"/>
        <v/>
      </c>
      <c r="BI8" t="str" cm="1">
        <f t="array" ref="BI8">_xlfn.IFS(
  L8&gt;0,"Critical Fail",
  M8&gt;0,"Important (Coaching)",
  TRUE,"Clean Pass"
)</f>
        <v>Clean Pass</v>
      </c>
      <c r="BJ8" t="str">
        <f t="shared" si="37"/>
        <v>NA</v>
      </c>
    </row>
    <row r="9" spans="1:62" x14ac:dyDescent="0.3">
      <c r="A9">
        <v>455899</v>
      </c>
      <c r="K9" t="str">
        <f t="shared" si="0"/>
        <v>Pass</v>
      </c>
      <c r="L9" s="15">
        <f t="shared" si="1"/>
        <v>0</v>
      </c>
      <c r="M9" s="15">
        <f t="shared" si="2"/>
        <v>0</v>
      </c>
      <c r="Z9" s="15">
        <f t="shared" si="3"/>
        <v>1</v>
      </c>
      <c r="AA9" s="15">
        <f t="shared" si="4"/>
        <v>1</v>
      </c>
      <c r="AB9" s="15">
        <f t="shared" si="5"/>
        <v>1</v>
      </c>
      <c r="AC9" s="15">
        <f t="shared" si="6"/>
        <v>1</v>
      </c>
      <c r="AD9" s="15">
        <f t="shared" si="7"/>
        <v>1</v>
      </c>
      <c r="AE9" s="15">
        <f t="shared" si="8"/>
        <v>1</v>
      </c>
      <c r="AF9" s="15">
        <f t="shared" si="9"/>
        <v>1</v>
      </c>
      <c r="AG9" s="15">
        <f t="shared" si="10"/>
        <v>1</v>
      </c>
      <c r="AH9" s="15">
        <f t="shared" si="11"/>
        <v>1</v>
      </c>
      <c r="AI9" s="15">
        <f t="shared" si="12"/>
        <v>1</v>
      </c>
      <c r="AJ9" s="15">
        <f t="shared" si="13"/>
        <v>1</v>
      </c>
      <c r="AK9" s="15">
        <f t="shared" si="14"/>
        <v>1</v>
      </c>
      <c r="AL9" s="15">
        <f t="shared" si="15"/>
        <v>1</v>
      </c>
      <c r="AM9" s="15">
        <f t="shared" si="16"/>
        <v>1</v>
      </c>
      <c r="AN9" s="15">
        <f t="shared" si="17"/>
        <v>1</v>
      </c>
      <c r="AO9" s="15">
        <f t="shared" si="18"/>
        <v>1</v>
      </c>
      <c r="AP9" s="15">
        <f t="shared" si="19"/>
        <v>1</v>
      </c>
      <c r="AQ9" s="15">
        <f t="shared" si="20"/>
        <v>1</v>
      </c>
      <c r="AR9" s="15">
        <f t="shared" si="21"/>
        <v>1</v>
      </c>
      <c r="AS9" s="15">
        <f t="shared" si="22"/>
        <v>1</v>
      </c>
      <c r="AT9" s="15">
        <f t="shared" si="23"/>
        <v>1</v>
      </c>
      <c r="AU9" s="15">
        <f t="shared" si="24"/>
        <v>1</v>
      </c>
      <c r="AV9" s="15">
        <f t="shared" si="25"/>
        <v>1</v>
      </c>
      <c r="AW9" s="15">
        <f t="shared" si="26"/>
        <v>1</v>
      </c>
      <c r="AX9" s="15">
        <f t="shared" si="38"/>
        <v>1</v>
      </c>
      <c r="AY9" s="15">
        <f t="shared" si="27"/>
        <v>1</v>
      </c>
      <c r="AZ9" s="15">
        <f t="shared" si="28"/>
        <v>1</v>
      </c>
      <c r="BA9" s="15">
        <f t="shared" si="29"/>
        <v>1</v>
      </c>
      <c r="BB9" s="15">
        <f t="shared" si="30"/>
        <v>0</v>
      </c>
      <c r="BC9" s="15" t="str">
        <f t="shared" si="31"/>
        <v/>
      </c>
      <c r="BD9" s="15" t="str">
        <f t="shared" si="32"/>
        <v/>
      </c>
      <c r="BE9" s="11" t="e">
        <f t="shared" si="33"/>
        <v>#VALUE!</v>
      </c>
      <c r="BF9" s="11" t="e">
        <f t="shared" si="34"/>
        <v>#VALUE!</v>
      </c>
      <c r="BG9" s="11" t="e">
        <f t="shared" si="35"/>
        <v>#VALUE!</v>
      </c>
      <c r="BH9" t="str">
        <f t="shared" si="36"/>
        <v/>
      </c>
      <c r="BI9" t="str" cm="1">
        <f t="array" ref="BI9">_xlfn.IFS(
  L9&gt;0,"Critical Fail",
  M9&gt;0,"Important (Coaching)",
  TRUE,"Clean Pass"
)</f>
        <v>Clean Pass</v>
      </c>
      <c r="BJ9" t="str">
        <f t="shared" si="37"/>
        <v>NA</v>
      </c>
    </row>
    <row r="10" spans="1:62" x14ac:dyDescent="0.3">
      <c r="A10">
        <v>426175</v>
      </c>
      <c r="K10" t="str">
        <f t="shared" si="0"/>
        <v>Pass</v>
      </c>
      <c r="L10" s="15">
        <f t="shared" si="1"/>
        <v>0</v>
      </c>
      <c r="M10" s="15">
        <f t="shared" si="2"/>
        <v>0</v>
      </c>
      <c r="Z10" s="15">
        <f t="shared" si="3"/>
        <v>1</v>
      </c>
      <c r="AA10" s="15">
        <f t="shared" si="4"/>
        <v>1</v>
      </c>
      <c r="AB10" s="15">
        <f t="shared" si="5"/>
        <v>1</v>
      </c>
      <c r="AC10" s="15">
        <f t="shared" si="6"/>
        <v>1</v>
      </c>
      <c r="AD10" s="15">
        <f t="shared" si="7"/>
        <v>1</v>
      </c>
      <c r="AE10" s="15">
        <f t="shared" si="8"/>
        <v>1</v>
      </c>
      <c r="AF10" s="15">
        <f t="shared" si="9"/>
        <v>1</v>
      </c>
      <c r="AG10" s="15">
        <f t="shared" si="10"/>
        <v>1</v>
      </c>
      <c r="AH10" s="15">
        <f t="shared" si="11"/>
        <v>1</v>
      </c>
      <c r="AI10" s="15">
        <f t="shared" si="12"/>
        <v>1</v>
      </c>
      <c r="AJ10" s="15">
        <f t="shared" si="13"/>
        <v>1</v>
      </c>
      <c r="AK10" s="15">
        <f t="shared" si="14"/>
        <v>1</v>
      </c>
      <c r="AL10" s="15">
        <f t="shared" si="15"/>
        <v>1</v>
      </c>
      <c r="AM10" s="15">
        <f t="shared" si="16"/>
        <v>1</v>
      </c>
      <c r="AN10" s="15">
        <f t="shared" si="17"/>
        <v>1</v>
      </c>
      <c r="AO10" s="15">
        <f t="shared" si="18"/>
        <v>1</v>
      </c>
      <c r="AP10" s="15">
        <f t="shared" si="19"/>
        <v>1</v>
      </c>
      <c r="AQ10" s="15">
        <f t="shared" si="20"/>
        <v>1</v>
      </c>
      <c r="AR10" s="15">
        <f t="shared" si="21"/>
        <v>1</v>
      </c>
      <c r="AS10" s="15">
        <f t="shared" si="22"/>
        <v>1</v>
      </c>
      <c r="AT10" s="15">
        <f t="shared" si="23"/>
        <v>1</v>
      </c>
      <c r="AU10" s="15">
        <f t="shared" si="24"/>
        <v>1</v>
      </c>
      <c r="AV10" s="15">
        <f t="shared" si="25"/>
        <v>1</v>
      </c>
      <c r="AW10" s="15">
        <f t="shared" si="26"/>
        <v>1</v>
      </c>
      <c r="AX10" s="15">
        <f t="shared" si="38"/>
        <v>1</v>
      </c>
      <c r="AY10" s="15">
        <f t="shared" si="27"/>
        <v>1</v>
      </c>
      <c r="AZ10" s="15">
        <f t="shared" si="28"/>
        <v>1</v>
      </c>
      <c r="BA10" s="15">
        <f t="shared" si="29"/>
        <v>1</v>
      </c>
      <c r="BB10" s="15">
        <f t="shared" si="30"/>
        <v>0</v>
      </c>
      <c r="BC10" s="15" t="str">
        <f t="shared" si="31"/>
        <v/>
      </c>
      <c r="BD10" s="15" t="str">
        <f t="shared" si="32"/>
        <v/>
      </c>
      <c r="BE10" s="11" t="e">
        <f t="shared" si="33"/>
        <v>#VALUE!</v>
      </c>
      <c r="BF10" s="11" t="e">
        <f t="shared" si="34"/>
        <v>#VALUE!</v>
      </c>
      <c r="BG10" s="11" t="e">
        <f t="shared" si="35"/>
        <v>#VALUE!</v>
      </c>
      <c r="BH10" t="str">
        <f t="shared" si="36"/>
        <v/>
      </c>
      <c r="BI10" t="str" cm="1">
        <f t="array" ref="BI10">_xlfn.IFS(
  L10&gt;0,"Critical Fail",
  M10&gt;0,"Important (Coaching)",
  TRUE,"Clean Pass"
)</f>
        <v>Clean Pass</v>
      </c>
      <c r="BJ10" t="str">
        <f t="shared" si="37"/>
        <v>NA</v>
      </c>
    </row>
    <row r="11" spans="1:62" x14ac:dyDescent="0.3">
      <c r="A11">
        <v>998961</v>
      </c>
      <c r="K11" t="str">
        <f t="shared" si="0"/>
        <v>Pass</v>
      </c>
      <c r="L11" s="15">
        <f t="shared" si="1"/>
        <v>0</v>
      </c>
      <c r="M11" s="15">
        <f t="shared" si="2"/>
        <v>0</v>
      </c>
      <c r="Z11" s="15">
        <f t="shared" si="3"/>
        <v>1</v>
      </c>
      <c r="AA11" s="15">
        <f t="shared" si="4"/>
        <v>1</v>
      </c>
      <c r="AB11" s="15">
        <f t="shared" si="5"/>
        <v>1</v>
      </c>
      <c r="AC11" s="15">
        <f t="shared" si="6"/>
        <v>1</v>
      </c>
      <c r="AD11" s="15">
        <f t="shared" si="7"/>
        <v>1</v>
      </c>
      <c r="AE11" s="15">
        <f t="shared" si="8"/>
        <v>1</v>
      </c>
      <c r="AF11" s="15">
        <f t="shared" si="9"/>
        <v>1</v>
      </c>
      <c r="AG11" s="15">
        <f t="shared" si="10"/>
        <v>1</v>
      </c>
      <c r="AH11" s="15">
        <f t="shared" si="11"/>
        <v>1</v>
      </c>
      <c r="AI11" s="15">
        <f t="shared" si="12"/>
        <v>1</v>
      </c>
      <c r="AJ11" s="15">
        <f t="shared" si="13"/>
        <v>1</v>
      </c>
      <c r="AK11" s="15">
        <f t="shared" si="14"/>
        <v>1</v>
      </c>
      <c r="AL11" s="15">
        <f t="shared" si="15"/>
        <v>1</v>
      </c>
      <c r="AM11" s="15">
        <f t="shared" si="16"/>
        <v>1</v>
      </c>
      <c r="AN11" s="15">
        <f t="shared" si="17"/>
        <v>1</v>
      </c>
      <c r="AO11" s="15">
        <f t="shared" si="18"/>
        <v>1</v>
      </c>
      <c r="AP11" s="15">
        <f t="shared" si="19"/>
        <v>1</v>
      </c>
      <c r="AQ11" s="15">
        <f t="shared" si="20"/>
        <v>1</v>
      </c>
      <c r="AR11" s="15">
        <f t="shared" si="21"/>
        <v>1</v>
      </c>
      <c r="AS11" s="15">
        <f t="shared" si="22"/>
        <v>1</v>
      </c>
      <c r="AT11" s="15">
        <f t="shared" si="23"/>
        <v>1</v>
      </c>
      <c r="AU11" s="15">
        <f t="shared" si="24"/>
        <v>1</v>
      </c>
      <c r="AV11" s="15">
        <f t="shared" si="25"/>
        <v>1</v>
      </c>
      <c r="AW11" s="15">
        <f t="shared" si="26"/>
        <v>1</v>
      </c>
      <c r="AX11" s="15">
        <f t="shared" si="38"/>
        <v>1</v>
      </c>
      <c r="AY11" s="15">
        <f t="shared" si="27"/>
        <v>1</v>
      </c>
      <c r="AZ11" s="15">
        <f t="shared" si="28"/>
        <v>1</v>
      </c>
      <c r="BA11" s="15">
        <f t="shared" si="29"/>
        <v>1</v>
      </c>
      <c r="BB11" s="15">
        <f t="shared" si="30"/>
        <v>0</v>
      </c>
      <c r="BC11" s="15" t="str">
        <f t="shared" si="31"/>
        <v/>
      </c>
      <c r="BD11" s="15" t="str">
        <f t="shared" si="32"/>
        <v/>
      </c>
      <c r="BE11" s="11" t="e">
        <f t="shared" si="33"/>
        <v>#VALUE!</v>
      </c>
      <c r="BF11" s="11" t="e">
        <f t="shared" si="34"/>
        <v>#VALUE!</v>
      </c>
      <c r="BG11" s="11" t="e">
        <f t="shared" si="35"/>
        <v>#VALUE!</v>
      </c>
      <c r="BH11" t="str">
        <f t="shared" si="36"/>
        <v/>
      </c>
      <c r="BI11" t="str" cm="1">
        <f t="array" ref="BI11">_xlfn.IFS(
  L11&gt;0,"Critical Fail",
  M11&gt;0,"Important (Coaching)",
  TRUE,"Clean Pass"
)</f>
        <v>Clean Pass</v>
      </c>
      <c r="BJ11" t="str">
        <f t="shared" si="37"/>
        <v>NA</v>
      </c>
    </row>
    <row r="12" spans="1:62" x14ac:dyDescent="0.3">
      <c r="A12">
        <v>222526</v>
      </c>
      <c r="K12" t="str">
        <f t="shared" si="0"/>
        <v>Pass</v>
      </c>
      <c r="L12" s="15">
        <f t="shared" si="1"/>
        <v>0</v>
      </c>
      <c r="M12" s="15">
        <f t="shared" si="2"/>
        <v>0</v>
      </c>
      <c r="Z12" s="15">
        <f t="shared" si="3"/>
        <v>1</v>
      </c>
      <c r="AA12" s="15">
        <f t="shared" si="4"/>
        <v>1</v>
      </c>
      <c r="AB12" s="15">
        <f t="shared" si="5"/>
        <v>1</v>
      </c>
      <c r="AC12" s="15">
        <f t="shared" si="6"/>
        <v>1</v>
      </c>
      <c r="AD12" s="15">
        <f t="shared" si="7"/>
        <v>1</v>
      </c>
      <c r="AE12" s="15">
        <f t="shared" si="8"/>
        <v>1</v>
      </c>
      <c r="AF12" s="15">
        <f t="shared" si="9"/>
        <v>1</v>
      </c>
      <c r="AG12" s="15">
        <f t="shared" si="10"/>
        <v>1</v>
      </c>
      <c r="AH12" s="15">
        <f t="shared" si="11"/>
        <v>1</v>
      </c>
      <c r="AI12" s="15">
        <f t="shared" si="12"/>
        <v>1</v>
      </c>
      <c r="AJ12" s="15">
        <f t="shared" si="13"/>
        <v>1</v>
      </c>
      <c r="AK12" s="15">
        <f t="shared" si="14"/>
        <v>1</v>
      </c>
      <c r="AL12" s="15">
        <f t="shared" si="15"/>
        <v>1</v>
      </c>
      <c r="AM12" s="15">
        <f t="shared" si="16"/>
        <v>1</v>
      </c>
      <c r="AN12" s="15">
        <f t="shared" si="17"/>
        <v>1</v>
      </c>
      <c r="AO12" s="15">
        <f t="shared" si="18"/>
        <v>1</v>
      </c>
      <c r="AP12" s="15">
        <f t="shared" si="19"/>
        <v>1</v>
      </c>
      <c r="AQ12" s="15">
        <f t="shared" si="20"/>
        <v>1</v>
      </c>
      <c r="AR12" s="15">
        <f t="shared" si="21"/>
        <v>1</v>
      </c>
      <c r="AS12" s="15">
        <f t="shared" si="22"/>
        <v>1</v>
      </c>
      <c r="AT12" s="15">
        <f t="shared" si="23"/>
        <v>1</v>
      </c>
      <c r="AU12" s="15">
        <f t="shared" si="24"/>
        <v>1</v>
      </c>
      <c r="AV12" s="15">
        <f t="shared" si="25"/>
        <v>1</v>
      </c>
      <c r="AW12" s="15">
        <f t="shared" si="26"/>
        <v>1</v>
      </c>
      <c r="AX12" s="15">
        <f t="shared" si="38"/>
        <v>1</v>
      </c>
      <c r="AY12" s="15">
        <f t="shared" si="27"/>
        <v>1</v>
      </c>
      <c r="AZ12" s="15">
        <f t="shared" si="28"/>
        <v>1</v>
      </c>
      <c r="BA12" s="15">
        <f t="shared" si="29"/>
        <v>1</v>
      </c>
      <c r="BB12" s="15">
        <f t="shared" si="30"/>
        <v>0</v>
      </c>
      <c r="BC12" s="15" t="str">
        <f t="shared" si="31"/>
        <v/>
      </c>
      <c r="BD12" s="15" t="str">
        <f t="shared" si="32"/>
        <v/>
      </c>
      <c r="BE12" s="11" t="e">
        <f t="shared" si="33"/>
        <v>#VALUE!</v>
      </c>
      <c r="BF12" s="11" t="e">
        <f t="shared" si="34"/>
        <v>#VALUE!</v>
      </c>
      <c r="BG12" s="11" t="e">
        <f t="shared" si="35"/>
        <v>#VALUE!</v>
      </c>
      <c r="BH12" t="str">
        <f t="shared" si="36"/>
        <v/>
      </c>
      <c r="BI12" t="str" cm="1">
        <f t="array" ref="BI12">_xlfn.IFS(
  L12&gt;0,"Critical Fail",
  M12&gt;0,"Important (Coaching)",
  TRUE,"Clean Pass"
)</f>
        <v>Clean Pass</v>
      </c>
      <c r="BJ12" t="str">
        <f t="shared" si="37"/>
        <v>NA</v>
      </c>
    </row>
    <row r="13" spans="1:62" x14ac:dyDescent="0.3">
      <c r="A13">
        <v>574541</v>
      </c>
      <c r="K13" t="str">
        <f t="shared" si="0"/>
        <v>Pass</v>
      </c>
      <c r="L13" s="15">
        <f t="shared" si="1"/>
        <v>0</v>
      </c>
      <c r="M13" s="15">
        <f t="shared" si="2"/>
        <v>0</v>
      </c>
      <c r="Z13" s="15">
        <f t="shared" si="3"/>
        <v>1</v>
      </c>
      <c r="AA13" s="15">
        <f t="shared" si="4"/>
        <v>1</v>
      </c>
      <c r="AB13" s="15">
        <f t="shared" si="5"/>
        <v>1</v>
      </c>
      <c r="AC13" s="15">
        <f t="shared" si="6"/>
        <v>1</v>
      </c>
      <c r="AD13" s="15">
        <f t="shared" si="7"/>
        <v>1</v>
      </c>
      <c r="AE13" s="15">
        <f t="shared" si="8"/>
        <v>1</v>
      </c>
      <c r="AF13" s="15">
        <f t="shared" si="9"/>
        <v>1</v>
      </c>
      <c r="AG13" s="15">
        <f t="shared" si="10"/>
        <v>1</v>
      </c>
      <c r="AH13" s="15">
        <f t="shared" si="11"/>
        <v>1</v>
      </c>
      <c r="AI13" s="15">
        <f t="shared" si="12"/>
        <v>1</v>
      </c>
      <c r="AJ13" s="15">
        <f t="shared" si="13"/>
        <v>1</v>
      </c>
      <c r="AK13" s="15">
        <f t="shared" si="14"/>
        <v>1</v>
      </c>
      <c r="AL13" s="15">
        <f t="shared" si="15"/>
        <v>1</v>
      </c>
      <c r="AM13" s="15">
        <f t="shared" si="16"/>
        <v>1</v>
      </c>
      <c r="AN13" s="15">
        <f t="shared" si="17"/>
        <v>1</v>
      </c>
      <c r="AO13" s="15">
        <f t="shared" si="18"/>
        <v>1</v>
      </c>
      <c r="AP13" s="15">
        <f t="shared" si="19"/>
        <v>1</v>
      </c>
      <c r="AQ13" s="15">
        <f t="shared" si="20"/>
        <v>1</v>
      </c>
      <c r="AR13" s="15">
        <f t="shared" si="21"/>
        <v>1</v>
      </c>
      <c r="AS13" s="15">
        <f t="shared" si="22"/>
        <v>1</v>
      </c>
      <c r="AT13" s="15">
        <f t="shared" si="23"/>
        <v>1</v>
      </c>
      <c r="AU13" s="15">
        <f t="shared" si="24"/>
        <v>1</v>
      </c>
      <c r="AV13" s="15">
        <f t="shared" si="25"/>
        <v>1</v>
      </c>
      <c r="AW13" s="15">
        <f t="shared" si="26"/>
        <v>1</v>
      </c>
      <c r="AX13" s="15">
        <f t="shared" si="38"/>
        <v>1</v>
      </c>
      <c r="AY13" s="15">
        <f t="shared" si="27"/>
        <v>1</v>
      </c>
      <c r="AZ13" s="15">
        <f t="shared" si="28"/>
        <v>1</v>
      </c>
      <c r="BA13" s="15">
        <f t="shared" si="29"/>
        <v>1</v>
      </c>
      <c r="BB13" s="15">
        <f t="shared" si="30"/>
        <v>0</v>
      </c>
      <c r="BC13" s="15" t="str">
        <f t="shared" si="31"/>
        <v/>
      </c>
      <c r="BD13" s="15" t="str">
        <f t="shared" si="32"/>
        <v/>
      </c>
      <c r="BE13" s="11" t="e">
        <f t="shared" si="33"/>
        <v>#VALUE!</v>
      </c>
      <c r="BF13" s="11" t="e">
        <f t="shared" si="34"/>
        <v>#VALUE!</v>
      </c>
      <c r="BG13" s="11" t="e">
        <f t="shared" si="35"/>
        <v>#VALUE!</v>
      </c>
      <c r="BH13" t="str">
        <f t="shared" si="36"/>
        <v/>
      </c>
      <c r="BI13" t="str" cm="1">
        <f t="array" ref="BI13">_xlfn.IFS(
  L13&gt;0,"Critical Fail",
  M13&gt;0,"Important (Coaching)",
  TRUE,"Clean Pass"
)</f>
        <v>Clean Pass</v>
      </c>
      <c r="BJ13" t="str">
        <f t="shared" si="37"/>
        <v>NA</v>
      </c>
    </row>
    <row r="14" spans="1:62" x14ac:dyDescent="0.3">
      <c r="A14">
        <v>649517</v>
      </c>
      <c r="K14" t="str">
        <f t="shared" si="0"/>
        <v>Pass</v>
      </c>
      <c r="L14" s="15">
        <f t="shared" si="1"/>
        <v>0</v>
      </c>
      <c r="M14" s="15">
        <f t="shared" si="2"/>
        <v>0</v>
      </c>
      <c r="Z14" s="15">
        <f t="shared" si="3"/>
        <v>1</v>
      </c>
      <c r="AA14" s="15">
        <f t="shared" si="4"/>
        <v>1</v>
      </c>
      <c r="AB14" s="15">
        <f t="shared" si="5"/>
        <v>1</v>
      </c>
      <c r="AC14" s="15">
        <f t="shared" si="6"/>
        <v>1</v>
      </c>
      <c r="AD14" s="15">
        <f t="shared" si="7"/>
        <v>1</v>
      </c>
      <c r="AE14" s="15">
        <f t="shared" si="8"/>
        <v>1</v>
      </c>
      <c r="AF14" s="15">
        <f t="shared" si="9"/>
        <v>1</v>
      </c>
      <c r="AG14" s="15">
        <f t="shared" si="10"/>
        <v>1</v>
      </c>
      <c r="AH14" s="15">
        <f t="shared" si="11"/>
        <v>1</v>
      </c>
      <c r="AI14" s="15">
        <f t="shared" si="12"/>
        <v>1</v>
      </c>
      <c r="AJ14" s="15">
        <f t="shared" si="13"/>
        <v>1</v>
      </c>
      <c r="AK14" s="15">
        <f t="shared" si="14"/>
        <v>1</v>
      </c>
      <c r="AL14" s="15">
        <f t="shared" si="15"/>
        <v>1</v>
      </c>
      <c r="AM14" s="15">
        <f t="shared" si="16"/>
        <v>1</v>
      </c>
      <c r="AN14" s="15">
        <f t="shared" si="17"/>
        <v>1</v>
      </c>
      <c r="AO14" s="15">
        <f t="shared" si="18"/>
        <v>1</v>
      </c>
      <c r="AP14" s="15">
        <f t="shared" si="19"/>
        <v>1</v>
      </c>
      <c r="AQ14" s="15">
        <f t="shared" si="20"/>
        <v>1</v>
      </c>
      <c r="AR14" s="15">
        <f t="shared" si="21"/>
        <v>1</v>
      </c>
      <c r="AS14" s="15">
        <f t="shared" si="22"/>
        <v>1</v>
      </c>
      <c r="AT14" s="15">
        <f t="shared" si="23"/>
        <v>1</v>
      </c>
      <c r="AU14" s="15">
        <f t="shared" si="24"/>
        <v>1</v>
      </c>
      <c r="AV14" s="15">
        <f t="shared" si="25"/>
        <v>1</v>
      </c>
      <c r="AW14" s="15">
        <f t="shared" si="26"/>
        <v>1</v>
      </c>
      <c r="AX14" s="15">
        <f t="shared" si="38"/>
        <v>1</v>
      </c>
      <c r="AY14" s="15">
        <f t="shared" si="27"/>
        <v>1</v>
      </c>
      <c r="AZ14" s="15">
        <f t="shared" si="28"/>
        <v>1</v>
      </c>
      <c r="BA14" s="15">
        <f t="shared" si="29"/>
        <v>1</v>
      </c>
      <c r="BB14" s="15">
        <f t="shared" si="30"/>
        <v>0</v>
      </c>
      <c r="BC14" s="15" t="str">
        <f t="shared" si="31"/>
        <v/>
      </c>
      <c r="BD14" s="15" t="str">
        <f t="shared" si="32"/>
        <v/>
      </c>
      <c r="BE14" s="11" t="e">
        <f t="shared" si="33"/>
        <v>#VALUE!</v>
      </c>
      <c r="BF14" s="11" t="e">
        <f t="shared" si="34"/>
        <v>#VALUE!</v>
      </c>
      <c r="BG14" s="11" t="e">
        <f t="shared" si="35"/>
        <v>#VALUE!</v>
      </c>
      <c r="BH14" t="str">
        <f t="shared" si="36"/>
        <v/>
      </c>
      <c r="BI14" t="str" cm="1">
        <f t="array" ref="BI14">_xlfn.IFS(
  L14&gt;0,"Critical Fail",
  M14&gt;0,"Important (Coaching)",
  TRUE,"Clean Pass"
)</f>
        <v>Clean Pass</v>
      </c>
      <c r="BJ14" t="str">
        <f t="shared" si="37"/>
        <v>NA</v>
      </c>
    </row>
    <row r="15" spans="1:62" x14ac:dyDescent="0.3">
      <c r="A15">
        <v>245362</v>
      </c>
      <c r="K15" t="str">
        <f t="shared" si="0"/>
        <v>Pass</v>
      </c>
      <c r="L15" s="15">
        <f t="shared" si="1"/>
        <v>0</v>
      </c>
      <c r="M15" s="15">
        <f t="shared" si="2"/>
        <v>0</v>
      </c>
      <c r="Z15" s="15">
        <f t="shared" si="3"/>
        <v>1</v>
      </c>
      <c r="AA15" s="15">
        <f t="shared" si="4"/>
        <v>1</v>
      </c>
      <c r="AB15" s="15">
        <f t="shared" si="5"/>
        <v>1</v>
      </c>
      <c r="AC15" s="15">
        <f t="shared" si="6"/>
        <v>1</v>
      </c>
      <c r="AD15" s="15">
        <f t="shared" si="7"/>
        <v>1</v>
      </c>
      <c r="AE15" s="15">
        <f t="shared" si="8"/>
        <v>1</v>
      </c>
      <c r="AF15" s="15">
        <f t="shared" si="9"/>
        <v>1</v>
      </c>
      <c r="AG15" s="15">
        <f t="shared" si="10"/>
        <v>1</v>
      </c>
      <c r="AH15" s="15">
        <f t="shared" si="11"/>
        <v>1</v>
      </c>
      <c r="AI15" s="15">
        <f t="shared" si="12"/>
        <v>1</v>
      </c>
      <c r="AJ15" s="15">
        <f t="shared" si="13"/>
        <v>1</v>
      </c>
      <c r="AK15" s="15">
        <f t="shared" si="14"/>
        <v>1</v>
      </c>
      <c r="AL15" s="15">
        <f t="shared" si="15"/>
        <v>1</v>
      </c>
      <c r="AM15" s="15">
        <f t="shared" si="16"/>
        <v>1</v>
      </c>
      <c r="AN15" s="15">
        <f t="shared" si="17"/>
        <v>1</v>
      </c>
      <c r="AO15" s="15">
        <f t="shared" si="18"/>
        <v>1</v>
      </c>
      <c r="AP15" s="15">
        <f t="shared" si="19"/>
        <v>1</v>
      </c>
      <c r="AQ15" s="15">
        <f t="shared" si="20"/>
        <v>1</v>
      </c>
      <c r="AR15" s="15">
        <f t="shared" si="21"/>
        <v>1</v>
      </c>
      <c r="AS15" s="15">
        <f t="shared" si="22"/>
        <v>1</v>
      </c>
      <c r="AT15" s="15">
        <f t="shared" si="23"/>
        <v>1</v>
      </c>
      <c r="AU15" s="15">
        <f t="shared" si="24"/>
        <v>1</v>
      </c>
      <c r="AV15" s="15">
        <f t="shared" si="25"/>
        <v>1</v>
      </c>
      <c r="AW15" s="15">
        <f t="shared" si="26"/>
        <v>1</v>
      </c>
      <c r="AX15" s="15">
        <f t="shared" si="38"/>
        <v>1</v>
      </c>
      <c r="AY15" s="15">
        <f t="shared" si="27"/>
        <v>1</v>
      </c>
      <c r="AZ15" s="15">
        <f t="shared" si="28"/>
        <v>1</v>
      </c>
      <c r="BA15" s="15">
        <f t="shared" si="29"/>
        <v>1</v>
      </c>
      <c r="BB15" s="15">
        <f t="shared" si="30"/>
        <v>0</v>
      </c>
      <c r="BC15" s="15" t="str">
        <f t="shared" si="31"/>
        <v/>
      </c>
      <c r="BD15" s="15" t="str">
        <f t="shared" si="32"/>
        <v/>
      </c>
      <c r="BE15" s="11" t="e">
        <f t="shared" si="33"/>
        <v>#VALUE!</v>
      </c>
      <c r="BF15" s="11" t="e">
        <f t="shared" si="34"/>
        <v>#VALUE!</v>
      </c>
      <c r="BG15" s="11" t="e">
        <f t="shared" si="35"/>
        <v>#VALUE!</v>
      </c>
      <c r="BH15" t="str">
        <f t="shared" si="36"/>
        <v/>
      </c>
      <c r="BI15" t="str" cm="1">
        <f t="array" ref="BI15">_xlfn.IFS(
  L15&gt;0,"Critical Fail",
  M15&gt;0,"Important (Coaching)",
  TRUE,"Clean Pass"
)</f>
        <v>Clean Pass</v>
      </c>
      <c r="BJ15" t="str">
        <f t="shared" si="37"/>
        <v>NA</v>
      </c>
    </row>
    <row r="16" spans="1:62" x14ac:dyDescent="0.3">
      <c r="A16">
        <v>884232</v>
      </c>
      <c r="K16" t="str">
        <f t="shared" si="0"/>
        <v>Pass</v>
      </c>
      <c r="L16" s="15">
        <f t="shared" si="1"/>
        <v>0</v>
      </c>
      <c r="M16" s="15">
        <f t="shared" si="2"/>
        <v>0</v>
      </c>
      <c r="Z16" s="15">
        <f t="shared" si="3"/>
        <v>1</v>
      </c>
      <c r="AA16" s="15">
        <f t="shared" si="4"/>
        <v>1</v>
      </c>
      <c r="AB16" s="15">
        <f t="shared" si="5"/>
        <v>1</v>
      </c>
      <c r="AC16" s="15">
        <f t="shared" si="6"/>
        <v>1</v>
      </c>
      <c r="AD16" s="15">
        <f t="shared" si="7"/>
        <v>1</v>
      </c>
      <c r="AE16" s="15">
        <f t="shared" si="8"/>
        <v>1</v>
      </c>
      <c r="AF16" s="15">
        <f t="shared" si="9"/>
        <v>1</v>
      </c>
      <c r="AG16" s="15">
        <f t="shared" si="10"/>
        <v>1</v>
      </c>
      <c r="AH16" s="15">
        <f t="shared" si="11"/>
        <v>1</v>
      </c>
      <c r="AI16" s="15">
        <f t="shared" si="12"/>
        <v>1</v>
      </c>
      <c r="AJ16" s="15">
        <f t="shared" si="13"/>
        <v>1</v>
      </c>
      <c r="AK16" s="15">
        <f t="shared" si="14"/>
        <v>1</v>
      </c>
      <c r="AL16" s="15">
        <f t="shared" si="15"/>
        <v>1</v>
      </c>
      <c r="AM16" s="15">
        <f t="shared" si="16"/>
        <v>1</v>
      </c>
      <c r="AN16" s="15">
        <f t="shared" si="17"/>
        <v>1</v>
      </c>
      <c r="AO16" s="15">
        <f t="shared" si="18"/>
        <v>1</v>
      </c>
      <c r="AP16" s="15">
        <f t="shared" si="19"/>
        <v>1</v>
      </c>
      <c r="AQ16" s="15">
        <f t="shared" si="20"/>
        <v>1</v>
      </c>
      <c r="AR16" s="15">
        <f t="shared" si="21"/>
        <v>1</v>
      </c>
      <c r="AS16" s="15">
        <f t="shared" si="22"/>
        <v>1</v>
      </c>
      <c r="AT16" s="15">
        <f t="shared" si="23"/>
        <v>1</v>
      </c>
      <c r="AU16" s="15">
        <f t="shared" si="24"/>
        <v>1</v>
      </c>
      <c r="AV16" s="15">
        <f t="shared" si="25"/>
        <v>1</v>
      </c>
      <c r="AW16" s="15">
        <f t="shared" si="26"/>
        <v>1</v>
      </c>
      <c r="AX16" s="15">
        <f t="shared" si="38"/>
        <v>1</v>
      </c>
      <c r="AY16" s="15">
        <f t="shared" si="27"/>
        <v>1</v>
      </c>
      <c r="AZ16" s="15">
        <f t="shared" si="28"/>
        <v>1</v>
      </c>
      <c r="BA16" s="15">
        <f t="shared" si="29"/>
        <v>1</v>
      </c>
      <c r="BB16" s="15">
        <f t="shared" si="30"/>
        <v>0</v>
      </c>
      <c r="BC16" s="15" t="str">
        <f t="shared" si="31"/>
        <v/>
      </c>
      <c r="BD16" s="15" t="str">
        <f t="shared" si="32"/>
        <v/>
      </c>
      <c r="BE16" s="11" t="e">
        <f t="shared" si="33"/>
        <v>#VALUE!</v>
      </c>
      <c r="BF16" s="11" t="e">
        <f t="shared" si="34"/>
        <v>#VALUE!</v>
      </c>
      <c r="BG16" s="11" t="e">
        <f t="shared" si="35"/>
        <v>#VALUE!</v>
      </c>
      <c r="BH16" t="str">
        <f t="shared" si="36"/>
        <v/>
      </c>
      <c r="BI16" t="str" cm="1">
        <f t="array" ref="BI16">_xlfn.IFS(
  L16&gt;0,"Critical Fail",
  M16&gt;0,"Important (Coaching)",
  TRUE,"Clean Pass"
)</f>
        <v>Clean Pass</v>
      </c>
      <c r="BJ16" t="str">
        <f t="shared" si="37"/>
        <v>NA</v>
      </c>
    </row>
    <row r="17" spans="1:62" x14ac:dyDescent="0.3">
      <c r="A17">
        <v>437520</v>
      </c>
      <c r="K17" t="str">
        <f t="shared" si="0"/>
        <v>Pass</v>
      </c>
      <c r="L17" s="15">
        <f t="shared" si="1"/>
        <v>0</v>
      </c>
      <c r="M17" s="15">
        <f t="shared" si="2"/>
        <v>0</v>
      </c>
      <c r="Z17" s="15">
        <f t="shared" si="3"/>
        <v>1</v>
      </c>
      <c r="AA17" s="15">
        <f t="shared" si="4"/>
        <v>1</v>
      </c>
      <c r="AB17" s="15">
        <f t="shared" si="5"/>
        <v>1</v>
      </c>
      <c r="AC17" s="15">
        <f t="shared" si="6"/>
        <v>1</v>
      </c>
      <c r="AD17" s="15">
        <f t="shared" si="7"/>
        <v>1</v>
      </c>
      <c r="AE17" s="15">
        <f t="shared" si="8"/>
        <v>1</v>
      </c>
      <c r="AF17" s="15">
        <f t="shared" si="9"/>
        <v>1</v>
      </c>
      <c r="AG17" s="15">
        <f t="shared" si="10"/>
        <v>1</v>
      </c>
      <c r="AH17" s="15">
        <f t="shared" si="11"/>
        <v>1</v>
      </c>
      <c r="AI17" s="15">
        <f t="shared" si="12"/>
        <v>1</v>
      </c>
      <c r="AJ17" s="15">
        <f t="shared" si="13"/>
        <v>1</v>
      </c>
      <c r="AK17" s="15">
        <f t="shared" si="14"/>
        <v>1</v>
      </c>
      <c r="AL17" s="15">
        <f t="shared" si="15"/>
        <v>1</v>
      </c>
      <c r="AM17" s="15">
        <f t="shared" si="16"/>
        <v>1</v>
      </c>
      <c r="AN17" s="15">
        <f t="shared" si="17"/>
        <v>1</v>
      </c>
      <c r="AO17" s="15">
        <f t="shared" si="18"/>
        <v>1</v>
      </c>
      <c r="AP17" s="15">
        <f t="shared" si="19"/>
        <v>1</v>
      </c>
      <c r="AQ17" s="15">
        <f t="shared" si="20"/>
        <v>1</v>
      </c>
      <c r="AR17" s="15">
        <f t="shared" si="21"/>
        <v>1</v>
      </c>
      <c r="AS17" s="15">
        <f t="shared" si="22"/>
        <v>1</v>
      </c>
      <c r="AT17" s="15">
        <f t="shared" si="23"/>
        <v>1</v>
      </c>
      <c r="AU17" s="15">
        <f t="shared" si="24"/>
        <v>1</v>
      </c>
      <c r="AV17" s="15">
        <f t="shared" si="25"/>
        <v>1</v>
      </c>
      <c r="AW17" s="15">
        <f t="shared" si="26"/>
        <v>1</v>
      </c>
      <c r="AX17" s="15">
        <f t="shared" si="38"/>
        <v>1</v>
      </c>
      <c r="AY17" s="15">
        <f t="shared" si="27"/>
        <v>1</v>
      </c>
      <c r="AZ17" s="15">
        <f t="shared" si="28"/>
        <v>1</v>
      </c>
      <c r="BA17" s="15">
        <f t="shared" si="29"/>
        <v>1</v>
      </c>
      <c r="BB17" s="15">
        <f t="shared" si="30"/>
        <v>0</v>
      </c>
      <c r="BC17" s="15" t="str">
        <f t="shared" si="31"/>
        <v/>
      </c>
      <c r="BD17" s="15" t="str">
        <f t="shared" si="32"/>
        <v/>
      </c>
      <c r="BE17" s="11" t="e">
        <f t="shared" si="33"/>
        <v>#VALUE!</v>
      </c>
      <c r="BF17" s="11" t="e">
        <f t="shared" si="34"/>
        <v>#VALUE!</v>
      </c>
      <c r="BG17" s="11" t="e">
        <f t="shared" si="35"/>
        <v>#VALUE!</v>
      </c>
      <c r="BH17" t="str">
        <f t="shared" si="36"/>
        <v/>
      </c>
      <c r="BI17" t="str" cm="1">
        <f t="array" ref="BI17">_xlfn.IFS(
  L17&gt;0,"Critical Fail",
  M17&gt;0,"Important (Coaching)",
  TRUE,"Clean Pass"
)</f>
        <v>Clean Pass</v>
      </c>
      <c r="BJ17" t="str">
        <f t="shared" si="37"/>
        <v>NA</v>
      </c>
    </row>
    <row r="18" spans="1:62" x14ac:dyDescent="0.3">
      <c r="A18">
        <v>444749</v>
      </c>
      <c r="K18" t="str">
        <f t="shared" si="0"/>
        <v>Pass</v>
      </c>
      <c r="L18" s="15">
        <f t="shared" si="1"/>
        <v>0</v>
      </c>
      <c r="M18" s="15">
        <f t="shared" si="2"/>
        <v>0</v>
      </c>
      <c r="Z18" s="15">
        <f t="shared" si="3"/>
        <v>1</v>
      </c>
      <c r="AA18" s="15">
        <f t="shared" si="4"/>
        <v>1</v>
      </c>
      <c r="AB18" s="15">
        <f t="shared" si="5"/>
        <v>1</v>
      </c>
      <c r="AC18" s="15">
        <f t="shared" si="6"/>
        <v>1</v>
      </c>
      <c r="AD18" s="15">
        <f t="shared" si="7"/>
        <v>1</v>
      </c>
      <c r="AE18" s="15">
        <f t="shared" si="8"/>
        <v>1</v>
      </c>
      <c r="AF18" s="15">
        <f t="shared" si="9"/>
        <v>1</v>
      </c>
      <c r="AG18" s="15">
        <f t="shared" si="10"/>
        <v>1</v>
      </c>
      <c r="AH18" s="15">
        <f t="shared" si="11"/>
        <v>1</v>
      </c>
      <c r="AI18" s="15">
        <f t="shared" si="12"/>
        <v>1</v>
      </c>
      <c r="AJ18" s="15">
        <f t="shared" si="13"/>
        <v>1</v>
      </c>
      <c r="AK18" s="15">
        <f t="shared" si="14"/>
        <v>1</v>
      </c>
      <c r="AL18" s="15">
        <f t="shared" si="15"/>
        <v>1</v>
      </c>
      <c r="AM18" s="15">
        <f t="shared" si="16"/>
        <v>1</v>
      </c>
      <c r="AN18" s="15">
        <f t="shared" si="17"/>
        <v>1</v>
      </c>
      <c r="AO18" s="15">
        <f t="shared" si="18"/>
        <v>1</v>
      </c>
      <c r="AP18" s="15">
        <f t="shared" si="19"/>
        <v>1</v>
      </c>
      <c r="AQ18" s="15">
        <f t="shared" si="20"/>
        <v>1</v>
      </c>
      <c r="AR18" s="15">
        <f t="shared" si="21"/>
        <v>1</v>
      </c>
      <c r="AS18" s="15">
        <f t="shared" si="22"/>
        <v>1</v>
      </c>
      <c r="AT18" s="15">
        <f t="shared" si="23"/>
        <v>1</v>
      </c>
      <c r="AU18" s="15">
        <f t="shared" si="24"/>
        <v>1</v>
      </c>
      <c r="AV18" s="15">
        <f t="shared" si="25"/>
        <v>1</v>
      </c>
      <c r="AW18" s="15">
        <f t="shared" si="26"/>
        <v>1</v>
      </c>
      <c r="AX18" s="15">
        <f t="shared" si="38"/>
        <v>1</v>
      </c>
      <c r="AY18" s="15">
        <f t="shared" si="27"/>
        <v>1</v>
      </c>
      <c r="AZ18" s="15">
        <f t="shared" si="28"/>
        <v>1</v>
      </c>
      <c r="BA18" s="15">
        <f t="shared" si="29"/>
        <v>1</v>
      </c>
      <c r="BB18" s="15">
        <f t="shared" si="30"/>
        <v>0</v>
      </c>
      <c r="BC18" s="15" t="str">
        <f t="shared" si="31"/>
        <v/>
      </c>
      <c r="BD18" s="15" t="str">
        <f t="shared" si="32"/>
        <v/>
      </c>
      <c r="BE18" s="11" t="e">
        <f t="shared" si="33"/>
        <v>#VALUE!</v>
      </c>
      <c r="BF18" s="11" t="e">
        <f t="shared" si="34"/>
        <v>#VALUE!</v>
      </c>
      <c r="BG18" s="11" t="e">
        <f t="shared" si="35"/>
        <v>#VALUE!</v>
      </c>
      <c r="BH18" t="str">
        <f t="shared" si="36"/>
        <v/>
      </c>
      <c r="BI18" t="str" cm="1">
        <f t="array" ref="BI18">_xlfn.IFS(
  L18&gt;0,"Critical Fail",
  M18&gt;0,"Important (Coaching)",
  TRUE,"Clean Pass"
)</f>
        <v>Clean Pass</v>
      </c>
      <c r="BJ18" t="str">
        <f t="shared" si="37"/>
        <v>NA</v>
      </c>
    </row>
    <row r="19" spans="1:62" x14ac:dyDescent="0.3">
      <c r="A19">
        <v>627600</v>
      </c>
      <c r="K19" t="str">
        <f t="shared" si="0"/>
        <v>Pass</v>
      </c>
      <c r="L19" s="15">
        <f t="shared" si="1"/>
        <v>0</v>
      </c>
      <c r="M19" s="15">
        <f t="shared" si="2"/>
        <v>0</v>
      </c>
      <c r="Z19" s="15">
        <f t="shared" si="3"/>
        <v>1</v>
      </c>
      <c r="AA19" s="15">
        <f t="shared" si="4"/>
        <v>1</v>
      </c>
      <c r="AB19" s="15">
        <f t="shared" si="5"/>
        <v>1</v>
      </c>
      <c r="AC19" s="15">
        <f t="shared" si="6"/>
        <v>1</v>
      </c>
      <c r="AD19" s="15">
        <f t="shared" si="7"/>
        <v>1</v>
      </c>
      <c r="AE19" s="15">
        <f t="shared" si="8"/>
        <v>1</v>
      </c>
      <c r="AF19" s="15">
        <f t="shared" si="9"/>
        <v>1</v>
      </c>
      <c r="AG19" s="15">
        <f t="shared" si="10"/>
        <v>1</v>
      </c>
      <c r="AH19" s="15">
        <f t="shared" si="11"/>
        <v>1</v>
      </c>
      <c r="AI19" s="15">
        <f t="shared" si="12"/>
        <v>1</v>
      </c>
      <c r="AJ19" s="15">
        <f t="shared" si="13"/>
        <v>1</v>
      </c>
      <c r="AK19" s="15">
        <f t="shared" si="14"/>
        <v>1</v>
      </c>
      <c r="AL19" s="15">
        <f t="shared" si="15"/>
        <v>1</v>
      </c>
      <c r="AM19" s="15">
        <f t="shared" si="16"/>
        <v>1</v>
      </c>
      <c r="AN19" s="15">
        <f t="shared" si="17"/>
        <v>1</v>
      </c>
      <c r="AO19" s="15">
        <f t="shared" si="18"/>
        <v>1</v>
      </c>
      <c r="AP19" s="15">
        <f t="shared" si="19"/>
        <v>1</v>
      </c>
      <c r="AQ19" s="15">
        <f t="shared" si="20"/>
        <v>1</v>
      </c>
      <c r="AR19" s="15">
        <f t="shared" si="21"/>
        <v>1</v>
      </c>
      <c r="AS19" s="15">
        <f t="shared" si="22"/>
        <v>1</v>
      </c>
      <c r="AT19" s="15">
        <f t="shared" si="23"/>
        <v>1</v>
      </c>
      <c r="AU19" s="15">
        <f t="shared" si="24"/>
        <v>1</v>
      </c>
      <c r="AV19" s="15">
        <f t="shared" si="25"/>
        <v>1</v>
      </c>
      <c r="AW19" s="15">
        <f t="shared" si="26"/>
        <v>1</v>
      </c>
      <c r="AX19" s="15">
        <f t="shared" si="38"/>
        <v>1</v>
      </c>
      <c r="AY19" s="15">
        <f t="shared" si="27"/>
        <v>1</v>
      </c>
      <c r="AZ19" s="15">
        <f t="shared" si="28"/>
        <v>1</v>
      </c>
      <c r="BA19" s="15">
        <f t="shared" si="29"/>
        <v>1</v>
      </c>
      <c r="BB19" s="15">
        <f t="shared" si="30"/>
        <v>0</v>
      </c>
      <c r="BC19" s="15" t="str">
        <f t="shared" si="31"/>
        <v/>
      </c>
      <c r="BD19" s="15" t="str">
        <f t="shared" si="32"/>
        <v/>
      </c>
      <c r="BE19" s="11" t="e">
        <f t="shared" si="33"/>
        <v>#VALUE!</v>
      </c>
      <c r="BF19" s="11" t="e">
        <f t="shared" si="34"/>
        <v>#VALUE!</v>
      </c>
      <c r="BG19" s="11" t="e">
        <f t="shared" si="35"/>
        <v>#VALUE!</v>
      </c>
      <c r="BH19" t="str">
        <f t="shared" si="36"/>
        <v/>
      </c>
      <c r="BI19" t="str" cm="1">
        <f t="array" ref="BI19">_xlfn.IFS(
  L19&gt;0,"Critical Fail",
  M19&gt;0,"Important (Coaching)",
  TRUE,"Clean Pass"
)</f>
        <v>Clean Pass</v>
      </c>
      <c r="BJ19" t="str">
        <f t="shared" si="37"/>
        <v>NA</v>
      </c>
    </row>
    <row r="20" spans="1:62" x14ac:dyDescent="0.3">
      <c r="A20">
        <v>742409</v>
      </c>
      <c r="K20" t="str">
        <f t="shared" si="0"/>
        <v>Pass</v>
      </c>
      <c r="L20" s="15">
        <f t="shared" si="1"/>
        <v>0</v>
      </c>
      <c r="M20" s="15">
        <f t="shared" si="2"/>
        <v>0</v>
      </c>
      <c r="Z20" s="15">
        <f t="shared" si="3"/>
        <v>1</v>
      </c>
      <c r="AA20" s="15">
        <f t="shared" si="4"/>
        <v>1</v>
      </c>
      <c r="AB20" s="15">
        <f t="shared" si="5"/>
        <v>1</v>
      </c>
      <c r="AC20" s="15">
        <f t="shared" si="6"/>
        <v>1</v>
      </c>
      <c r="AD20" s="15">
        <f t="shared" si="7"/>
        <v>1</v>
      </c>
      <c r="AE20" s="15">
        <f t="shared" si="8"/>
        <v>1</v>
      </c>
      <c r="AF20" s="15">
        <f t="shared" si="9"/>
        <v>1</v>
      </c>
      <c r="AG20" s="15">
        <f t="shared" si="10"/>
        <v>1</v>
      </c>
      <c r="AH20" s="15">
        <f t="shared" si="11"/>
        <v>1</v>
      </c>
      <c r="AI20" s="15">
        <f t="shared" si="12"/>
        <v>1</v>
      </c>
      <c r="AJ20" s="15">
        <f t="shared" si="13"/>
        <v>1</v>
      </c>
      <c r="AK20" s="15">
        <f t="shared" si="14"/>
        <v>1</v>
      </c>
      <c r="AL20" s="15">
        <f t="shared" si="15"/>
        <v>1</v>
      </c>
      <c r="AM20" s="15">
        <f t="shared" si="16"/>
        <v>1</v>
      </c>
      <c r="AN20" s="15">
        <f t="shared" si="17"/>
        <v>1</v>
      </c>
      <c r="AO20" s="15">
        <f t="shared" si="18"/>
        <v>1</v>
      </c>
      <c r="AP20" s="15">
        <f t="shared" si="19"/>
        <v>1</v>
      </c>
      <c r="AQ20" s="15">
        <f t="shared" si="20"/>
        <v>1</v>
      </c>
      <c r="AR20" s="15">
        <f t="shared" si="21"/>
        <v>1</v>
      </c>
      <c r="AS20" s="15">
        <f t="shared" si="22"/>
        <v>1</v>
      </c>
      <c r="AT20" s="15">
        <f t="shared" si="23"/>
        <v>1</v>
      </c>
      <c r="AU20" s="15">
        <f t="shared" si="24"/>
        <v>1</v>
      </c>
      <c r="AV20" s="15">
        <f t="shared" si="25"/>
        <v>1</v>
      </c>
      <c r="AW20" s="15">
        <f t="shared" si="26"/>
        <v>1</v>
      </c>
      <c r="AX20" s="15">
        <f t="shared" si="38"/>
        <v>1</v>
      </c>
      <c r="AY20" s="15">
        <f t="shared" si="27"/>
        <v>1</v>
      </c>
      <c r="AZ20" s="15">
        <f t="shared" si="28"/>
        <v>1</v>
      </c>
      <c r="BA20" s="15">
        <f t="shared" si="29"/>
        <v>1</v>
      </c>
      <c r="BB20" s="15">
        <f t="shared" si="30"/>
        <v>0</v>
      </c>
      <c r="BC20" s="15" t="str">
        <f t="shared" si="31"/>
        <v/>
      </c>
      <c r="BD20" s="15" t="str">
        <f t="shared" si="32"/>
        <v/>
      </c>
      <c r="BE20" s="11" t="e">
        <f t="shared" si="33"/>
        <v>#VALUE!</v>
      </c>
      <c r="BF20" s="11" t="e">
        <f t="shared" si="34"/>
        <v>#VALUE!</v>
      </c>
      <c r="BG20" s="11" t="e">
        <f t="shared" si="35"/>
        <v>#VALUE!</v>
      </c>
      <c r="BH20" t="str">
        <f t="shared" si="36"/>
        <v/>
      </c>
      <c r="BI20" t="str" cm="1">
        <f t="array" ref="BI20">_xlfn.IFS(
  L20&gt;0,"Critical Fail",
  M20&gt;0,"Important (Coaching)",
  TRUE,"Clean Pass"
)</f>
        <v>Clean Pass</v>
      </c>
      <c r="BJ20" t="str">
        <f t="shared" si="37"/>
        <v>NA</v>
      </c>
    </row>
    <row r="21" spans="1:62" x14ac:dyDescent="0.3">
      <c r="A21">
        <v>398784</v>
      </c>
      <c r="K21" t="str">
        <f t="shared" si="0"/>
        <v>Pass</v>
      </c>
      <c r="L21" s="15">
        <f t="shared" si="1"/>
        <v>0</v>
      </c>
      <c r="M21" s="15">
        <f t="shared" si="2"/>
        <v>0</v>
      </c>
      <c r="Z21" s="15">
        <f t="shared" si="3"/>
        <v>1</v>
      </c>
      <c r="AA21" s="15">
        <f t="shared" si="4"/>
        <v>1</v>
      </c>
      <c r="AB21" s="15">
        <f t="shared" si="5"/>
        <v>1</v>
      </c>
      <c r="AC21" s="15">
        <f t="shared" si="6"/>
        <v>1</v>
      </c>
      <c r="AD21" s="15">
        <f t="shared" si="7"/>
        <v>1</v>
      </c>
      <c r="AE21" s="15">
        <f t="shared" si="8"/>
        <v>1</v>
      </c>
      <c r="AF21" s="15">
        <f t="shared" si="9"/>
        <v>1</v>
      </c>
      <c r="AG21" s="15">
        <f t="shared" si="10"/>
        <v>1</v>
      </c>
      <c r="AH21" s="15">
        <f t="shared" si="11"/>
        <v>1</v>
      </c>
      <c r="AI21" s="15">
        <f t="shared" si="12"/>
        <v>1</v>
      </c>
      <c r="AJ21" s="15">
        <f t="shared" si="13"/>
        <v>1</v>
      </c>
      <c r="AK21" s="15">
        <f t="shared" si="14"/>
        <v>1</v>
      </c>
      <c r="AL21" s="15">
        <f t="shared" si="15"/>
        <v>1</v>
      </c>
      <c r="AM21" s="15">
        <f t="shared" si="16"/>
        <v>1</v>
      </c>
      <c r="AN21" s="15">
        <f t="shared" si="17"/>
        <v>1</v>
      </c>
      <c r="AO21" s="15">
        <f t="shared" si="18"/>
        <v>1</v>
      </c>
      <c r="AP21" s="15">
        <f t="shared" si="19"/>
        <v>1</v>
      </c>
      <c r="AQ21" s="15">
        <f t="shared" si="20"/>
        <v>1</v>
      </c>
      <c r="AR21" s="15">
        <f t="shared" si="21"/>
        <v>1</v>
      </c>
      <c r="AS21" s="15">
        <f t="shared" si="22"/>
        <v>1</v>
      </c>
      <c r="AT21" s="15">
        <f t="shared" si="23"/>
        <v>1</v>
      </c>
      <c r="AU21" s="15">
        <f t="shared" si="24"/>
        <v>1</v>
      </c>
      <c r="AV21" s="15">
        <f t="shared" si="25"/>
        <v>1</v>
      </c>
      <c r="AW21" s="15">
        <f t="shared" si="26"/>
        <v>1</v>
      </c>
      <c r="AX21" s="15">
        <f t="shared" si="38"/>
        <v>1</v>
      </c>
      <c r="AY21" s="15">
        <f t="shared" si="27"/>
        <v>1</v>
      </c>
      <c r="AZ21" s="15">
        <f t="shared" si="28"/>
        <v>1</v>
      </c>
      <c r="BA21" s="15">
        <f t="shared" si="29"/>
        <v>1</v>
      </c>
      <c r="BB21" s="15">
        <f t="shared" si="30"/>
        <v>0</v>
      </c>
      <c r="BC21" s="15" t="str">
        <f t="shared" si="31"/>
        <v/>
      </c>
      <c r="BD21" s="15" t="str">
        <f t="shared" si="32"/>
        <v/>
      </c>
      <c r="BE21" s="11" t="e">
        <f t="shared" si="33"/>
        <v>#VALUE!</v>
      </c>
      <c r="BF21" s="11" t="e">
        <f t="shared" si="34"/>
        <v>#VALUE!</v>
      </c>
      <c r="BG21" s="11" t="e">
        <f t="shared" si="35"/>
        <v>#VALUE!</v>
      </c>
      <c r="BH21" t="str">
        <f t="shared" si="36"/>
        <v/>
      </c>
      <c r="BI21" t="str" cm="1">
        <f t="array" ref="BI21">_xlfn.IFS(
  L21&gt;0,"Critical Fail",
  M21&gt;0,"Important (Coaching)",
  TRUE,"Clean Pass"
)</f>
        <v>Clean Pass</v>
      </c>
      <c r="BJ21" t="str">
        <f t="shared" si="37"/>
        <v>NA</v>
      </c>
    </row>
    <row r="22" spans="1:62" x14ac:dyDescent="0.3">
      <c r="A22">
        <v>232101</v>
      </c>
      <c r="K22" t="str">
        <f t="shared" si="0"/>
        <v>Pass</v>
      </c>
      <c r="L22" s="15">
        <f t="shared" si="1"/>
        <v>0</v>
      </c>
      <c r="M22" s="15">
        <f t="shared" si="2"/>
        <v>0</v>
      </c>
      <c r="Z22" s="15">
        <f t="shared" si="3"/>
        <v>1</v>
      </c>
      <c r="AA22" s="15">
        <f t="shared" si="4"/>
        <v>1</v>
      </c>
      <c r="AB22" s="15">
        <f t="shared" si="5"/>
        <v>1</v>
      </c>
      <c r="AC22" s="15">
        <f t="shared" si="6"/>
        <v>1</v>
      </c>
      <c r="AD22" s="15">
        <f t="shared" si="7"/>
        <v>1</v>
      </c>
      <c r="AE22" s="15">
        <f t="shared" si="8"/>
        <v>1</v>
      </c>
      <c r="AF22" s="15">
        <f t="shared" si="9"/>
        <v>1</v>
      </c>
      <c r="AG22" s="15">
        <f t="shared" si="10"/>
        <v>1</v>
      </c>
      <c r="AH22" s="15">
        <f t="shared" si="11"/>
        <v>1</v>
      </c>
      <c r="AI22" s="15">
        <f t="shared" si="12"/>
        <v>1</v>
      </c>
      <c r="AJ22" s="15">
        <f t="shared" si="13"/>
        <v>1</v>
      </c>
      <c r="AK22" s="15">
        <f t="shared" si="14"/>
        <v>1</v>
      </c>
      <c r="AL22" s="15">
        <f t="shared" si="15"/>
        <v>1</v>
      </c>
      <c r="AM22" s="15">
        <f t="shared" si="16"/>
        <v>1</v>
      </c>
      <c r="AN22" s="15">
        <f t="shared" si="17"/>
        <v>1</v>
      </c>
      <c r="AO22" s="15">
        <f t="shared" si="18"/>
        <v>1</v>
      </c>
      <c r="AP22" s="15">
        <f t="shared" si="19"/>
        <v>1</v>
      </c>
      <c r="AQ22" s="15">
        <f t="shared" si="20"/>
        <v>1</v>
      </c>
      <c r="AR22" s="15">
        <f t="shared" si="21"/>
        <v>1</v>
      </c>
      <c r="AS22" s="15">
        <f t="shared" si="22"/>
        <v>1</v>
      </c>
      <c r="AT22" s="15">
        <f t="shared" si="23"/>
        <v>1</v>
      </c>
      <c r="AU22" s="15">
        <f t="shared" si="24"/>
        <v>1</v>
      </c>
      <c r="AV22" s="15">
        <f t="shared" si="25"/>
        <v>1</v>
      </c>
      <c r="AW22" s="15">
        <f t="shared" si="26"/>
        <v>1</v>
      </c>
      <c r="AX22" s="15">
        <f t="shared" si="38"/>
        <v>1</v>
      </c>
      <c r="AY22" s="15">
        <f t="shared" si="27"/>
        <v>1</v>
      </c>
      <c r="AZ22" s="15">
        <f t="shared" si="28"/>
        <v>1</v>
      </c>
      <c r="BA22" s="15">
        <f t="shared" si="29"/>
        <v>1</v>
      </c>
      <c r="BB22" s="15">
        <f t="shared" si="30"/>
        <v>0</v>
      </c>
      <c r="BC22" s="15" t="str">
        <f t="shared" si="31"/>
        <v/>
      </c>
      <c r="BD22" s="15" t="str">
        <f t="shared" si="32"/>
        <v/>
      </c>
      <c r="BE22" s="11" t="e">
        <f t="shared" si="33"/>
        <v>#VALUE!</v>
      </c>
      <c r="BF22" s="11" t="e">
        <f t="shared" si="34"/>
        <v>#VALUE!</v>
      </c>
      <c r="BG22" s="11" t="e">
        <f t="shared" si="35"/>
        <v>#VALUE!</v>
      </c>
      <c r="BH22" t="str">
        <f t="shared" si="36"/>
        <v/>
      </c>
      <c r="BI22" t="str" cm="1">
        <f t="array" ref="BI22">_xlfn.IFS(
  L22&gt;0,"Critical Fail",
  M22&gt;0,"Important (Coaching)",
  TRUE,"Clean Pass"
)</f>
        <v>Clean Pass</v>
      </c>
      <c r="BJ22" t="str">
        <f t="shared" si="37"/>
        <v>NA</v>
      </c>
    </row>
    <row r="23" spans="1:62" x14ac:dyDescent="0.3">
      <c r="A23">
        <v>725884</v>
      </c>
      <c r="K23" t="str">
        <f t="shared" si="0"/>
        <v>Pass</v>
      </c>
      <c r="L23" s="15">
        <f t="shared" si="1"/>
        <v>0</v>
      </c>
      <c r="M23" s="15">
        <f t="shared" si="2"/>
        <v>0</v>
      </c>
      <c r="Z23" s="15">
        <f t="shared" si="3"/>
        <v>1</v>
      </c>
      <c r="AA23" s="15">
        <f t="shared" si="4"/>
        <v>1</v>
      </c>
      <c r="AB23" s="15">
        <f t="shared" si="5"/>
        <v>1</v>
      </c>
      <c r="AC23" s="15">
        <f t="shared" si="6"/>
        <v>1</v>
      </c>
      <c r="AD23" s="15">
        <f t="shared" si="7"/>
        <v>1</v>
      </c>
      <c r="AE23" s="15">
        <f t="shared" si="8"/>
        <v>1</v>
      </c>
      <c r="AF23" s="15">
        <f t="shared" si="9"/>
        <v>1</v>
      </c>
      <c r="AG23" s="15">
        <f t="shared" si="10"/>
        <v>1</v>
      </c>
      <c r="AH23" s="15">
        <f t="shared" si="11"/>
        <v>1</v>
      </c>
      <c r="AI23" s="15">
        <f t="shared" si="12"/>
        <v>1</v>
      </c>
      <c r="AJ23" s="15">
        <f t="shared" si="13"/>
        <v>1</v>
      </c>
      <c r="AK23" s="15">
        <f t="shared" si="14"/>
        <v>1</v>
      </c>
      <c r="AL23" s="15">
        <f t="shared" si="15"/>
        <v>1</v>
      </c>
      <c r="AM23" s="15">
        <f t="shared" si="16"/>
        <v>1</v>
      </c>
      <c r="AN23" s="15">
        <f t="shared" si="17"/>
        <v>1</v>
      </c>
      <c r="AO23" s="15">
        <f t="shared" si="18"/>
        <v>1</v>
      </c>
      <c r="AP23" s="15">
        <f t="shared" si="19"/>
        <v>1</v>
      </c>
      <c r="AQ23" s="15">
        <f t="shared" si="20"/>
        <v>1</v>
      </c>
      <c r="AR23" s="15">
        <f t="shared" si="21"/>
        <v>1</v>
      </c>
      <c r="AS23" s="15">
        <f t="shared" si="22"/>
        <v>1</v>
      </c>
      <c r="AT23" s="15">
        <f t="shared" si="23"/>
        <v>1</v>
      </c>
      <c r="AU23" s="15">
        <f t="shared" si="24"/>
        <v>1</v>
      </c>
      <c r="AV23" s="15">
        <f t="shared" si="25"/>
        <v>1</v>
      </c>
      <c r="AW23" s="15">
        <f t="shared" si="26"/>
        <v>1</v>
      </c>
      <c r="AX23" s="15">
        <f t="shared" si="38"/>
        <v>1</v>
      </c>
      <c r="AY23" s="15">
        <f t="shared" si="27"/>
        <v>1</v>
      </c>
      <c r="AZ23" s="15">
        <f t="shared" si="28"/>
        <v>1</v>
      </c>
      <c r="BA23" s="15">
        <f t="shared" si="29"/>
        <v>1</v>
      </c>
      <c r="BB23" s="15">
        <f t="shared" si="30"/>
        <v>0</v>
      </c>
      <c r="BC23" s="15" t="str">
        <f t="shared" si="31"/>
        <v/>
      </c>
      <c r="BD23" s="15" t="str">
        <f t="shared" si="32"/>
        <v/>
      </c>
      <c r="BE23" s="11" t="e">
        <f t="shared" si="33"/>
        <v>#VALUE!</v>
      </c>
      <c r="BF23" s="11" t="e">
        <f t="shared" si="34"/>
        <v>#VALUE!</v>
      </c>
      <c r="BG23" s="11" t="e">
        <f t="shared" si="35"/>
        <v>#VALUE!</v>
      </c>
      <c r="BH23" t="str">
        <f t="shared" si="36"/>
        <v/>
      </c>
      <c r="BI23" t="str" cm="1">
        <f t="array" ref="BI23">_xlfn.IFS(
  L23&gt;0,"Critical Fail",
  M23&gt;0,"Important (Coaching)",
  TRUE,"Clean Pass"
)</f>
        <v>Clean Pass</v>
      </c>
      <c r="BJ23" t="str">
        <f t="shared" si="37"/>
        <v>NA</v>
      </c>
    </row>
    <row r="24" spans="1:62" x14ac:dyDescent="0.3">
      <c r="A24">
        <v>216402</v>
      </c>
      <c r="K24" t="str">
        <f t="shared" si="0"/>
        <v>Pass</v>
      </c>
      <c r="L24" s="15">
        <f t="shared" si="1"/>
        <v>0</v>
      </c>
      <c r="M24" s="15">
        <f t="shared" si="2"/>
        <v>0</v>
      </c>
      <c r="Z24" s="15">
        <f t="shared" si="3"/>
        <v>1</v>
      </c>
      <c r="AA24" s="15">
        <f t="shared" si="4"/>
        <v>1</v>
      </c>
      <c r="AB24" s="15">
        <f t="shared" si="5"/>
        <v>1</v>
      </c>
      <c r="AC24" s="15">
        <f t="shared" si="6"/>
        <v>1</v>
      </c>
      <c r="AD24" s="15">
        <f t="shared" si="7"/>
        <v>1</v>
      </c>
      <c r="AE24" s="15">
        <f t="shared" si="8"/>
        <v>1</v>
      </c>
      <c r="AF24" s="15">
        <f t="shared" si="9"/>
        <v>1</v>
      </c>
      <c r="AG24" s="15">
        <f t="shared" si="10"/>
        <v>1</v>
      </c>
      <c r="AH24" s="15">
        <f t="shared" si="11"/>
        <v>1</v>
      </c>
      <c r="AI24" s="15">
        <f t="shared" si="12"/>
        <v>1</v>
      </c>
      <c r="AJ24" s="15">
        <f t="shared" si="13"/>
        <v>1</v>
      </c>
      <c r="AK24" s="15">
        <f t="shared" si="14"/>
        <v>1</v>
      </c>
      <c r="AL24" s="15">
        <f t="shared" si="15"/>
        <v>1</v>
      </c>
      <c r="AM24" s="15">
        <f t="shared" si="16"/>
        <v>1</v>
      </c>
      <c r="AN24" s="15">
        <f t="shared" si="17"/>
        <v>1</v>
      </c>
      <c r="AO24" s="15">
        <f t="shared" si="18"/>
        <v>1</v>
      </c>
      <c r="AP24" s="15">
        <f t="shared" si="19"/>
        <v>1</v>
      </c>
      <c r="AQ24" s="15">
        <f t="shared" si="20"/>
        <v>1</v>
      </c>
      <c r="AR24" s="15">
        <f t="shared" si="21"/>
        <v>1</v>
      </c>
      <c r="AS24" s="15">
        <f t="shared" si="22"/>
        <v>1</v>
      </c>
      <c r="AT24" s="15">
        <f t="shared" si="23"/>
        <v>1</v>
      </c>
      <c r="AU24" s="15">
        <f t="shared" si="24"/>
        <v>1</v>
      </c>
      <c r="AV24" s="15">
        <f t="shared" si="25"/>
        <v>1</v>
      </c>
      <c r="AW24" s="15">
        <f t="shared" si="26"/>
        <v>1</v>
      </c>
      <c r="AX24" s="15">
        <f t="shared" si="38"/>
        <v>1</v>
      </c>
      <c r="AY24" s="15">
        <f t="shared" si="27"/>
        <v>1</v>
      </c>
      <c r="AZ24" s="15">
        <f t="shared" si="28"/>
        <v>1</v>
      </c>
      <c r="BA24" s="15">
        <f t="shared" si="29"/>
        <v>1</v>
      </c>
      <c r="BB24" s="15">
        <f t="shared" si="30"/>
        <v>0</v>
      </c>
      <c r="BC24" s="15" t="str">
        <f t="shared" si="31"/>
        <v/>
      </c>
      <c r="BD24" s="15" t="str">
        <f t="shared" si="32"/>
        <v/>
      </c>
      <c r="BE24" s="11" t="e">
        <f t="shared" si="33"/>
        <v>#VALUE!</v>
      </c>
      <c r="BF24" s="11" t="e">
        <f t="shared" si="34"/>
        <v>#VALUE!</v>
      </c>
      <c r="BG24" s="11" t="e">
        <f t="shared" si="35"/>
        <v>#VALUE!</v>
      </c>
      <c r="BH24" t="str">
        <f t="shared" si="36"/>
        <v/>
      </c>
      <c r="BI24" t="str" cm="1">
        <f t="array" ref="BI24">_xlfn.IFS(
  L24&gt;0,"Critical Fail",
  M24&gt;0,"Important (Coaching)",
  TRUE,"Clean Pass"
)</f>
        <v>Clean Pass</v>
      </c>
      <c r="BJ24" t="str">
        <f t="shared" si="37"/>
        <v>NA</v>
      </c>
    </row>
    <row r="25" spans="1:62" x14ac:dyDescent="0.3">
      <c r="A25">
        <v>185978</v>
      </c>
      <c r="K25" t="str">
        <f t="shared" si="0"/>
        <v>Pass</v>
      </c>
      <c r="L25" s="15">
        <f t="shared" si="1"/>
        <v>0</v>
      </c>
      <c r="M25" s="15">
        <f t="shared" si="2"/>
        <v>0</v>
      </c>
      <c r="Z25" s="15">
        <f t="shared" si="3"/>
        <v>1</v>
      </c>
      <c r="AA25" s="15">
        <f t="shared" si="4"/>
        <v>1</v>
      </c>
      <c r="AB25" s="15">
        <f t="shared" si="5"/>
        <v>1</v>
      </c>
      <c r="AC25" s="15">
        <f t="shared" si="6"/>
        <v>1</v>
      </c>
      <c r="AD25" s="15">
        <f t="shared" si="7"/>
        <v>1</v>
      </c>
      <c r="AE25" s="15">
        <f t="shared" si="8"/>
        <v>1</v>
      </c>
      <c r="AF25" s="15">
        <f t="shared" si="9"/>
        <v>1</v>
      </c>
      <c r="AG25" s="15">
        <f t="shared" si="10"/>
        <v>1</v>
      </c>
      <c r="AH25" s="15">
        <f t="shared" si="11"/>
        <v>1</v>
      </c>
      <c r="AI25" s="15">
        <f t="shared" si="12"/>
        <v>1</v>
      </c>
      <c r="AJ25" s="15">
        <f t="shared" si="13"/>
        <v>1</v>
      </c>
      <c r="AK25" s="15">
        <f t="shared" si="14"/>
        <v>1</v>
      </c>
      <c r="AL25" s="15">
        <f t="shared" si="15"/>
        <v>1</v>
      </c>
      <c r="AM25" s="15">
        <f t="shared" si="16"/>
        <v>1</v>
      </c>
      <c r="AN25" s="15">
        <f t="shared" si="17"/>
        <v>1</v>
      </c>
      <c r="AO25" s="15">
        <f t="shared" si="18"/>
        <v>1</v>
      </c>
      <c r="AP25" s="15">
        <f t="shared" si="19"/>
        <v>1</v>
      </c>
      <c r="AQ25" s="15">
        <f t="shared" si="20"/>
        <v>1</v>
      </c>
      <c r="AR25" s="15">
        <f t="shared" si="21"/>
        <v>1</v>
      </c>
      <c r="AS25" s="15">
        <f t="shared" si="22"/>
        <v>1</v>
      </c>
      <c r="AT25" s="15">
        <f t="shared" si="23"/>
        <v>1</v>
      </c>
      <c r="AU25" s="15">
        <f t="shared" si="24"/>
        <v>1</v>
      </c>
      <c r="AV25" s="15">
        <f t="shared" si="25"/>
        <v>1</v>
      </c>
      <c r="AW25" s="15">
        <f t="shared" si="26"/>
        <v>1</v>
      </c>
      <c r="AX25" s="15">
        <f t="shared" si="38"/>
        <v>1</v>
      </c>
      <c r="AY25" s="15">
        <f t="shared" si="27"/>
        <v>1</v>
      </c>
      <c r="AZ25" s="15">
        <f t="shared" si="28"/>
        <v>1</v>
      </c>
      <c r="BA25" s="15">
        <f t="shared" si="29"/>
        <v>1</v>
      </c>
      <c r="BB25" s="15">
        <f t="shared" si="30"/>
        <v>0</v>
      </c>
      <c r="BC25" s="15" t="str">
        <f t="shared" si="31"/>
        <v/>
      </c>
      <c r="BD25" s="15" t="str">
        <f t="shared" si="32"/>
        <v/>
      </c>
      <c r="BE25" s="11" t="e">
        <f t="shared" si="33"/>
        <v>#VALUE!</v>
      </c>
      <c r="BF25" s="11" t="e">
        <f t="shared" si="34"/>
        <v>#VALUE!</v>
      </c>
      <c r="BG25" s="11" t="e">
        <f t="shared" si="35"/>
        <v>#VALUE!</v>
      </c>
      <c r="BH25" t="str">
        <f t="shared" si="36"/>
        <v/>
      </c>
      <c r="BI25" t="str" cm="1">
        <f t="array" ref="BI25">_xlfn.IFS(
  L25&gt;0,"Critical Fail",
  M25&gt;0,"Important (Coaching)",
  TRUE,"Clean Pass"
)</f>
        <v>Clean Pass</v>
      </c>
      <c r="BJ25" t="str">
        <f t="shared" si="37"/>
        <v>NA</v>
      </c>
    </row>
    <row r="26" spans="1:62" x14ac:dyDescent="0.3">
      <c r="A26">
        <v>686647</v>
      </c>
      <c r="K26" t="str">
        <f t="shared" si="0"/>
        <v>Pass</v>
      </c>
      <c r="L26" s="15">
        <f t="shared" si="1"/>
        <v>0</v>
      </c>
      <c r="M26" s="15">
        <f t="shared" si="2"/>
        <v>0</v>
      </c>
      <c r="Z26" s="15">
        <f t="shared" si="3"/>
        <v>1</v>
      </c>
      <c r="AA26" s="15">
        <f t="shared" si="4"/>
        <v>1</v>
      </c>
      <c r="AB26" s="15">
        <f t="shared" si="5"/>
        <v>1</v>
      </c>
      <c r="AC26" s="15">
        <f t="shared" si="6"/>
        <v>1</v>
      </c>
      <c r="AD26" s="15">
        <f t="shared" si="7"/>
        <v>1</v>
      </c>
      <c r="AE26" s="15">
        <f t="shared" si="8"/>
        <v>1</v>
      </c>
      <c r="AF26" s="15">
        <f t="shared" si="9"/>
        <v>1</v>
      </c>
      <c r="AG26" s="15">
        <f t="shared" si="10"/>
        <v>1</v>
      </c>
      <c r="AH26" s="15">
        <f t="shared" si="11"/>
        <v>1</v>
      </c>
      <c r="AI26" s="15">
        <f t="shared" si="12"/>
        <v>1</v>
      </c>
      <c r="AJ26" s="15">
        <f t="shared" si="13"/>
        <v>1</v>
      </c>
      <c r="AK26" s="15">
        <f t="shared" si="14"/>
        <v>1</v>
      </c>
      <c r="AL26" s="15">
        <f t="shared" si="15"/>
        <v>1</v>
      </c>
      <c r="AM26" s="15">
        <f t="shared" si="16"/>
        <v>1</v>
      </c>
      <c r="AN26" s="15">
        <f t="shared" si="17"/>
        <v>1</v>
      </c>
      <c r="AO26" s="15">
        <f t="shared" si="18"/>
        <v>1</v>
      </c>
      <c r="AP26" s="15">
        <f t="shared" si="19"/>
        <v>1</v>
      </c>
      <c r="AQ26" s="15">
        <f t="shared" si="20"/>
        <v>1</v>
      </c>
      <c r="AR26" s="15">
        <f t="shared" si="21"/>
        <v>1</v>
      </c>
      <c r="AS26" s="15">
        <f t="shared" si="22"/>
        <v>1</v>
      </c>
      <c r="AT26" s="15">
        <f t="shared" si="23"/>
        <v>1</v>
      </c>
      <c r="AU26" s="15">
        <f t="shared" si="24"/>
        <v>1</v>
      </c>
      <c r="AV26" s="15">
        <f t="shared" si="25"/>
        <v>1</v>
      </c>
      <c r="AW26" s="15">
        <f t="shared" si="26"/>
        <v>1</v>
      </c>
      <c r="AX26" s="15">
        <f t="shared" si="38"/>
        <v>1</v>
      </c>
      <c r="AY26" s="15">
        <f t="shared" si="27"/>
        <v>1</v>
      </c>
      <c r="AZ26" s="15">
        <f t="shared" si="28"/>
        <v>1</v>
      </c>
      <c r="BA26" s="15">
        <f t="shared" si="29"/>
        <v>1</v>
      </c>
      <c r="BB26" s="15">
        <f t="shared" si="30"/>
        <v>0</v>
      </c>
      <c r="BC26" s="15" t="str">
        <f t="shared" si="31"/>
        <v/>
      </c>
      <c r="BD26" s="15" t="str">
        <f t="shared" si="32"/>
        <v/>
      </c>
      <c r="BE26" s="11" t="e">
        <f t="shared" si="33"/>
        <v>#VALUE!</v>
      </c>
      <c r="BF26" s="11" t="e">
        <f t="shared" si="34"/>
        <v>#VALUE!</v>
      </c>
      <c r="BG26" s="11" t="e">
        <f t="shared" si="35"/>
        <v>#VALUE!</v>
      </c>
      <c r="BH26" t="str">
        <f t="shared" si="36"/>
        <v/>
      </c>
      <c r="BI26" t="str" cm="1">
        <f t="array" ref="BI26">_xlfn.IFS(
  L26&gt;0,"Critical Fail",
  M26&gt;0,"Important (Coaching)",
  TRUE,"Clean Pass"
)</f>
        <v>Clean Pass</v>
      </c>
      <c r="BJ26" t="str">
        <f t="shared" si="37"/>
        <v>NA</v>
      </c>
    </row>
    <row r="27" spans="1:62" x14ac:dyDescent="0.3">
      <c r="A27">
        <v>361220</v>
      </c>
      <c r="K27" t="str">
        <f t="shared" si="0"/>
        <v>Pass</v>
      </c>
      <c r="L27" s="15">
        <f t="shared" si="1"/>
        <v>0</v>
      </c>
      <c r="M27" s="15">
        <f t="shared" si="2"/>
        <v>0</v>
      </c>
      <c r="Z27" s="15">
        <f t="shared" si="3"/>
        <v>1</v>
      </c>
      <c r="AA27" s="15">
        <f t="shared" si="4"/>
        <v>1</v>
      </c>
      <c r="AB27" s="15">
        <f t="shared" si="5"/>
        <v>1</v>
      </c>
      <c r="AC27" s="15">
        <f t="shared" si="6"/>
        <v>1</v>
      </c>
      <c r="AD27" s="15">
        <f t="shared" si="7"/>
        <v>1</v>
      </c>
      <c r="AE27" s="15">
        <f t="shared" si="8"/>
        <v>1</v>
      </c>
      <c r="AF27" s="15">
        <f t="shared" si="9"/>
        <v>1</v>
      </c>
      <c r="AG27" s="15">
        <f t="shared" si="10"/>
        <v>1</v>
      </c>
      <c r="AH27" s="15">
        <f t="shared" si="11"/>
        <v>1</v>
      </c>
      <c r="AI27" s="15">
        <f t="shared" si="12"/>
        <v>1</v>
      </c>
      <c r="AJ27" s="15">
        <f t="shared" si="13"/>
        <v>1</v>
      </c>
      <c r="AK27" s="15">
        <f t="shared" si="14"/>
        <v>1</v>
      </c>
      <c r="AL27" s="15">
        <f t="shared" si="15"/>
        <v>1</v>
      </c>
      <c r="AM27" s="15">
        <f t="shared" si="16"/>
        <v>1</v>
      </c>
      <c r="AN27" s="15">
        <f t="shared" si="17"/>
        <v>1</v>
      </c>
      <c r="AO27" s="15">
        <f t="shared" si="18"/>
        <v>1</v>
      </c>
      <c r="AP27" s="15">
        <f t="shared" si="19"/>
        <v>1</v>
      </c>
      <c r="AQ27" s="15">
        <f t="shared" si="20"/>
        <v>1</v>
      </c>
      <c r="AR27" s="15">
        <f t="shared" si="21"/>
        <v>1</v>
      </c>
      <c r="AS27" s="15">
        <f t="shared" si="22"/>
        <v>1</v>
      </c>
      <c r="AT27" s="15">
        <f t="shared" si="23"/>
        <v>1</v>
      </c>
      <c r="AU27" s="15">
        <f t="shared" si="24"/>
        <v>1</v>
      </c>
      <c r="AV27" s="15">
        <f t="shared" si="25"/>
        <v>1</v>
      </c>
      <c r="AW27" s="15">
        <f t="shared" si="26"/>
        <v>1</v>
      </c>
      <c r="AX27" s="15">
        <f t="shared" si="38"/>
        <v>1</v>
      </c>
      <c r="AY27" s="15">
        <f t="shared" si="27"/>
        <v>1</v>
      </c>
      <c r="AZ27" s="15">
        <f t="shared" si="28"/>
        <v>1</v>
      </c>
      <c r="BA27" s="15">
        <f t="shared" si="29"/>
        <v>1</v>
      </c>
      <c r="BB27" s="15">
        <f t="shared" si="30"/>
        <v>0</v>
      </c>
      <c r="BC27" s="15" t="str">
        <f t="shared" si="31"/>
        <v/>
      </c>
      <c r="BD27" s="15" t="str">
        <f t="shared" si="32"/>
        <v/>
      </c>
      <c r="BE27" s="11" t="e">
        <f t="shared" si="33"/>
        <v>#VALUE!</v>
      </c>
      <c r="BF27" s="11" t="e">
        <f t="shared" si="34"/>
        <v>#VALUE!</v>
      </c>
      <c r="BG27" s="11" t="e">
        <f t="shared" si="35"/>
        <v>#VALUE!</v>
      </c>
      <c r="BH27" t="str">
        <f t="shared" si="36"/>
        <v/>
      </c>
      <c r="BI27" t="str" cm="1">
        <f t="array" ref="BI27">_xlfn.IFS(
  L27&gt;0,"Critical Fail",
  M27&gt;0,"Important (Coaching)",
  TRUE,"Clean Pass"
)</f>
        <v>Clean Pass</v>
      </c>
      <c r="BJ27" t="str">
        <f t="shared" si="37"/>
        <v>NA</v>
      </c>
    </row>
    <row r="28" spans="1:62" x14ac:dyDescent="0.3">
      <c r="A28">
        <v>232773</v>
      </c>
      <c r="K28" t="str">
        <f t="shared" si="0"/>
        <v>Pass</v>
      </c>
      <c r="L28" s="15">
        <f t="shared" si="1"/>
        <v>0</v>
      </c>
      <c r="M28" s="15">
        <f t="shared" si="2"/>
        <v>0</v>
      </c>
      <c r="Z28" s="15">
        <f t="shared" si="3"/>
        <v>1</v>
      </c>
      <c r="AA28" s="15">
        <f t="shared" si="4"/>
        <v>1</v>
      </c>
      <c r="AB28" s="15">
        <f t="shared" si="5"/>
        <v>1</v>
      </c>
      <c r="AC28" s="15">
        <f t="shared" si="6"/>
        <v>1</v>
      </c>
      <c r="AD28" s="15">
        <f t="shared" si="7"/>
        <v>1</v>
      </c>
      <c r="AE28" s="15">
        <f t="shared" si="8"/>
        <v>1</v>
      </c>
      <c r="AF28" s="15">
        <f t="shared" si="9"/>
        <v>1</v>
      </c>
      <c r="AG28" s="15">
        <f t="shared" si="10"/>
        <v>1</v>
      </c>
      <c r="AH28" s="15">
        <f t="shared" si="11"/>
        <v>1</v>
      </c>
      <c r="AI28" s="15">
        <f t="shared" si="12"/>
        <v>1</v>
      </c>
      <c r="AJ28" s="15">
        <f t="shared" si="13"/>
        <v>1</v>
      </c>
      <c r="AK28" s="15">
        <f t="shared" si="14"/>
        <v>1</v>
      </c>
      <c r="AL28" s="15">
        <f t="shared" si="15"/>
        <v>1</v>
      </c>
      <c r="AM28" s="15">
        <f t="shared" si="16"/>
        <v>1</v>
      </c>
      <c r="AN28" s="15">
        <f t="shared" si="17"/>
        <v>1</v>
      </c>
      <c r="AO28" s="15">
        <f t="shared" si="18"/>
        <v>1</v>
      </c>
      <c r="AP28" s="15">
        <f t="shared" si="19"/>
        <v>1</v>
      </c>
      <c r="AQ28" s="15">
        <f t="shared" si="20"/>
        <v>1</v>
      </c>
      <c r="AR28" s="15">
        <f t="shared" si="21"/>
        <v>1</v>
      </c>
      <c r="AS28" s="15">
        <f t="shared" si="22"/>
        <v>1</v>
      </c>
      <c r="AT28" s="15">
        <f t="shared" si="23"/>
        <v>1</v>
      </c>
      <c r="AU28" s="15">
        <f t="shared" si="24"/>
        <v>1</v>
      </c>
      <c r="AV28" s="15">
        <f t="shared" si="25"/>
        <v>1</v>
      </c>
      <c r="AW28" s="15">
        <f t="shared" si="26"/>
        <v>1</v>
      </c>
      <c r="AX28" s="15">
        <f t="shared" si="38"/>
        <v>1</v>
      </c>
      <c r="AY28" s="15">
        <f t="shared" si="27"/>
        <v>1</v>
      </c>
      <c r="AZ28" s="15">
        <f t="shared" si="28"/>
        <v>1</v>
      </c>
      <c r="BA28" s="15">
        <f t="shared" si="29"/>
        <v>1</v>
      </c>
      <c r="BB28" s="15">
        <f t="shared" si="30"/>
        <v>0</v>
      </c>
      <c r="BC28" s="15" t="str">
        <f t="shared" si="31"/>
        <v/>
      </c>
      <c r="BD28" s="15" t="str">
        <f t="shared" si="32"/>
        <v/>
      </c>
      <c r="BE28" s="11" t="e">
        <f t="shared" si="33"/>
        <v>#VALUE!</v>
      </c>
      <c r="BF28" s="11" t="e">
        <f t="shared" si="34"/>
        <v>#VALUE!</v>
      </c>
      <c r="BG28" s="11" t="e">
        <f t="shared" si="35"/>
        <v>#VALUE!</v>
      </c>
      <c r="BH28" t="str">
        <f t="shared" si="36"/>
        <v/>
      </c>
      <c r="BI28" t="str" cm="1">
        <f t="array" ref="BI28">_xlfn.IFS(
  L28&gt;0,"Critical Fail",
  M28&gt;0,"Important (Coaching)",
  TRUE,"Clean Pass"
)</f>
        <v>Clean Pass</v>
      </c>
      <c r="BJ28" t="str">
        <f t="shared" si="37"/>
        <v>NA</v>
      </c>
    </row>
    <row r="29" spans="1:62" x14ac:dyDescent="0.3">
      <c r="A29">
        <v>178034</v>
      </c>
      <c r="K29" t="str">
        <f t="shared" si="0"/>
        <v>Pass</v>
      </c>
      <c r="L29" s="15">
        <f t="shared" si="1"/>
        <v>0</v>
      </c>
      <c r="M29" s="15">
        <f t="shared" si="2"/>
        <v>0</v>
      </c>
      <c r="Z29" s="15">
        <f t="shared" si="3"/>
        <v>1</v>
      </c>
      <c r="AA29" s="15">
        <f t="shared" si="4"/>
        <v>1</v>
      </c>
      <c r="AB29" s="15">
        <f t="shared" si="5"/>
        <v>1</v>
      </c>
      <c r="AC29" s="15">
        <f t="shared" si="6"/>
        <v>1</v>
      </c>
      <c r="AD29" s="15">
        <f t="shared" si="7"/>
        <v>1</v>
      </c>
      <c r="AE29" s="15">
        <f t="shared" si="8"/>
        <v>1</v>
      </c>
      <c r="AF29" s="15">
        <f t="shared" si="9"/>
        <v>1</v>
      </c>
      <c r="AG29" s="15">
        <f t="shared" si="10"/>
        <v>1</v>
      </c>
      <c r="AH29" s="15">
        <f t="shared" si="11"/>
        <v>1</v>
      </c>
      <c r="AI29" s="15">
        <f t="shared" si="12"/>
        <v>1</v>
      </c>
      <c r="AJ29" s="15">
        <f t="shared" si="13"/>
        <v>1</v>
      </c>
      <c r="AK29" s="15">
        <f t="shared" si="14"/>
        <v>1</v>
      </c>
      <c r="AL29" s="15">
        <f t="shared" si="15"/>
        <v>1</v>
      </c>
      <c r="AM29" s="15">
        <f t="shared" si="16"/>
        <v>1</v>
      </c>
      <c r="AN29" s="15">
        <f t="shared" si="17"/>
        <v>1</v>
      </c>
      <c r="AO29" s="15">
        <f t="shared" si="18"/>
        <v>1</v>
      </c>
      <c r="AP29" s="15">
        <f t="shared" si="19"/>
        <v>1</v>
      </c>
      <c r="AQ29" s="15">
        <f t="shared" si="20"/>
        <v>1</v>
      </c>
      <c r="AR29" s="15">
        <f t="shared" si="21"/>
        <v>1</v>
      </c>
      <c r="AS29" s="15">
        <f t="shared" si="22"/>
        <v>1</v>
      </c>
      <c r="AT29" s="15">
        <f t="shared" si="23"/>
        <v>1</v>
      </c>
      <c r="AU29" s="15">
        <f t="shared" si="24"/>
        <v>1</v>
      </c>
      <c r="AV29" s="15">
        <f t="shared" si="25"/>
        <v>1</v>
      </c>
      <c r="AW29" s="15">
        <f t="shared" si="26"/>
        <v>1</v>
      </c>
      <c r="AX29" s="15">
        <f t="shared" si="38"/>
        <v>1</v>
      </c>
      <c r="AY29" s="15">
        <f t="shared" si="27"/>
        <v>1</v>
      </c>
      <c r="AZ29" s="15">
        <f t="shared" si="28"/>
        <v>1</v>
      </c>
      <c r="BA29" s="15">
        <f t="shared" si="29"/>
        <v>1</v>
      </c>
      <c r="BB29" s="15">
        <f t="shared" si="30"/>
        <v>0</v>
      </c>
      <c r="BC29" s="15" t="str">
        <f t="shared" si="31"/>
        <v/>
      </c>
      <c r="BD29" s="15" t="str">
        <f t="shared" si="32"/>
        <v/>
      </c>
      <c r="BE29" s="11" t="e">
        <f t="shared" si="33"/>
        <v>#VALUE!</v>
      </c>
      <c r="BF29" s="11" t="e">
        <f t="shared" si="34"/>
        <v>#VALUE!</v>
      </c>
      <c r="BG29" s="11" t="e">
        <f t="shared" si="35"/>
        <v>#VALUE!</v>
      </c>
      <c r="BH29" t="str">
        <f t="shared" si="36"/>
        <v/>
      </c>
      <c r="BI29" t="str" cm="1">
        <f t="array" ref="BI29">_xlfn.IFS(
  L29&gt;0,"Critical Fail",
  M29&gt;0,"Important (Coaching)",
  TRUE,"Clean Pass"
)</f>
        <v>Clean Pass</v>
      </c>
      <c r="BJ29" t="str">
        <f t="shared" si="37"/>
        <v>NA</v>
      </c>
    </row>
    <row r="30" spans="1:62" x14ac:dyDescent="0.3">
      <c r="A30">
        <v>840939</v>
      </c>
      <c r="K30" t="str">
        <f t="shared" si="0"/>
        <v>Pass</v>
      </c>
      <c r="L30" s="15">
        <f t="shared" si="1"/>
        <v>0</v>
      </c>
      <c r="M30" s="15">
        <f t="shared" si="2"/>
        <v>0</v>
      </c>
      <c r="Z30" s="15">
        <f t="shared" si="3"/>
        <v>1</v>
      </c>
      <c r="AA30" s="15">
        <f t="shared" si="4"/>
        <v>1</v>
      </c>
      <c r="AB30" s="15">
        <f t="shared" si="5"/>
        <v>1</v>
      </c>
      <c r="AC30" s="15">
        <f t="shared" si="6"/>
        <v>1</v>
      </c>
      <c r="AD30" s="15">
        <f t="shared" si="7"/>
        <v>1</v>
      </c>
      <c r="AE30" s="15">
        <f t="shared" si="8"/>
        <v>1</v>
      </c>
      <c r="AF30" s="15">
        <f t="shared" si="9"/>
        <v>1</v>
      </c>
      <c r="AG30" s="15">
        <f t="shared" si="10"/>
        <v>1</v>
      </c>
      <c r="AH30" s="15">
        <f t="shared" si="11"/>
        <v>1</v>
      </c>
      <c r="AI30" s="15">
        <f t="shared" si="12"/>
        <v>1</v>
      </c>
      <c r="AJ30" s="15">
        <f t="shared" si="13"/>
        <v>1</v>
      </c>
      <c r="AK30" s="15">
        <f t="shared" si="14"/>
        <v>1</v>
      </c>
      <c r="AL30" s="15">
        <f t="shared" si="15"/>
        <v>1</v>
      </c>
      <c r="AM30" s="15">
        <f t="shared" si="16"/>
        <v>1</v>
      </c>
      <c r="AN30" s="15">
        <f t="shared" si="17"/>
        <v>1</v>
      </c>
      <c r="AO30" s="15">
        <f t="shared" si="18"/>
        <v>1</v>
      </c>
      <c r="AP30" s="15">
        <f t="shared" si="19"/>
        <v>1</v>
      </c>
      <c r="AQ30" s="15">
        <f t="shared" si="20"/>
        <v>1</v>
      </c>
      <c r="AR30" s="15">
        <f t="shared" si="21"/>
        <v>1</v>
      </c>
      <c r="AS30" s="15">
        <f t="shared" si="22"/>
        <v>1</v>
      </c>
      <c r="AT30" s="15">
        <f t="shared" si="23"/>
        <v>1</v>
      </c>
      <c r="AU30" s="15">
        <f t="shared" si="24"/>
        <v>1</v>
      </c>
      <c r="AV30" s="15">
        <f t="shared" si="25"/>
        <v>1</v>
      </c>
      <c r="AW30" s="15">
        <f t="shared" si="26"/>
        <v>1</v>
      </c>
      <c r="AX30" s="15">
        <f t="shared" si="38"/>
        <v>1</v>
      </c>
      <c r="AY30" s="15">
        <f t="shared" si="27"/>
        <v>1</v>
      </c>
      <c r="AZ30" s="15">
        <f t="shared" si="28"/>
        <v>1</v>
      </c>
      <c r="BA30" s="15">
        <f t="shared" si="29"/>
        <v>1</v>
      </c>
      <c r="BB30" s="15">
        <f t="shared" si="30"/>
        <v>0</v>
      </c>
      <c r="BC30" s="15" t="str">
        <f t="shared" si="31"/>
        <v/>
      </c>
      <c r="BD30" s="15" t="str">
        <f t="shared" si="32"/>
        <v/>
      </c>
      <c r="BE30" s="11" t="e">
        <f t="shared" si="33"/>
        <v>#VALUE!</v>
      </c>
      <c r="BF30" s="11" t="e">
        <f t="shared" si="34"/>
        <v>#VALUE!</v>
      </c>
      <c r="BG30" s="11" t="e">
        <f t="shared" si="35"/>
        <v>#VALUE!</v>
      </c>
      <c r="BH30" t="str">
        <f t="shared" si="36"/>
        <v/>
      </c>
      <c r="BI30" t="str" cm="1">
        <f t="array" ref="BI30">_xlfn.IFS(
  L30&gt;0,"Critical Fail",
  M30&gt;0,"Important (Coaching)",
  TRUE,"Clean Pass"
)</f>
        <v>Clean Pass</v>
      </c>
      <c r="BJ30" t="str">
        <f t="shared" si="37"/>
        <v>NA</v>
      </c>
    </row>
    <row r="31" spans="1:62" x14ac:dyDescent="0.3">
      <c r="A31">
        <v>744710</v>
      </c>
      <c r="K31" t="str">
        <f t="shared" si="0"/>
        <v>Pass</v>
      </c>
      <c r="L31" s="15">
        <f t="shared" si="1"/>
        <v>0</v>
      </c>
      <c r="M31" s="15">
        <f t="shared" si="2"/>
        <v>0</v>
      </c>
      <c r="Z31" s="15">
        <f t="shared" si="3"/>
        <v>1</v>
      </c>
      <c r="AA31" s="15">
        <f t="shared" si="4"/>
        <v>1</v>
      </c>
      <c r="AB31" s="15">
        <f t="shared" si="5"/>
        <v>1</v>
      </c>
      <c r="AC31" s="15">
        <f t="shared" si="6"/>
        <v>1</v>
      </c>
      <c r="AD31" s="15">
        <f t="shared" si="7"/>
        <v>1</v>
      </c>
      <c r="AE31" s="15">
        <f t="shared" si="8"/>
        <v>1</v>
      </c>
      <c r="AF31" s="15">
        <f t="shared" si="9"/>
        <v>1</v>
      </c>
      <c r="AG31" s="15">
        <f t="shared" si="10"/>
        <v>1</v>
      </c>
      <c r="AH31" s="15">
        <f t="shared" si="11"/>
        <v>1</v>
      </c>
      <c r="AI31" s="15">
        <f t="shared" si="12"/>
        <v>1</v>
      </c>
      <c r="AJ31" s="15">
        <f t="shared" si="13"/>
        <v>1</v>
      </c>
      <c r="AK31" s="15">
        <f t="shared" si="14"/>
        <v>1</v>
      </c>
      <c r="AL31" s="15">
        <f t="shared" si="15"/>
        <v>1</v>
      </c>
      <c r="AM31" s="15">
        <f t="shared" si="16"/>
        <v>1</v>
      </c>
      <c r="AN31" s="15">
        <f t="shared" si="17"/>
        <v>1</v>
      </c>
      <c r="AO31" s="15">
        <f t="shared" si="18"/>
        <v>1</v>
      </c>
      <c r="AP31" s="15">
        <f t="shared" si="19"/>
        <v>1</v>
      </c>
      <c r="AQ31" s="15">
        <f t="shared" si="20"/>
        <v>1</v>
      </c>
      <c r="AR31" s="15">
        <f t="shared" si="21"/>
        <v>1</v>
      </c>
      <c r="AS31" s="15">
        <f t="shared" si="22"/>
        <v>1</v>
      </c>
      <c r="AT31" s="15">
        <f t="shared" si="23"/>
        <v>1</v>
      </c>
      <c r="AU31" s="15">
        <f t="shared" si="24"/>
        <v>1</v>
      </c>
      <c r="AV31" s="15">
        <f t="shared" si="25"/>
        <v>1</v>
      </c>
      <c r="AW31" s="15">
        <f t="shared" si="26"/>
        <v>1</v>
      </c>
      <c r="AX31" s="15">
        <f t="shared" si="38"/>
        <v>1</v>
      </c>
      <c r="AY31" s="15">
        <f t="shared" si="27"/>
        <v>1</v>
      </c>
      <c r="AZ31" s="15">
        <f t="shared" si="28"/>
        <v>1</v>
      </c>
      <c r="BA31" s="15">
        <f t="shared" si="29"/>
        <v>1</v>
      </c>
      <c r="BB31" s="15">
        <f t="shared" si="30"/>
        <v>0</v>
      </c>
      <c r="BC31" s="15" t="str">
        <f t="shared" si="31"/>
        <v/>
      </c>
      <c r="BD31" s="15" t="str">
        <f t="shared" si="32"/>
        <v/>
      </c>
      <c r="BE31" s="11" t="e">
        <f t="shared" si="33"/>
        <v>#VALUE!</v>
      </c>
      <c r="BF31" s="11" t="e">
        <f t="shared" si="34"/>
        <v>#VALUE!</v>
      </c>
      <c r="BG31" s="11" t="e">
        <f t="shared" si="35"/>
        <v>#VALUE!</v>
      </c>
      <c r="BH31" t="str">
        <f t="shared" si="36"/>
        <v/>
      </c>
      <c r="BI31" t="str" cm="1">
        <f t="array" ref="BI31">_xlfn.IFS(
  L31&gt;0,"Critical Fail",
  M31&gt;0,"Important (Coaching)",
  TRUE,"Clean Pass"
)</f>
        <v>Clean Pass</v>
      </c>
      <c r="BJ31" t="str">
        <f t="shared" si="37"/>
        <v>NA</v>
      </c>
    </row>
    <row r="32" spans="1:62" x14ac:dyDescent="0.3">
      <c r="A32">
        <v>491298</v>
      </c>
      <c r="K32" t="str">
        <f t="shared" si="0"/>
        <v>Pass</v>
      </c>
      <c r="L32" s="15">
        <f t="shared" si="1"/>
        <v>0</v>
      </c>
      <c r="M32" s="15">
        <f t="shared" si="2"/>
        <v>0</v>
      </c>
      <c r="Z32" s="15">
        <f t="shared" si="3"/>
        <v>1</v>
      </c>
      <c r="AA32" s="15">
        <f t="shared" si="4"/>
        <v>1</v>
      </c>
      <c r="AB32" s="15">
        <f t="shared" si="5"/>
        <v>1</v>
      </c>
      <c r="AC32" s="15">
        <f t="shared" si="6"/>
        <v>1</v>
      </c>
      <c r="AD32" s="15">
        <f t="shared" si="7"/>
        <v>1</v>
      </c>
      <c r="AE32" s="15">
        <f t="shared" si="8"/>
        <v>1</v>
      </c>
      <c r="AF32" s="15">
        <f t="shared" si="9"/>
        <v>1</v>
      </c>
      <c r="AG32" s="15">
        <f t="shared" si="10"/>
        <v>1</v>
      </c>
      <c r="AH32" s="15">
        <f t="shared" si="11"/>
        <v>1</v>
      </c>
      <c r="AI32" s="15">
        <f t="shared" si="12"/>
        <v>1</v>
      </c>
      <c r="AJ32" s="15">
        <f t="shared" si="13"/>
        <v>1</v>
      </c>
      <c r="AK32" s="15">
        <f t="shared" si="14"/>
        <v>1</v>
      </c>
      <c r="AL32" s="15">
        <f t="shared" si="15"/>
        <v>1</v>
      </c>
      <c r="AM32" s="15">
        <f t="shared" si="16"/>
        <v>1</v>
      </c>
      <c r="AN32" s="15">
        <f t="shared" si="17"/>
        <v>1</v>
      </c>
      <c r="AO32" s="15">
        <f t="shared" si="18"/>
        <v>1</v>
      </c>
      <c r="AP32" s="15">
        <f t="shared" si="19"/>
        <v>1</v>
      </c>
      <c r="AQ32" s="15">
        <f t="shared" si="20"/>
        <v>1</v>
      </c>
      <c r="AR32" s="15">
        <f t="shared" si="21"/>
        <v>1</v>
      </c>
      <c r="AS32" s="15">
        <f t="shared" si="22"/>
        <v>1</v>
      </c>
      <c r="AT32" s="15">
        <f t="shared" si="23"/>
        <v>1</v>
      </c>
      <c r="AU32" s="15">
        <f t="shared" si="24"/>
        <v>1</v>
      </c>
      <c r="AV32" s="15">
        <f t="shared" si="25"/>
        <v>1</v>
      </c>
      <c r="AW32" s="15">
        <f t="shared" si="26"/>
        <v>1</v>
      </c>
      <c r="AX32" s="15">
        <f t="shared" si="38"/>
        <v>1</v>
      </c>
      <c r="AY32" s="15">
        <f t="shared" si="27"/>
        <v>1</v>
      </c>
      <c r="AZ32" s="15">
        <f t="shared" si="28"/>
        <v>1</v>
      </c>
      <c r="BA32" s="15">
        <f t="shared" si="29"/>
        <v>1</v>
      </c>
      <c r="BB32" s="15">
        <f t="shared" si="30"/>
        <v>0</v>
      </c>
      <c r="BC32" s="15" t="str">
        <f t="shared" si="31"/>
        <v/>
      </c>
      <c r="BD32" s="15" t="str">
        <f t="shared" si="32"/>
        <v/>
      </c>
      <c r="BE32" s="11" t="e">
        <f t="shared" si="33"/>
        <v>#VALUE!</v>
      </c>
      <c r="BF32" s="11" t="e">
        <f t="shared" si="34"/>
        <v>#VALUE!</v>
      </c>
      <c r="BG32" s="11" t="e">
        <f t="shared" si="35"/>
        <v>#VALUE!</v>
      </c>
      <c r="BH32" t="str">
        <f t="shared" si="36"/>
        <v/>
      </c>
      <c r="BI32" t="str" cm="1">
        <f t="array" ref="BI32">_xlfn.IFS(
  L32&gt;0,"Critical Fail",
  M32&gt;0,"Important (Coaching)",
  TRUE,"Clean Pass"
)</f>
        <v>Clean Pass</v>
      </c>
      <c r="BJ32" t="str">
        <f t="shared" si="37"/>
        <v>NA</v>
      </c>
    </row>
    <row r="33" spans="1:62" x14ac:dyDescent="0.3">
      <c r="A33">
        <v>148732</v>
      </c>
      <c r="K33" t="str">
        <f t="shared" si="0"/>
        <v>Pass</v>
      </c>
      <c r="L33" s="15">
        <f t="shared" si="1"/>
        <v>0</v>
      </c>
      <c r="M33" s="15">
        <f t="shared" si="2"/>
        <v>0</v>
      </c>
      <c r="Z33" s="15">
        <f t="shared" si="3"/>
        <v>1</v>
      </c>
      <c r="AA33" s="15">
        <f t="shared" si="4"/>
        <v>1</v>
      </c>
      <c r="AB33" s="15">
        <f t="shared" si="5"/>
        <v>1</v>
      </c>
      <c r="AC33" s="15">
        <f t="shared" si="6"/>
        <v>1</v>
      </c>
      <c r="AD33" s="15">
        <f t="shared" si="7"/>
        <v>1</v>
      </c>
      <c r="AE33" s="15">
        <f t="shared" si="8"/>
        <v>1</v>
      </c>
      <c r="AF33" s="15">
        <f t="shared" si="9"/>
        <v>1</v>
      </c>
      <c r="AG33" s="15">
        <f t="shared" si="10"/>
        <v>1</v>
      </c>
      <c r="AH33" s="15">
        <f t="shared" si="11"/>
        <v>1</v>
      </c>
      <c r="AI33" s="15">
        <f t="shared" si="12"/>
        <v>1</v>
      </c>
      <c r="AJ33" s="15">
        <f t="shared" si="13"/>
        <v>1</v>
      </c>
      <c r="AK33" s="15">
        <f t="shared" si="14"/>
        <v>1</v>
      </c>
      <c r="AL33" s="15">
        <f t="shared" si="15"/>
        <v>1</v>
      </c>
      <c r="AM33" s="15">
        <f t="shared" si="16"/>
        <v>1</v>
      </c>
      <c r="AN33" s="15">
        <f t="shared" si="17"/>
        <v>1</v>
      </c>
      <c r="AO33" s="15">
        <f t="shared" si="18"/>
        <v>1</v>
      </c>
      <c r="AP33" s="15">
        <f t="shared" si="19"/>
        <v>1</v>
      </c>
      <c r="AQ33" s="15">
        <f t="shared" si="20"/>
        <v>1</v>
      </c>
      <c r="AR33" s="15">
        <f t="shared" si="21"/>
        <v>1</v>
      </c>
      <c r="AS33" s="15">
        <f t="shared" si="22"/>
        <v>1</v>
      </c>
      <c r="AT33" s="15">
        <f t="shared" si="23"/>
        <v>1</v>
      </c>
      <c r="AU33" s="15">
        <f t="shared" si="24"/>
        <v>1</v>
      </c>
      <c r="AV33" s="15">
        <f t="shared" si="25"/>
        <v>1</v>
      </c>
      <c r="AW33" s="15">
        <f t="shared" si="26"/>
        <v>1</v>
      </c>
      <c r="AX33" s="15">
        <f t="shared" si="38"/>
        <v>1</v>
      </c>
      <c r="AY33" s="15">
        <f t="shared" si="27"/>
        <v>1</v>
      </c>
      <c r="AZ33" s="15">
        <f t="shared" si="28"/>
        <v>1</v>
      </c>
      <c r="BA33" s="15">
        <f t="shared" si="29"/>
        <v>1</v>
      </c>
      <c r="BB33" s="15">
        <f t="shared" si="30"/>
        <v>0</v>
      </c>
      <c r="BC33" s="15" t="str">
        <f t="shared" si="31"/>
        <v/>
      </c>
      <c r="BD33" s="15" t="str">
        <f t="shared" si="32"/>
        <v/>
      </c>
      <c r="BE33" s="11" t="e">
        <f t="shared" si="33"/>
        <v>#VALUE!</v>
      </c>
      <c r="BF33" s="11" t="e">
        <f t="shared" si="34"/>
        <v>#VALUE!</v>
      </c>
      <c r="BG33" s="11" t="e">
        <f t="shared" si="35"/>
        <v>#VALUE!</v>
      </c>
      <c r="BH33" t="str">
        <f t="shared" si="36"/>
        <v/>
      </c>
      <c r="BI33" t="str" cm="1">
        <f t="array" ref="BI33">_xlfn.IFS(
  L33&gt;0,"Critical Fail",
  M33&gt;0,"Important (Coaching)",
  TRUE,"Clean Pass"
)</f>
        <v>Clean Pass</v>
      </c>
      <c r="BJ33" t="str">
        <f t="shared" si="37"/>
        <v>NA</v>
      </c>
    </row>
    <row r="34" spans="1:62" x14ac:dyDescent="0.3">
      <c r="A34">
        <v>882080</v>
      </c>
      <c r="K34" t="str">
        <f t="shared" si="0"/>
        <v>Pass</v>
      </c>
      <c r="L34" s="15">
        <f t="shared" si="1"/>
        <v>0</v>
      </c>
      <c r="M34" s="15">
        <f t="shared" si="2"/>
        <v>0</v>
      </c>
      <c r="Z34" s="15">
        <f t="shared" si="3"/>
        <v>1</v>
      </c>
      <c r="AA34" s="15">
        <f t="shared" si="4"/>
        <v>1</v>
      </c>
      <c r="AB34" s="15">
        <f t="shared" si="5"/>
        <v>1</v>
      </c>
      <c r="AC34" s="15">
        <f t="shared" si="6"/>
        <v>1</v>
      </c>
      <c r="AD34" s="15">
        <f t="shared" si="7"/>
        <v>1</v>
      </c>
      <c r="AE34" s="15">
        <f t="shared" si="8"/>
        <v>1</v>
      </c>
      <c r="AF34" s="15">
        <f t="shared" si="9"/>
        <v>1</v>
      </c>
      <c r="AG34" s="15">
        <f t="shared" si="10"/>
        <v>1</v>
      </c>
      <c r="AH34" s="15">
        <f t="shared" si="11"/>
        <v>1</v>
      </c>
      <c r="AI34" s="15">
        <f t="shared" si="12"/>
        <v>1</v>
      </c>
      <c r="AJ34" s="15">
        <f t="shared" si="13"/>
        <v>1</v>
      </c>
      <c r="AK34" s="15">
        <f t="shared" si="14"/>
        <v>1</v>
      </c>
      <c r="AL34" s="15">
        <f t="shared" si="15"/>
        <v>1</v>
      </c>
      <c r="AM34" s="15">
        <f t="shared" si="16"/>
        <v>1</v>
      </c>
      <c r="AN34" s="15">
        <f t="shared" si="17"/>
        <v>1</v>
      </c>
      <c r="AO34" s="15">
        <f t="shared" si="18"/>
        <v>1</v>
      </c>
      <c r="AP34" s="15">
        <f t="shared" si="19"/>
        <v>1</v>
      </c>
      <c r="AQ34" s="15">
        <f t="shared" si="20"/>
        <v>1</v>
      </c>
      <c r="AR34" s="15">
        <f t="shared" si="21"/>
        <v>1</v>
      </c>
      <c r="AS34" s="15">
        <f t="shared" si="22"/>
        <v>1</v>
      </c>
      <c r="AT34" s="15">
        <f t="shared" si="23"/>
        <v>1</v>
      </c>
      <c r="AU34" s="15">
        <f t="shared" si="24"/>
        <v>1</v>
      </c>
      <c r="AV34" s="15">
        <f t="shared" si="25"/>
        <v>1</v>
      </c>
      <c r="AW34" s="15">
        <f t="shared" si="26"/>
        <v>1</v>
      </c>
      <c r="AX34" s="15">
        <f t="shared" si="38"/>
        <v>1</v>
      </c>
      <c r="AY34" s="15">
        <f t="shared" si="27"/>
        <v>1</v>
      </c>
      <c r="AZ34" s="15">
        <f t="shared" si="28"/>
        <v>1</v>
      </c>
      <c r="BA34" s="15">
        <f t="shared" si="29"/>
        <v>1</v>
      </c>
      <c r="BB34" s="15">
        <f t="shared" si="30"/>
        <v>0</v>
      </c>
      <c r="BC34" s="15" t="str">
        <f t="shared" si="31"/>
        <v/>
      </c>
      <c r="BD34" s="15" t="str">
        <f t="shared" si="32"/>
        <v/>
      </c>
      <c r="BE34" s="11" t="e">
        <f t="shared" si="33"/>
        <v>#VALUE!</v>
      </c>
      <c r="BF34" s="11" t="e">
        <f t="shared" si="34"/>
        <v>#VALUE!</v>
      </c>
      <c r="BG34" s="11" t="e">
        <f t="shared" si="35"/>
        <v>#VALUE!</v>
      </c>
      <c r="BH34" t="str">
        <f t="shared" si="36"/>
        <v/>
      </c>
      <c r="BI34" t="str" cm="1">
        <f t="array" ref="BI34">_xlfn.IFS(
  L34&gt;0,"Critical Fail",
  M34&gt;0,"Important (Coaching)",
  TRUE,"Clean Pass"
)</f>
        <v>Clean Pass</v>
      </c>
      <c r="BJ34" t="str">
        <f t="shared" si="37"/>
        <v>NA</v>
      </c>
    </row>
    <row r="35" spans="1:62" x14ac:dyDescent="0.3">
      <c r="A35">
        <v>262645</v>
      </c>
      <c r="K35" t="str">
        <f t="shared" si="0"/>
        <v>Pass</v>
      </c>
      <c r="L35" s="15">
        <f t="shared" si="1"/>
        <v>0</v>
      </c>
      <c r="M35" s="15">
        <f t="shared" si="2"/>
        <v>0</v>
      </c>
      <c r="Z35" s="15">
        <f t="shared" si="3"/>
        <v>1</v>
      </c>
      <c r="AA35" s="15">
        <f t="shared" si="4"/>
        <v>1</v>
      </c>
      <c r="AB35" s="15">
        <f t="shared" si="5"/>
        <v>1</v>
      </c>
      <c r="AC35" s="15">
        <f t="shared" si="6"/>
        <v>1</v>
      </c>
      <c r="AD35" s="15">
        <f t="shared" si="7"/>
        <v>1</v>
      </c>
      <c r="AE35" s="15">
        <f t="shared" si="8"/>
        <v>1</v>
      </c>
      <c r="AF35" s="15">
        <f t="shared" si="9"/>
        <v>1</v>
      </c>
      <c r="AG35" s="15">
        <f t="shared" si="10"/>
        <v>1</v>
      </c>
      <c r="AH35" s="15">
        <f t="shared" si="11"/>
        <v>1</v>
      </c>
      <c r="AI35" s="15">
        <f t="shared" si="12"/>
        <v>1</v>
      </c>
      <c r="AJ35" s="15">
        <f t="shared" si="13"/>
        <v>1</v>
      </c>
      <c r="AK35" s="15">
        <f t="shared" si="14"/>
        <v>1</v>
      </c>
      <c r="AL35" s="15">
        <f t="shared" si="15"/>
        <v>1</v>
      </c>
      <c r="AM35" s="15">
        <f t="shared" si="16"/>
        <v>1</v>
      </c>
      <c r="AN35" s="15">
        <f t="shared" si="17"/>
        <v>1</v>
      </c>
      <c r="AO35" s="15">
        <f t="shared" si="18"/>
        <v>1</v>
      </c>
      <c r="AP35" s="15">
        <f t="shared" si="19"/>
        <v>1</v>
      </c>
      <c r="AQ35" s="15">
        <f t="shared" si="20"/>
        <v>1</v>
      </c>
      <c r="AR35" s="15">
        <f t="shared" si="21"/>
        <v>1</v>
      </c>
      <c r="AS35" s="15">
        <f t="shared" si="22"/>
        <v>1</v>
      </c>
      <c r="AT35" s="15">
        <f t="shared" si="23"/>
        <v>1</v>
      </c>
      <c r="AU35" s="15">
        <f t="shared" si="24"/>
        <v>1</v>
      </c>
      <c r="AV35" s="15">
        <f t="shared" si="25"/>
        <v>1</v>
      </c>
      <c r="AW35" s="15">
        <f t="shared" si="26"/>
        <v>1</v>
      </c>
      <c r="AX35" s="15">
        <f t="shared" si="38"/>
        <v>1</v>
      </c>
      <c r="AY35" s="15">
        <f t="shared" si="27"/>
        <v>1</v>
      </c>
      <c r="AZ35" s="15">
        <f t="shared" si="28"/>
        <v>1</v>
      </c>
      <c r="BA35" s="15">
        <f t="shared" si="29"/>
        <v>1</v>
      </c>
      <c r="BB35" s="15">
        <f t="shared" si="30"/>
        <v>0</v>
      </c>
      <c r="BC35" s="15" t="str">
        <f t="shared" si="31"/>
        <v/>
      </c>
      <c r="BD35" s="15" t="str">
        <f t="shared" si="32"/>
        <v/>
      </c>
      <c r="BE35" s="11" t="e">
        <f t="shared" si="33"/>
        <v>#VALUE!</v>
      </c>
      <c r="BF35" s="11" t="e">
        <f t="shared" si="34"/>
        <v>#VALUE!</v>
      </c>
      <c r="BG35" s="11" t="e">
        <f t="shared" si="35"/>
        <v>#VALUE!</v>
      </c>
      <c r="BH35" t="str">
        <f t="shared" si="36"/>
        <v/>
      </c>
      <c r="BI35" t="str" cm="1">
        <f t="array" ref="BI35">_xlfn.IFS(
  L35&gt;0,"Critical Fail",
  M35&gt;0,"Important (Coaching)",
  TRUE,"Clean Pass"
)</f>
        <v>Clean Pass</v>
      </c>
      <c r="BJ35" t="str">
        <f t="shared" si="37"/>
        <v>NA</v>
      </c>
    </row>
    <row r="36" spans="1:62" x14ac:dyDescent="0.3">
      <c r="A36">
        <v>977950</v>
      </c>
      <c r="K36" t="str">
        <f t="shared" si="0"/>
        <v>Pass</v>
      </c>
      <c r="L36" s="15">
        <f t="shared" si="1"/>
        <v>0</v>
      </c>
      <c r="M36" s="15">
        <f t="shared" si="2"/>
        <v>0</v>
      </c>
      <c r="Z36" s="15">
        <f t="shared" si="3"/>
        <v>1</v>
      </c>
      <c r="AA36" s="15">
        <f t="shared" si="4"/>
        <v>1</v>
      </c>
      <c r="AB36" s="15">
        <f t="shared" si="5"/>
        <v>1</v>
      </c>
      <c r="AC36" s="15">
        <f t="shared" si="6"/>
        <v>1</v>
      </c>
      <c r="AD36" s="15">
        <f t="shared" si="7"/>
        <v>1</v>
      </c>
      <c r="AE36" s="15">
        <f t="shared" si="8"/>
        <v>1</v>
      </c>
      <c r="AF36" s="15">
        <f t="shared" si="9"/>
        <v>1</v>
      </c>
      <c r="AG36" s="15">
        <f t="shared" si="10"/>
        <v>1</v>
      </c>
      <c r="AH36" s="15">
        <f t="shared" si="11"/>
        <v>1</v>
      </c>
      <c r="AI36" s="15">
        <f t="shared" si="12"/>
        <v>1</v>
      </c>
      <c r="AJ36" s="15">
        <f t="shared" si="13"/>
        <v>1</v>
      </c>
      <c r="AK36" s="15">
        <f t="shared" si="14"/>
        <v>1</v>
      </c>
      <c r="AL36" s="15">
        <f t="shared" si="15"/>
        <v>1</v>
      </c>
      <c r="AM36" s="15">
        <f t="shared" si="16"/>
        <v>1</v>
      </c>
      <c r="AN36" s="15">
        <f t="shared" si="17"/>
        <v>1</v>
      </c>
      <c r="AO36" s="15">
        <f t="shared" si="18"/>
        <v>1</v>
      </c>
      <c r="AP36" s="15">
        <f t="shared" si="19"/>
        <v>1</v>
      </c>
      <c r="AQ36" s="15">
        <f t="shared" si="20"/>
        <v>1</v>
      </c>
      <c r="AR36" s="15">
        <f t="shared" si="21"/>
        <v>1</v>
      </c>
      <c r="AS36" s="15">
        <f t="shared" si="22"/>
        <v>1</v>
      </c>
      <c r="AT36" s="15">
        <f t="shared" si="23"/>
        <v>1</v>
      </c>
      <c r="AU36" s="15">
        <f t="shared" si="24"/>
        <v>1</v>
      </c>
      <c r="AV36" s="15">
        <f t="shared" si="25"/>
        <v>1</v>
      </c>
      <c r="AW36" s="15">
        <f t="shared" si="26"/>
        <v>1</v>
      </c>
      <c r="AX36" s="15">
        <f t="shared" si="38"/>
        <v>1</v>
      </c>
      <c r="AY36" s="15">
        <f t="shared" si="27"/>
        <v>1</v>
      </c>
      <c r="AZ36" s="15">
        <f t="shared" si="28"/>
        <v>1</v>
      </c>
      <c r="BA36" s="15">
        <f t="shared" si="29"/>
        <v>1</v>
      </c>
      <c r="BB36" s="15">
        <f t="shared" si="30"/>
        <v>0</v>
      </c>
      <c r="BC36" s="15" t="str">
        <f t="shared" si="31"/>
        <v/>
      </c>
      <c r="BD36" s="15" t="str">
        <f t="shared" si="32"/>
        <v/>
      </c>
      <c r="BE36" s="11" t="e">
        <f t="shared" si="33"/>
        <v>#VALUE!</v>
      </c>
      <c r="BF36" s="11" t="e">
        <f t="shared" si="34"/>
        <v>#VALUE!</v>
      </c>
      <c r="BG36" s="11" t="e">
        <f t="shared" si="35"/>
        <v>#VALUE!</v>
      </c>
      <c r="BH36" t="str">
        <f t="shared" si="36"/>
        <v/>
      </c>
      <c r="BI36" t="str" cm="1">
        <f t="array" ref="BI36">_xlfn.IFS(
  L36&gt;0,"Critical Fail",
  M36&gt;0,"Important (Coaching)",
  TRUE,"Clean Pass"
)</f>
        <v>Clean Pass</v>
      </c>
      <c r="BJ36" t="str">
        <f t="shared" si="37"/>
        <v>NA</v>
      </c>
    </row>
    <row r="37" spans="1:62" x14ac:dyDescent="0.3">
      <c r="A37">
        <v>662620</v>
      </c>
      <c r="K37" t="str">
        <f t="shared" si="0"/>
        <v>Pass</v>
      </c>
      <c r="L37" s="15">
        <f t="shared" si="1"/>
        <v>0</v>
      </c>
      <c r="M37" s="15">
        <f t="shared" si="2"/>
        <v>0</v>
      </c>
      <c r="Z37" s="15">
        <f t="shared" si="3"/>
        <v>1</v>
      </c>
      <c r="AA37" s="15">
        <f t="shared" si="4"/>
        <v>1</v>
      </c>
      <c r="AB37" s="15">
        <f t="shared" si="5"/>
        <v>1</v>
      </c>
      <c r="AC37" s="15">
        <f t="shared" si="6"/>
        <v>1</v>
      </c>
      <c r="AD37" s="15">
        <f t="shared" si="7"/>
        <v>1</v>
      </c>
      <c r="AE37" s="15">
        <f t="shared" si="8"/>
        <v>1</v>
      </c>
      <c r="AF37" s="15">
        <f t="shared" si="9"/>
        <v>1</v>
      </c>
      <c r="AG37" s="15">
        <f t="shared" si="10"/>
        <v>1</v>
      </c>
      <c r="AH37" s="15">
        <f t="shared" si="11"/>
        <v>1</v>
      </c>
      <c r="AI37" s="15">
        <f t="shared" si="12"/>
        <v>1</v>
      </c>
      <c r="AJ37" s="15">
        <f t="shared" si="13"/>
        <v>1</v>
      </c>
      <c r="AK37" s="15">
        <f t="shared" si="14"/>
        <v>1</v>
      </c>
      <c r="AL37" s="15">
        <f t="shared" si="15"/>
        <v>1</v>
      </c>
      <c r="AM37" s="15">
        <f t="shared" si="16"/>
        <v>1</v>
      </c>
      <c r="AN37" s="15">
        <f t="shared" si="17"/>
        <v>1</v>
      </c>
      <c r="AO37" s="15">
        <f t="shared" si="18"/>
        <v>1</v>
      </c>
      <c r="AP37" s="15">
        <f t="shared" si="19"/>
        <v>1</v>
      </c>
      <c r="AQ37" s="15">
        <f t="shared" si="20"/>
        <v>1</v>
      </c>
      <c r="AR37" s="15">
        <f t="shared" si="21"/>
        <v>1</v>
      </c>
      <c r="AS37" s="15">
        <f t="shared" si="22"/>
        <v>1</v>
      </c>
      <c r="AT37" s="15">
        <f t="shared" si="23"/>
        <v>1</v>
      </c>
      <c r="AU37" s="15">
        <f t="shared" si="24"/>
        <v>1</v>
      </c>
      <c r="AV37" s="15">
        <f t="shared" si="25"/>
        <v>1</v>
      </c>
      <c r="AW37" s="15">
        <f t="shared" si="26"/>
        <v>1</v>
      </c>
      <c r="AX37" s="15">
        <f t="shared" si="38"/>
        <v>1</v>
      </c>
      <c r="AY37" s="15">
        <f t="shared" si="27"/>
        <v>1</v>
      </c>
      <c r="AZ37" s="15">
        <f t="shared" si="28"/>
        <v>1</v>
      </c>
      <c r="BA37" s="15">
        <f t="shared" si="29"/>
        <v>1</v>
      </c>
      <c r="BB37" s="15">
        <f t="shared" si="30"/>
        <v>0</v>
      </c>
      <c r="BC37" s="15" t="str">
        <f t="shared" si="31"/>
        <v/>
      </c>
      <c r="BD37" s="15" t="str">
        <f t="shared" si="32"/>
        <v/>
      </c>
      <c r="BE37" s="11" t="e">
        <f t="shared" si="33"/>
        <v>#VALUE!</v>
      </c>
      <c r="BF37" s="11" t="e">
        <f t="shared" si="34"/>
        <v>#VALUE!</v>
      </c>
      <c r="BG37" s="11" t="e">
        <f t="shared" si="35"/>
        <v>#VALUE!</v>
      </c>
      <c r="BH37" t="str">
        <f t="shared" si="36"/>
        <v/>
      </c>
      <c r="BI37" t="str" cm="1">
        <f t="array" ref="BI37">_xlfn.IFS(
  L37&gt;0,"Critical Fail",
  M37&gt;0,"Important (Coaching)",
  TRUE,"Clean Pass"
)</f>
        <v>Clean Pass</v>
      </c>
      <c r="BJ37" t="str">
        <f t="shared" si="37"/>
        <v>NA</v>
      </c>
    </row>
    <row r="38" spans="1:62" x14ac:dyDescent="0.3">
      <c r="A38">
        <v>815841</v>
      </c>
      <c r="K38" t="str">
        <f t="shared" si="0"/>
        <v>Pass</v>
      </c>
      <c r="L38" s="15">
        <f t="shared" si="1"/>
        <v>0</v>
      </c>
      <c r="M38" s="15">
        <f t="shared" si="2"/>
        <v>0</v>
      </c>
      <c r="Z38" s="15">
        <f t="shared" si="3"/>
        <v>1</v>
      </c>
      <c r="AA38" s="15">
        <f t="shared" si="4"/>
        <v>1</v>
      </c>
      <c r="AB38" s="15">
        <f t="shared" si="5"/>
        <v>1</v>
      </c>
      <c r="AC38" s="15">
        <f t="shared" si="6"/>
        <v>1</v>
      </c>
      <c r="AD38" s="15">
        <f t="shared" si="7"/>
        <v>1</v>
      </c>
      <c r="AE38" s="15">
        <f t="shared" si="8"/>
        <v>1</v>
      </c>
      <c r="AF38" s="15">
        <f t="shared" si="9"/>
        <v>1</v>
      </c>
      <c r="AG38" s="15">
        <f t="shared" si="10"/>
        <v>1</v>
      </c>
      <c r="AH38" s="15">
        <f t="shared" si="11"/>
        <v>1</v>
      </c>
      <c r="AI38" s="15">
        <f t="shared" si="12"/>
        <v>1</v>
      </c>
      <c r="AJ38" s="15">
        <f t="shared" si="13"/>
        <v>1</v>
      </c>
      <c r="AK38" s="15">
        <f t="shared" si="14"/>
        <v>1</v>
      </c>
      <c r="AL38" s="15">
        <f t="shared" si="15"/>
        <v>1</v>
      </c>
      <c r="AM38" s="15">
        <f t="shared" si="16"/>
        <v>1</v>
      </c>
      <c r="AN38" s="15">
        <f t="shared" si="17"/>
        <v>1</v>
      </c>
      <c r="AO38" s="15">
        <f t="shared" si="18"/>
        <v>1</v>
      </c>
      <c r="AP38" s="15">
        <f t="shared" si="19"/>
        <v>1</v>
      </c>
      <c r="AQ38" s="15">
        <f t="shared" si="20"/>
        <v>1</v>
      </c>
      <c r="AR38" s="15">
        <f t="shared" si="21"/>
        <v>1</v>
      </c>
      <c r="AS38" s="15">
        <f t="shared" si="22"/>
        <v>1</v>
      </c>
      <c r="AT38" s="15">
        <f t="shared" si="23"/>
        <v>1</v>
      </c>
      <c r="AU38" s="15">
        <f t="shared" si="24"/>
        <v>1</v>
      </c>
      <c r="AV38" s="15">
        <f t="shared" si="25"/>
        <v>1</v>
      </c>
      <c r="AW38" s="15">
        <f t="shared" si="26"/>
        <v>1</v>
      </c>
      <c r="AX38" s="15">
        <f t="shared" si="38"/>
        <v>1</v>
      </c>
      <c r="AY38" s="15">
        <f t="shared" si="27"/>
        <v>1</v>
      </c>
      <c r="AZ38" s="15">
        <f t="shared" si="28"/>
        <v>1</v>
      </c>
      <c r="BA38" s="15">
        <f t="shared" si="29"/>
        <v>1</v>
      </c>
      <c r="BB38" s="15">
        <f t="shared" si="30"/>
        <v>0</v>
      </c>
      <c r="BC38" s="15" t="str">
        <f t="shared" si="31"/>
        <v/>
      </c>
      <c r="BD38" s="15" t="str">
        <f t="shared" si="32"/>
        <v/>
      </c>
      <c r="BE38" s="11" t="e">
        <f t="shared" si="33"/>
        <v>#VALUE!</v>
      </c>
      <c r="BF38" s="11" t="e">
        <f t="shared" si="34"/>
        <v>#VALUE!</v>
      </c>
      <c r="BG38" s="11" t="e">
        <f t="shared" si="35"/>
        <v>#VALUE!</v>
      </c>
      <c r="BH38" t="str">
        <f t="shared" si="36"/>
        <v/>
      </c>
      <c r="BI38" t="str" cm="1">
        <f t="array" ref="BI38">_xlfn.IFS(
  L38&gt;0,"Critical Fail",
  M38&gt;0,"Important (Coaching)",
  TRUE,"Clean Pass"
)</f>
        <v>Clean Pass</v>
      </c>
      <c r="BJ38" t="str">
        <f t="shared" si="37"/>
        <v>NA</v>
      </c>
    </row>
    <row r="39" spans="1:62" x14ac:dyDescent="0.3">
      <c r="A39">
        <v>610156</v>
      </c>
      <c r="K39" t="str">
        <f t="shared" si="0"/>
        <v>Pass</v>
      </c>
      <c r="L39" s="15">
        <f t="shared" si="1"/>
        <v>0</v>
      </c>
      <c r="M39" s="15">
        <f t="shared" si="2"/>
        <v>0</v>
      </c>
      <c r="Z39" s="15">
        <f t="shared" si="3"/>
        <v>1</v>
      </c>
      <c r="AA39" s="15">
        <f t="shared" si="4"/>
        <v>1</v>
      </c>
      <c r="AB39" s="15">
        <f t="shared" si="5"/>
        <v>1</v>
      </c>
      <c r="AC39" s="15">
        <f t="shared" si="6"/>
        <v>1</v>
      </c>
      <c r="AD39" s="15">
        <f t="shared" si="7"/>
        <v>1</v>
      </c>
      <c r="AE39" s="15">
        <f t="shared" si="8"/>
        <v>1</v>
      </c>
      <c r="AF39" s="15">
        <f t="shared" si="9"/>
        <v>1</v>
      </c>
      <c r="AG39" s="15">
        <f t="shared" si="10"/>
        <v>1</v>
      </c>
      <c r="AH39" s="15">
        <f t="shared" si="11"/>
        <v>1</v>
      </c>
      <c r="AI39" s="15">
        <f t="shared" si="12"/>
        <v>1</v>
      </c>
      <c r="AJ39" s="15">
        <f t="shared" si="13"/>
        <v>1</v>
      </c>
      <c r="AK39" s="15">
        <f t="shared" si="14"/>
        <v>1</v>
      </c>
      <c r="AL39" s="15">
        <f t="shared" si="15"/>
        <v>1</v>
      </c>
      <c r="AM39" s="15">
        <f t="shared" si="16"/>
        <v>1</v>
      </c>
      <c r="AN39" s="15">
        <f t="shared" si="17"/>
        <v>1</v>
      </c>
      <c r="AO39" s="15">
        <f t="shared" si="18"/>
        <v>1</v>
      </c>
      <c r="AP39" s="15">
        <f t="shared" si="19"/>
        <v>1</v>
      </c>
      <c r="AQ39" s="15">
        <f t="shared" si="20"/>
        <v>1</v>
      </c>
      <c r="AR39" s="15">
        <f t="shared" si="21"/>
        <v>1</v>
      </c>
      <c r="AS39" s="15">
        <f t="shared" si="22"/>
        <v>1</v>
      </c>
      <c r="AT39" s="15">
        <f t="shared" si="23"/>
        <v>1</v>
      </c>
      <c r="AU39" s="15">
        <f t="shared" si="24"/>
        <v>1</v>
      </c>
      <c r="AV39" s="15">
        <f t="shared" si="25"/>
        <v>1</v>
      </c>
      <c r="AW39" s="15">
        <f t="shared" si="26"/>
        <v>1</v>
      </c>
      <c r="AX39" s="15">
        <f t="shared" si="38"/>
        <v>1</v>
      </c>
      <c r="AY39" s="15">
        <f t="shared" si="27"/>
        <v>1</v>
      </c>
      <c r="AZ39" s="15">
        <f t="shared" si="28"/>
        <v>1</v>
      </c>
      <c r="BA39" s="15">
        <f t="shared" si="29"/>
        <v>1</v>
      </c>
      <c r="BB39" s="15">
        <f t="shared" si="30"/>
        <v>0</v>
      </c>
      <c r="BC39" s="15" t="str">
        <f t="shared" si="31"/>
        <v/>
      </c>
      <c r="BD39" s="15" t="str">
        <f t="shared" si="32"/>
        <v/>
      </c>
      <c r="BE39" s="11" t="e">
        <f t="shared" si="33"/>
        <v>#VALUE!</v>
      </c>
      <c r="BF39" s="11" t="e">
        <f t="shared" si="34"/>
        <v>#VALUE!</v>
      </c>
      <c r="BG39" s="11" t="e">
        <f t="shared" si="35"/>
        <v>#VALUE!</v>
      </c>
      <c r="BH39" t="str">
        <f t="shared" si="36"/>
        <v/>
      </c>
      <c r="BI39" t="str" cm="1">
        <f t="array" ref="BI39">_xlfn.IFS(
  L39&gt;0,"Critical Fail",
  M39&gt;0,"Important (Coaching)",
  TRUE,"Clean Pass"
)</f>
        <v>Clean Pass</v>
      </c>
      <c r="BJ39" t="str">
        <f t="shared" si="37"/>
        <v>NA</v>
      </c>
    </row>
    <row r="40" spans="1:62" x14ac:dyDescent="0.3">
      <c r="A40">
        <v>626073</v>
      </c>
      <c r="K40" t="str">
        <f t="shared" si="0"/>
        <v>Pass</v>
      </c>
      <c r="L40" s="15">
        <f t="shared" si="1"/>
        <v>0</v>
      </c>
      <c r="M40" s="15">
        <f t="shared" si="2"/>
        <v>0</v>
      </c>
      <c r="Z40" s="15">
        <f t="shared" si="3"/>
        <v>1</v>
      </c>
      <c r="AA40" s="15">
        <f t="shared" si="4"/>
        <v>1</v>
      </c>
      <c r="AB40" s="15">
        <f t="shared" si="5"/>
        <v>1</v>
      </c>
      <c r="AC40" s="15">
        <f t="shared" si="6"/>
        <v>1</v>
      </c>
      <c r="AD40" s="15">
        <f t="shared" si="7"/>
        <v>1</v>
      </c>
      <c r="AE40" s="15">
        <f t="shared" si="8"/>
        <v>1</v>
      </c>
      <c r="AF40" s="15">
        <f t="shared" si="9"/>
        <v>1</v>
      </c>
      <c r="AG40" s="15">
        <f t="shared" si="10"/>
        <v>1</v>
      </c>
      <c r="AH40" s="15">
        <f t="shared" si="11"/>
        <v>1</v>
      </c>
      <c r="AI40" s="15">
        <f t="shared" si="12"/>
        <v>1</v>
      </c>
      <c r="AJ40" s="15">
        <f t="shared" si="13"/>
        <v>1</v>
      </c>
      <c r="AK40" s="15">
        <f t="shared" si="14"/>
        <v>1</v>
      </c>
      <c r="AL40" s="15">
        <f t="shared" si="15"/>
        <v>1</v>
      </c>
      <c r="AM40" s="15">
        <f t="shared" si="16"/>
        <v>1</v>
      </c>
      <c r="AN40" s="15">
        <f t="shared" si="17"/>
        <v>1</v>
      </c>
      <c r="AO40" s="15">
        <f t="shared" si="18"/>
        <v>1</v>
      </c>
      <c r="AP40" s="15">
        <f t="shared" si="19"/>
        <v>1</v>
      </c>
      <c r="AQ40" s="15">
        <f t="shared" si="20"/>
        <v>1</v>
      </c>
      <c r="AR40" s="15">
        <f t="shared" si="21"/>
        <v>1</v>
      </c>
      <c r="AS40" s="15">
        <f t="shared" si="22"/>
        <v>1</v>
      </c>
      <c r="AT40" s="15">
        <f t="shared" si="23"/>
        <v>1</v>
      </c>
      <c r="AU40" s="15">
        <f t="shared" si="24"/>
        <v>1</v>
      </c>
      <c r="AV40" s="15">
        <f t="shared" si="25"/>
        <v>1</v>
      </c>
      <c r="AW40" s="15">
        <f t="shared" si="26"/>
        <v>1</v>
      </c>
      <c r="AX40" s="15">
        <f t="shared" si="38"/>
        <v>1</v>
      </c>
      <c r="AY40" s="15">
        <f t="shared" si="27"/>
        <v>1</v>
      </c>
      <c r="AZ40" s="15">
        <f t="shared" si="28"/>
        <v>1</v>
      </c>
      <c r="BA40" s="15">
        <f t="shared" si="29"/>
        <v>1</v>
      </c>
      <c r="BB40" s="15">
        <f t="shared" si="30"/>
        <v>0</v>
      </c>
      <c r="BC40" s="15" t="str">
        <f t="shared" si="31"/>
        <v/>
      </c>
      <c r="BD40" s="15" t="str">
        <f t="shared" si="32"/>
        <v/>
      </c>
      <c r="BE40" s="11" t="e">
        <f t="shared" si="33"/>
        <v>#VALUE!</v>
      </c>
      <c r="BF40" s="11" t="e">
        <f t="shared" si="34"/>
        <v>#VALUE!</v>
      </c>
      <c r="BG40" s="11" t="e">
        <f t="shared" si="35"/>
        <v>#VALUE!</v>
      </c>
      <c r="BH40" t="str">
        <f t="shared" si="36"/>
        <v/>
      </c>
      <c r="BI40" t="str" cm="1">
        <f t="array" ref="BI40">_xlfn.IFS(
  L40&gt;0,"Critical Fail",
  M40&gt;0,"Important (Coaching)",
  TRUE,"Clean Pass"
)</f>
        <v>Clean Pass</v>
      </c>
      <c r="BJ40" t="str">
        <f t="shared" si="37"/>
        <v>NA</v>
      </c>
    </row>
    <row r="41" spans="1:62" x14ac:dyDescent="0.3">
      <c r="A41">
        <v>469710</v>
      </c>
      <c r="K41" t="str">
        <f t="shared" si="0"/>
        <v>Pass</v>
      </c>
      <c r="L41" s="15">
        <f t="shared" si="1"/>
        <v>0</v>
      </c>
      <c r="M41" s="15">
        <f t="shared" si="2"/>
        <v>0</v>
      </c>
      <c r="Z41" s="15">
        <f t="shared" si="3"/>
        <v>1</v>
      </c>
      <c r="AA41" s="15">
        <f t="shared" si="4"/>
        <v>1</v>
      </c>
      <c r="AB41" s="15">
        <f t="shared" si="5"/>
        <v>1</v>
      </c>
      <c r="AC41" s="15">
        <f t="shared" si="6"/>
        <v>1</v>
      </c>
      <c r="AD41" s="15">
        <f t="shared" si="7"/>
        <v>1</v>
      </c>
      <c r="AE41" s="15">
        <f t="shared" si="8"/>
        <v>1</v>
      </c>
      <c r="AF41" s="15">
        <f t="shared" si="9"/>
        <v>1</v>
      </c>
      <c r="AG41" s="15">
        <f t="shared" si="10"/>
        <v>1</v>
      </c>
      <c r="AH41" s="15">
        <f t="shared" si="11"/>
        <v>1</v>
      </c>
      <c r="AI41" s="15">
        <f t="shared" si="12"/>
        <v>1</v>
      </c>
      <c r="AJ41" s="15">
        <f t="shared" si="13"/>
        <v>1</v>
      </c>
      <c r="AK41" s="15">
        <f t="shared" si="14"/>
        <v>1</v>
      </c>
      <c r="AL41" s="15">
        <f t="shared" si="15"/>
        <v>1</v>
      </c>
      <c r="AM41" s="15">
        <f t="shared" si="16"/>
        <v>1</v>
      </c>
      <c r="AN41" s="15">
        <f t="shared" si="17"/>
        <v>1</v>
      </c>
      <c r="AO41" s="15">
        <f t="shared" si="18"/>
        <v>1</v>
      </c>
      <c r="AP41" s="15">
        <f t="shared" si="19"/>
        <v>1</v>
      </c>
      <c r="AQ41" s="15">
        <f t="shared" si="20"/>
        <v>1</v>
      </c>
      <c r="AR41" s="15">
        <f t="shared" si="21"/>
        <v>1</v>
      </c>
      <c r="AS41" s="15">
        <f t="shared" si="22"/>
        <v>1</v>
      </c>
      <c r="AT41" s="15">
        <f t="shared" si="23"/>
        <v>1</v>
      </c>
      <c r="AU41" s="15">
        <f t="shared" si="24"/>
        <v>1</v>
      </c>
      <c r="AV41" s="15">
        <f t="shared" si="25"/>
        <v>1</v>
      </c>
      <c r="AW41" s="15">
        <f t="shared" si="26"/>
        <v>1</v>
      </c>
      <c r="AX41" s="15">
        <f t="shared" si="38"/>
        <v>1</v>
      </c>
      <c r="AY41" s="15">
        <f t="shared" si="27"/>
        <v>1</v>
      </c>
      <c r="AZ41" s="15">
        <f t="shared" si="28"/>
        <v>1</v>
      </c>
      <c r="BA41" s="15">
        <f t="shared" si="29"/>
        <v>1</v>
      </c>
      <c r="BB41" s="15">
        <f t="shared" si="30"/>
        <v>0</v>
      </c>
      <c r="BC41" s="15" t="str">
        <f t="shared" si="31"/>
        <v/>
      </c>
      <c r="BD41" s="15" t="str">
        <f t="shared" si="32"/>
        <v/>
      </c>
      <c r="BE41" s="11" t="e">
        <f t="shared" si="33"/>
        <v>#VALUE!</v>
      </c>
      <c r="BF41" s="11" t="e">
        <f t="shared" si="34"/>
        <v>#VALUE!</v>
      </c>
      <c r="BG41" s="11" t="e">
        <f t="shared" si="35"/>
        <v>#VALUE!</v>
      </c>
      <c r="BH41" t="str">
        <f t="shared" si="36"/>
        <v/>
      </c>
      <c r="BI41" t="str" cm="1">
        <f t="array" ref="BI41">_xlfn.IFS(
  L41&gt;0,"Critical Fail",
  M41&gt;0,"Important (Coaching)",
  TRUE,"Clean Pass"
)</f>
        <v>Clean Pass</v>
      </c>
      <c r="BJ41" t="str">
        <f t="shared" si="37"/>
        <v>NA</v>
      </c>
    </row>
    <row r="42" spans="1:62" x14ac:dyDescent="0.3">
      <c r="A42">
        <v>506696</v>
      </c>
      <c r="K42" t="str">
        <f t="shared" si="0"/>
        <v>Pass</v>
      </c>
      <c r="L42" s="15">
        <f t="shared" si="1"/>
        <v>0</v>
      </c>
      <c r="M42" s="15">
        <f t="shared" si="2"/>
        <v>0</v>
      </c>
      <c r="Z42" s="15">
        <f t="shared" si="3"/>
        <v>1</v>
      </c>
      <c r="AA42" s="15">
        <f t="shared" si="4"/>
        <v>1</v>
      </c>
      <c r="AB42" s="15">
        <f t="shared" si="5"/>
        <v>1</v>
      </c>
      <c r="AC42" s="15">
        <f t="shared" si="6"/>
        <v>1</v>
      </c>
      <c r="AD42" s="15">
        <f t="shared" si="7"/>
        <v>1</v>
      </c>
      <c r="AE42" s="15">
        <f t="shared" si="8"/>
        <v>1</v>
      </c>
      <c r="AF42" s="15">
        <f t="shared" si="9"/>
        <v>1</v>
      </c>
      <c r="AG42" s="15">
        <f t="shared" si="10"/>
        <v>1</v>
      </c>
      <c r="AH42" s="15">
        <f t="shared" si="11"/>
        <v>1</v>
      </c>
      <c r="AI42" s="15">
        <f t="shared" si="12"/>
        <v>1</v>
      </c>
      <c r="AJ42" s="15">
        <f t="shared" si="13"/>
        <v>1</v>
      </c>
      <c r="AK42" s="15">
        <f t="shared" si="14"/>
        <v>1</v>
      </c>
      <c r="AL42" s="15">
        <f t="shared" si="15"/>
        <v>1</v>
      </c>
      <c r="AM42" s="15">
        <f t="shared" si="16"/>
        <v>1</v>
      </c>
      <c r="AN42" s="15">
        <f t="shared" si="17"/>
        <v>1</v>
      </c>
      <c r="AO42" s="15">
        <f t="shared" si="18"/>
        <v>1</v>
      </c>
      <c r="AP42" s="15">
        <f t="shared" si="19"/>
        <v>1</v>
      </c>
      <c r="AQ42" s="15">
        <f t="shared" si="20"/>
        <v>1</v>
      </c>
      <c r="AR42" s="15">
        <f t="shared" si="21"/>
        <v>1</v>
      </c>
      <c r="AS42" s="15">
        <f t="shared" si="22"/>
        <v>1</v>
      </c>
      <c r="AT42" s="15">
        <f t="shared" si="23"/>
        <v>1</v>
      </c>
      <c r="AU42" s="15">
        <f t="shared" si="24"/>
        <v>1</v>
      </c>
      <c r="AV42" s="15">
        <f t="shared" si="25"/>
        <v>1</v>
      </c>
      <c r="AW42" s="15">
        <f t="shared" si="26"/>
        <v>1</v>
      </c>
      <c r="AX42" s="15">
        <f t="shared" si="38"/>
        <v>1</v>
      </c>
      <c r="AY42" s="15">
        <f t="shared" si="27"/>
        <v>1</v>
      </c>
      <c r="AZ42" s="15">
        <f t="shared" si="28"/>
        <v>1</v>
      </c>
      <c r="BA42" s="15">
        <f t="shared" si="29"/>
        <v>1</v>
      </c>
      <c r="BB42" s="15">
        <f t="shared" si="30"/>
        <v>0</v>
      </c>
      <c r="BC42" s="15" t="str">
        <f t="shared" si="31"/>
        <v/>
      </c>
      <c r="BD42" s="15" t="str">
        <f t="shared" si="32"/>
        <v/>
      </c>
      <c r="BE42" s="11" t="e">
        <f t="shared" si="33"/>
        <v>#VALUE!</v>
      </c>
      <c r="BF42" s="11" t="e">
        <f t="shared" si="34"/>
        <v>#VALUE!</v>
      </c>
      <c r="BG42" s="11" t="e">
        <f t="shared" si="35"/>
        <v>#VALUE!</v>
      </c>
      <c r="BH42" t="str">
        <f t="shared" si="36"/>
        <v/>
      </c>
      <c r="BI42" t="str" cm="1">
        <f t="array" ref="BI42">_xlfn.IFS(
  L42&gt;0,"Critical Fail",
  M42&gt;0,"Important (Coaching)",
  TRUE,"Clean Pass"
)</f>
        <v>Clean Pass</v>
      </c>
      <c r="BJ42" t="str">
        <f t="shared" si="37"/>
        <v>NA</v>
      </c>
    </row>
    <row r="43" spans="1:62" x14ac:dyDescent="0.3">
      <c r="A43">
        <v>969502</v>
      </c>
      <c r="K43" t="str">
        <f t="shared" si="0"/>
        <v>Pass</v>
      </c>
      <c r="L43" s="15">
        <f t="shared" si="1"/>
        <v>0</v>
      </c>
      <c r="M43" s="15">
        <f t="shared" si="2"/>
        <v>0</v>
      </c>
      <c r="Z43" s="15">
        <f t="shared" si="3"/>
        <v>1</v>
      </c>
      <c r="AA43" s="15">
        <f t="shared" si="4"/>
        <v>1</v>
      </c>
      <c r="AB43" s="15">
        <f t="shared" si="5"/>
        <v>1</v>
      </c>
      <c r="AC43" s="15">
        <f t="shared" si="6"/>
        <v>1</v>
      </c>
      <c r="AD43" s="15">
        <f t="shared" si="7"/>
        <v>1</v>
      </c>
      <c r="AE43" s="15">
        <f t="shared" si="8"/>
        <v>1</v>
      </c>
      <c r="AF43" s="15">
        <f t="shared" si="9"/>
        <v>1</v>
      </c>
      <c r="AG43" s="15">
        <f t="shared" si="10"/>
        <v>1</v>
      </c>
      <c r="AH43" s="15">
        <f t="shared" si="11"/>
        <v>1</v>
      </c>
      <c r="AI43" s="15">
        <f t="shared" si="12"/>
        <v>1</v>
      </c>
      <c r="AJ43" s="15">
        <f t="shared" si="13"/>
        <v>1</v>
      </c>
      <c r="AK43" s="15">
        <f t="shared" si="14"/>
        <v>1</v>
      </c>
      <c r="AL43" s="15">
        <f t="shared" si="15"/>
        <v>1</v>
      </c>
      <c r="AM43" s="15">
        <f t="shared" si="16"/>
        <v>1</v>
      </c>
      <c r="AN43" s="15">
        <f t="shared" si="17"/>
        <v>1</v>
      </c>
      <c r="AO43" s="15">
        <f t="shared" si="18"/>
        <v>1</v>
      </c>
      <c r="AP43" s="15">
        <f t="shared" si="19"/>
        <v>1</v>
      </c>
      <c r="AQ43" s="15">
        <f t="shared" si="20"/>
        <v>1</v>
      </c>
      <c r="AR43" s="15">
        <f t="shared" si="21"/>
        <v>1</v>
      </c>
      <c r="AS43" s="15">
        <f t="shared" si="22"/>
        <v>1</v>
      </c>
      <c r="AT43" s="15">
        <f t="shared" si="23"/>
        <v>1</v>
      </c>
      <c r="AU43" s="15">
        <f t="shared" si="24"/>
        <v>1</v>
      </c>
      <c r="AV43" s="15">
        <f t="shared" si="25"/>
        <v>1</v>
      </c>
      <c r="AW43" s="15">
        <f t="shared" si="26"/>
        <v>1</v>
      </c>
      <c r="AX43" s="15">
        <f t="shared" si="38"/>
        <v>1</v>
      </c>
      <c r="AY43" s="15">
        <f t="shared" si="27"/>
        <v>1</v>
      </c>
      <c r="AZ43" s="15">
        <f t="shared" si="28"/>
        <v>1</v>
      </c>
      <c r="BA43" s="15">
        <f t="shared" si="29"/>
        <v>1</v>
      </c>
      <c r="BB43" s="15">
        <f t="shared" si="30"/>
        <v>0</v>
      </c>
      <c r="BC43" s="15" t="str">
        <f t="shared" si="31"/>
        <v/>
      </c>
      <c r="BD43" s="15" t="str">
        <f t="shared" si="32"/>
        <v/>
      </c>
      <c r="BE43" s="11" t="e">
        <f t="shared" si="33"/>
        <v>#VALUE!</v>
      </c>
      <c r="BF43" s="11" t="e">
        <f t="shared" si="34"/>
        <v>#VALUE!</v>
      </c>
      <c r="BG43" s="11" t="e">
        <f t="shared" si="35"/>
        <v>#VALUE!</v>
      </c>
      <c r="BH43" t="str">
        <f t="shared" si="36"/>
        <v/>
      </c>
      <c r="BI43" t="str" cm="1">
        <f t="array" ref="BI43">_xlfn.IFS(
  L43&gt;0,"Critical Fail",
  M43&gt;0,"Important (Coaching)",
  TRUE,"Clean Pass"
)</f>
        <v>Clean Pass</v>
      </c>
      <c r="BJ43" t="str">
        <f t="shared" si="37"/>
        <v>NA</v>
      </c>
    </row>
    <row r="44" spans="1:62" x14ac:dyDescent="0.3">
      <c r="A44">
        <v>590965</v>
      </c>
      <c r="K44" t="str">
        <f t="shared" si="0"/>
        <v>Pass</v>
      </c>
      <c r="L44" s="15">
        <f t="shared" si="1"/>
        <v>0</v>
      </c>
      <c r="M44" s="15">
        <f t="shared" si="2"/>
        <v>0</v>
      </c>
      <c r="Z44" s="15">
        <f t="shared" si="3"/>
        <v>1</v>
      </c>
      <c r="AA44" s="15">
        <f t="shared" si="4"/>
        <v>1</v>
      </c>
      <c r="AB44" s="15">
        <f t="shared" si="5"/>
        <v>1</v>
      </c>
      <c r="AC44" s="15">
        <f t="shared" si="6"/>
        <v>1</v>
      </c>
      <c r="AD44" s="15">
        <f t="shared" si="7"/>
        <v>1</v>
      </c>
      <c r="AE44" s="15">
        <f t="shared" si="8"/>
        <v>1</v>
      </c>
      <c r="AF44" s="15">
        <f t="shared" si="9"/>
        <v>1</v>
      </c>
      <c r="AG44" s="15">
        <f t="shared" si="10"/>
        <v>1</v>
      </c>
      <c r="AH44" s="15">
        <f t="shared" si="11"/>
        <v>1</v>
      </c>
      <c r="AI44" s="15">
        <f t="shared" si="12"/>
        <v>1</v>
      </c>
      <c r="AJ44" s="15">
        <f t="shared" si="13"/>
        <v>1</v>
      </c>
      <c r="AK44" s="15">
        <f t="shared" si="14"/>
        <v>1</v>
      </c>
      <c r="AL44" s="15">
        <f t="shared" si="15"/>
        <v>1</v>
      </c>
      <c r="AM44" s="15">
        <f t="shared" si="16"/>
        <v>1</v>
      </c>
      <c r="AN44" s="15">
        <f t="shared" si="17"/>
        <v>1</v>
      </c>
      <c r="AO44" s="15">
        <f t="shared" si="18"/>
        <v>1</v>
      </c>
      <c r="AP44" s="15">
        <f t="shared" si="19"/>
        <v>1</v>
      </c>
      <c r="AQ44" s="15">
        <f t="shared" si="20"/>
        <v>1</v>
      </c>
      <c r="AR44" s="15">
        <f t="shared" si="21"/>
        <v>1</v>
      </c>
      <c r="AS44" s="15">
        <f t="shared" si="22"/>
        <v>1</v>
      </c>
      <c r="AT44" s="15">
        <f t="shared" si="23"/>
        <v>1</v>
      </c>
      <c r="AU44" s="15">
        <f t="shared" si="24"/>
        <v>1</v>
      </c>
      <c r="AV44" s="15">
        <f t="shared" si="25"/>
        <v>1</v>
      </c>
      <c r="AW44" s="15">
        <f t="shared" si="26"/>
        <v>1</v>
      </c>
      <c r="AX44" s="15">
        <f t="shared" si="38"/>
        <v>1</v>
      </c>
      <c r="AY44" s="15">
        <f t="shared" si="27"/>
        <v>1</v>
      </c>
      <c r="AZ44" s="15">
        <f t="shared" si="28"/>
        <v>1</v>
      </c>
      <c r="BA44" s="15">
        <f t="shared" si="29"/>
        <v>1</v>
      </c>
      <c r="BB44" s="15">
        <f t="shared" si="30"/>
        <v>0</v>
      </c>
      <c r="BC44" s="15" t="str">
        <f t="shared" si="31"/>
        <v/>
      </c>
      <c r="BD44" s="15" t="str">
        <f t="shared" si="32"/>
        <v/>
      </c>
      <c r="BE44" s="11" t="e">
        <f t="shared" si="33"/>
        <v>#VALUE!</v>
      </c>
      <c r="BF44" s="11" t="e">
        <f t="shared" si="34"/>
        <v>#VALUE!</v>
      </c>
      <c r="BG44" s="11" t="e">
        <f t="shared" si="35"/>
        <v>#VALUE!</v>
      </c>
      <c r="BH44" t="str">
        <f t="shared" si="36"/>
        <v/>
      </c>
      <c r="BI44" t="str" cm="1">
        <f t="array" ref="BI44">_xlfn.IFS(
  L44&gt;0,"Critical Fail",
  M44&gt;0,"Important (Coaching)",
  TRUE,"Clean Pass"
)</f>
        <v>Clean Pass</v>
      </c>
      <c r="BJ44" t="str">
        <f t="shared" si="37"/>
        <v>NA</v>
      </c>
    </row>
    <row r="45" spans="1:62" x14ac:dyDescent="0.3">
      <c r="A45">
        <v>735974</v>
      </c>
      <c r="K45" t="str">
        <f t="shared" si="0"/>
        <v>Pass</v>
      </c>
      <c r="L45" s="15">
        <f t="shared" si="1"/>
        <v>0</v>
      </c>
      <c r="M45" s="15">
        <f t="shared" si="2"/>
        <v>0</v>
      </c>
      <c r="Z45" s="15">
        <f t="shared" si="3"/>
        <v>1</v>
      </c>
      <c r="AA45" s="15">
        <f t="shared" si="4"/>
        <v>1</v>
      </c>
      <c r="AB45" s="15">
        <f t="shared" si="5"/>
        <v>1</v>
      </c>
      <c r="AC45" s="15">
        <f t="shared" si="6"/>
        <v>1</v>
      </c>
      <c r="AD45" s="15">
        <f t="shared" si="7"/>
        <v>1</v>
      </c>
      <c r="AE45" s="15">
        <f t="shared" si="8"/>
        <v>1</v>
      </c>
      <c r="AF45" s="15">
        <f t="shared" si="9"/>
        <v>1</v>
      </c>
      <c r="AG45" s="15">
        <f t="shared" si="10"/>
        <v>1</v>
      </c>
      <c r="AH45" s="15">
        <f t="shared" si="11"/>
        <v>1</v>
      </c>
      <c r="AI45" s="15">
        <f t="shared" si="12"/>
        <v>1</v>
      </c>
      <c r="AJ45" s="15">
        <f t="shared" si="13"/>
        <v>1</v>
      </c>
      <c r="AK45" s="15">
        <f t="shared" si="14"/>
        <v>1</v>
      </c>
      <c r="AL45" s="15">
        <f t="shared" si="15"/>
        <v>1</v>
      </c>
      <c r="AM45" s="15">
        <f t="shared" si="16"/>
        <v>1</v>
      </c>
      <c r="AN45" s="15">
        <f t="shared" si="17"/>
        <v>1</v>
      </c>
      <c r="AO45" s="15">
        <f t="shared" si="18"/>
        <v>1</v>
      </c>
      <c r="AP45" s="15">
        <f t="shared" si="19"/>
        <v>1</v>
      </c>
      <c r="AQ45" s="15">
        <f t="shared" si="20"/>
        <v>1</v>
      </c>
      <c r="AR45" s="15">
        <f t="shared" si="21"/>
        <v>1</v>
      </c>
      <c r="AS45" s="15">
        <f t="shared" si="22"/>
        <v>1</v>
      </c>
      <c r="AT45" s="15">
        <f t="shared" si="23"/>
        <v>1</v>
      </c>
      <c r="AU45" s="15">
        <f t="shared" si="24"/>
        <v>1</v>
      </c>
      <c r="AV45" s="15">
        <f t="shared" si="25"/>
        <v>1</v>
      </c>
      <c r="AW45" s="15">
        <f t="shared" si="26"/>
        <v>1</v>
      </c>
      <c r="AX45" s="15">
        <f t="shared" si="38"/>
        <v>1</v>
      </c>
      <c r="AY45" s="15">
        <f t="shared" si="27"/>
        <v>1</v>
      </c>
      <c r="AZ45" s="15">
        <f t="shared" si="28"/>
        <v>1</v>
      </c>
      <c r="BA45" s="15">
        <f t="shared" si="29"/>
        <v>1</v>
      </c>
      <c r="BB45" s="15">
        <f t="shared" si="30"/>
        <v>0</v>
      </c>
      <c r="BC45" s="15" t="str">
        <f t="shared" si="31"/>
        <v/>
      </c>
      <c r="BD45" s="15" t="str">
        <f t="shared" si="32"/>
        <v/>
      </c>
      <c r="BE45" s="11" t="e">
        <f t="shared" si="33"/>
        <v>#VALUE!</v>
      </c>
      <c r="BF45" s="11" t="e">
        <f t="shared" si="34"/>
        <v>#VALUE!</v>
      </c>
      <c r="BG45" s="11" t="e">
        <f t="shared" si="35"/>
        <v>#VALUE!</v>
      </c>
      <c r="BH45" t="str">
        <f t="shared" si="36"/>
        <v/>
      </c>
      <c r="BI45" t="str" cm="1">
        <f t="array" ref="BI45">_xlfn.IFS(
  L45&gt;0,"Critical Fail",
  M45&gt;0,"Important (Coaching)",
  TRUE,"Clean Pass"
)</f>
        <v>Clean Pass</v>
      </c>
      <c r="BJ45" t="str">
        <f t="shared" si="37"/>
        <v>NA</v>
      </c>
    </row>
    <row r="46" spans="1:62" x14ac:dyDescent="0.3">
      <c r="A46">
        <v>991443</v>
      </c>
      <c r="K46" t="str">
        <f t="shared" si="0"/>
        <v>Pass</v>
      </c>
      <c r="L46" s="15">
        <f t="shared" si="1"/>
        <v>0</v>
      </c>
      <c r="M46" s="15">
        <f t="shared" si="2"/>
        <v>0</v>
      </c>
      <c r="Z46" s="15">
        <f t="shared" si="3"/>
        <v>1</v>
      </c>
      <c r="AA46" s="15">
        <f t="shared" si="4"/>
        <v>1</v>
      </c>
      <c r="AB46" s="15">
        <f t="shared" si="5"/>
        <v>1</v>
      </c>
      <c r="AC46" s="15">
        <f t="shared" si="6"/>
        <v>1</v>
      </c>
      <c r="AD46" s="15">
        <f t="shared" si="7"/>
        <v>1</v>
      </c>
      <c r="AE46" s="15">
        <f t="shared" si="8"/>
        <v>1</v>
      </c>
      <c r="AF46" s="15">
        <f t="shared" si="9"/>
        <v>1</v>
      </c>
      <c r="AG46" s="15">
        <f t="shared" si="10"/>
        <v>1</v>
      </c>
      <c r="AH46" s="15">
        <f t="shared" si="11"/>
        <v>1</v>
      </c>
      <c r="AI46" s="15">
        <f t="shared" si="12"/>
        <v>1</v>
      </c>
      <c r="AJ46" s="15">
        <f t="shared" si="13"/>
        <v>1</v>
      </c>
      <c r="AK46" s="15">
        <f t="shared" si="14"/>
        <v>1</v>
      </c>
      <c r="AL46" s="15">
        <f t="shared" si="15"/>
        <v>1</v>
      </c>
      <c r="AM46" s="15">
        <f t="shared" si="16"/>
        <v>1</v>
      </c>
      <c r="AN46" s="15">
        <f t="shared" si="17"/>
        <v>1</v>
      </c>
      <c r="AO46" s="15">
        <f t="shared" si="18"/>
        <v>1</v>
      </c>
      <c r="AP46" s="15">
        <f t="shared" si="19"/>
        <v>1</v>
      </c>
      <c r="AQ46" s="15">
        <f t="shared" si="20"/>
        <v>1</v>
      </c>
      <c r="AR46" s="15">
        <f t="shared" si="21"/>
        <v>1</v>
      </c>
      <c r="AS46" s="15">
        <f t="shared" si="22"/>
        <v>1</v>
      </c>
      <c r="AT46" s="15">
        <f t="shared" si="23"/>
        <v>1</v>
      </c>
      <c r="AU46" s="15">
        <f t="shared" si="24"/>
        <v>1</v>
      </c>
      <c r="AV46" s="15">
        <f t="shared" si="25"/>
        <v>1</v>
      </c>
      <c r="AW46" s="15">
        <f t="shared" si="26"/>
        <v>1</v>
      </c>
      <c r="AX46" s="15">
        <f t="shared" si="38"/>
        <v>1</v>
      </c>
      <c r="AY46" s="15">
        <f t="shared" si="27"/>
        <v>1</v>
      </c>
      <c r="AZ46" s="15">
        <f t="shared" si="28"/>
        <v>1</v>
      </c>
      <c r="BA46" s="15">
        <f t="shared" si="29"/>
        <v>1</v>
      </c>
      <c r="BB46" s="15">
        <f t="shared" si="30"/>
        <v>0</v>
      </c>
      <c r="BC46" s="15" t="str">
        <f t="shared" si="31"/>
        <v/>
      </c>
      <c r="BD46" s="15" t="str">
        <f t="shared" si="32"/>
        <v/>
      </c>
      <c r="BE46" s="11" t="e">
        <f t="shared" si="33"/>
        <v>#VALUE!</v>
      </c>
      <c r="BF46" s="11" t="e">
        <f t="shared" si="34"/>
        <v>#VALUE!</v>
      </c>
      <c r="BG46" s="11" t="e">
        <f t="shared" si="35"/>
        <v>#VALUE!</v>
      </c>
      <c r="BH46" t="str">
        <f t="shared" si="36"/>
        <v/>
      </c>
      <c r="BI46" t="str" cm="1">
        <f t="array" ref="BI46">_xlfn.IFS(
  L46&gt;0,"Critical Fail",
  M46&gt;0,"Important (Coaching)",
  TRUE,"Clean Pass"
)</f>
        <v>Clean Pass</v>
      </c>
      <c r="BJ46" t="str">
        <f t="shared" si="37"/>
        <v>NA</v>
      </c>
    </row>
    <row r="47" spans="1:62" x14ac:dyDescent="0.3">
      <c r="A47">
        <v>837461</v>
      </c>
      <c r="K47" t="str">
        <f t="shared" si="0"/>
        <v>Pass</v>
      </c>
      <c r="L47" s="15">
        <f t="shared" si="1"/>
        <v>0</v>
      </c>
      <c r="M47" s="15">
        <f t="shared" si="2"/>
        <v>0</v>
      </c>
      <c r="Z47" s="15">
        <f t="shared" si="3"/>
        <v>1</v>
      </c>
      <c r="AA47" s="15">
        <f t="shared" si="4"/>
        <v>1</v>
      </c>
      <c r="AB47" s="15">
        <f t="shared" si="5"/>
        <v>1</v>
      </c>
      <c r="AC47" s="15">
        <f t="shared" si="6"/>
        <v>1</v>
      </c>
      <c r="AD47" s="15">
        <f t="shared" si="7"/>
        <v>1</v>
      </c>
      <c r="AE47" s="15">
        <f t="shared" si="8"/>
        <v>1</v>
      </c>
      <c r="AF47" s="15">
        <f t="shared" si="9"/>
        <v>1</v>
      </c>
      <c r="AG47" s="15">
        <f t="shared" si="10"/>
        <v>1</v>
      </c>
      <c r="AH47" s="15">
        <f t="shared" si="11"/>
        <v>1</v>
      </c>
      <c r="AI47" s="15">
        <f t="shared" si="12"/>
        <v>1</v>
      </c>
      <c r="AJ47" s="15">
        <f t="shared" si="13"/>
        <v>1</v>
      </c>
      <c r="AK47" s="15">
        <f t="shared" si="14"/>
        <v>1</v>
      </c>
      <c r="AL47" s="15">
        <f t="shared" si="15"/>
        <v>1</v>
      </c>
      <c r="AM47" s="15">
        <f t="shared" si="16"/>
        <v>1</v>
      </c>
      <c r="AN47" s="15">
        <f t="shared" si="17"/>
        <v>1</v>
      </c>
      <c r="AO47" s="15">
        <f t="shared" si="18"/>
        <v>1</v>
      </c>
      <c r="AP47" s="15">
        <f t="shared" si="19"/>
        <v>1</v>
      </c>
      <c r="AQ47" s="15">
        <f t="shared" si="20"/>
        <v>1</v>
      </c>
      <c r="AR47" s="15">
        <f t="shared" si="21"/>
        <v>1</v>
      </c>
      <c r="AS47" s="15">
        <f t="shared" si="22"/>
        <v>1</v>
      </c>
      <c r="AT47" s="15">
        <f t="shared" si="23"/>
        <v>1</v>
      </c>
      <c r="AU47" s="15">
        <f t="shared" si="24"/>
        <v>1</v>
      </c>
      <c r="AV47" s="15">
        <f t="shared" si="25"/>
        <v>1</v>
      </c>
      <c r="AW47" s="15">
        <f t="shared" si="26"/>
        <v>1</v>
      </c>
      <c r="AX47" s="15">
        <f t="shared" si="38"/>
        <v>1</v>
      </c>
      <c r="AY47" s="15">
        <f t="shared" si="27"/>
        <v>1</v>
      </c>
      <c r="AZ47" s="15">
        <f t="shared" si="28"/>
        <v>1</v>
      </c>
      <c r="BA47" s="15">
        <f t="shared" si="29"/>
        <v>1</v>
      </c>
      <c r="BB47" s="15">
        <f t="shared" si="30"/>
        <v>0</v>
      </c>
      <c r="BC47" s="15" t="str">
        <f t="shared" si="31"/>
        <v/>
      </c>
      <c r="BD47" s="15" t="str">
        <f t="shared" si="32"/>
        <v/>
      </c>
      <c r="BE47" s="11" t="e">
        <f t="shared" si="33"/>
        <v>#VALUE!</v>
      </c>
      <c r="BF47" s="11" t="e">
        <f t="shared" si="34"/>
        <v>#VALUE!</v>
      </c>
      <c r="BG47" s="11" t="e">
        <f t="shared" si="35"/>
        <v>#VALUE!</v>
      </c>
      <c r="BH47" t="str">
        <f t="shared" si="36"/>
        <v/>
      </c>
      <c r="BI47" t="str" cm="1">
        <f t="array" ref="BI47">_xlfn.IFS(
  L47&gt;0,"Critical Fail",
  M47&gt;0,"Important (Coaching)",
  TRUE,"Clean Pass"
)</f>
        <v>Clean Pass</v>
      </c>
      <c r="BJ47" t="str">
        <f t="shared" si="37"/>
        <v>NA</v>
      </c>
    </row>
    <row r="48" spans="1:62" x14ac:dyDescent="0.3">
      <c r="A48">
        <v>535814</v>
      </c>
      <c r="K48" t="str">
        <f t="shared" si="0"/>
        <v>Pass</v>
      </c>
      <c r="L48" s="15">
        <f t="shared" si="1"/>
        <v>0</v>
      </c>
      <c r="M48" s="15">
        <f t="shared" si="2"/>
        <v>0</v>
      </c>
      <c r="Z48" s="15">
        <f t="shared" si="3"/>
        <v>1</v>
      </c>
      <c r="AA48" s="15">
        <f t="shared" si="4"/>
        <v>1</v>
      </c>
      <c r="AB48" s="15">
        <f t="shared" si="5"/>
        <v>1</v>
      </c>
      <c r="AC48" s="15">
        <f t="shared" si="6"/>
        <v>1</v>
      </c>
      <c r="AD48" s="15">
        <f t="shared" si="7"/>
        <v>1</v>
      </c>
      <c r="AE48" s="15">
        <f t="shared" si="8"/>
        <v>1</v>
      </c>
      <c r="AF48" s="15">
        <f t="shared" si="9"/>
        <v>1</v>
      </c>
      <c r="AG48" s="15">
        <f t="shared" si="10"/>
        <v>1</v>
      </c>
      <c r="AH48" s="15">
        <f t="shared" si="11"/>
        <v>1</v>
      </c>
      <c r="AI48" s="15">
        <f t="shared" si="12"/>
        <v>1</v>
      </c>
      <c r="AJ48" s="15">
        <f t="shared" si="13"/>
        <v>1</v>
      </c>
      <c r="AK48" s="15">
        <f t="shared" si="14"/>
        <v>1</v>
      </c>
      <c r="AL48" s="15">
        <f t="shared" si="15"/>
        <v>1</v>
      </c>
      <c r="AM48" s="15">
        <f t="shared" si="16"/>
        <v>1</v>
      </c>
      <c r="AN48" s="15">
        <f t="shared" si="17"/>
        <v>1</v>
      </c>
      <c r="AO48" s="15">
        <f t="shared" si="18"/>
        <v>1</v>
      </c>
      <c r="AP48" s="15">
        <f t="shared" si="19"/>
        <v>1</v>
      </c>
      <c r="AQ48" s="15">
        <f t="shared" si="20"/>
        <v>1</v>
      </c>
      <c r="AR48" s="15">
        <f t="shared" si="21"/>
        <v>1</v>
      </c>
      <c r="AS48" s="15">
        <f t="shared" si="22"/>
        <v>1</v>
      </c>
      <c r="AT48" s="15">
        <f t="shared" si="23"/>
        <v>1</v>
      </c>
      <c r="AU48" s="15">
        <f t="shared" si="24"/>
        <v>1</v>
      </c>
      <c r="AV48" s="15">
        <f t="shared" si="25"/>
        <v>1</v>
      </c>
      <c r="AW48" s="15">
        <f t="shared" si="26"/>
        <v>1</v>
      </c>
      <c r="AX48" s="15">
        <f t="shared" si="38"/>
        <v>1</v>
      </c>
      <c r="AY48" s="15">
        <f t="shared" si="27"/>
        <v>1</v>
      </c>
      <c r="AZ48" s="15">
        <f t="shared" si="28"/>
        <v>1</v>
      </c>
      <c r="BA48" s="15">
        <f t="shared" si="29"/>
        <v>1</v>
      </c>
      <c r="BB48" s="15">
        <f t="shared" si="30"/>
        <v>0</v>
      </c>
      <c r="BC48" s="15" t="str">
        <f t="shared" si="31"/>
        <v/>
      </c>
      <c r="BD48" s="15" t="str">
        <f t="shared" si="32"/>
        <v/>
      </c>
      <c r="BE48" s="11" t="e">
        <f t="shared" si="33"/>
        <v>#VALUE!</v>
      </c>
      <c r="BF48" s="11" t="e">
        <f t="shared" si="34"/>
        <v>#VALUE!</v>
      </c>
      <c r="BG48" s="11" t="e">
        <f t="shared" si="35"/>
        <v>#VALUE!</v>
      </c>
      <c r="BH48" t="str">
        <f t="shared" si="36"/>
        <v/>
      </c>
      <c r="BI48" t="str" cm="1">
        <f t="array" ref="BI48">_xlfn.IFS(
  L48&gt;0,"Critical Fail",
  M48&gt;0,"Important (Coaching)",
  TRUE,"Clean Pass"
)</f>
        <v>Clean Pass</v>
      </c>
      <c r="BJ48" t="str">
        <f t="shared" si="37"/>
        <v>NA</v>
      </c>
    </row>
    <row r="49" spans="1:62" x14ac:dyDescent="0.3">
      <c r="A49">
        <v>735926</v>
      </c>
      <c r="K49" t="str">
        <f t="shared" si="0"/>
        <v>Pass</v>
      </c>
      <c r="L49" s="15">
        <f t="shared" si="1"/>
        <v>0</v>
      </c>
      <c r="M49" s="15">
        <f t="shared" si="2"/>
        <v>0</v>
      </c>
      <c r="Z49" s="15">
        <f t="shared" si="3"/>
        <v>1</v>
      </c>
      <c r="AA49" s="15">
        <f t="shared" si="4"/>
        <v>1</v>
      </c>
      <c r="AB49" s="15">
        <f t="shared" si="5"/>
        <v>1</v>
      </c>
      <c r="AC49" s="15">
        <f t="shared" si="6"/>
        <v>1</v>
      </c>
      <c r="AD49" s="15">
        <f t="shared" si="7"/>
        <v>1</v>
      </c>
      <c r="AE49" s="15">
        <f t="shared" si="8"/>
        <v>1</v>
      </c>
      <c r="AF49" s="15">
        <f t="shared" si="9"/>
        <v>1</v>
      </c>
      <c r="AG49" s="15">
        <f t="shared" si="10"/>
        <v>1</v>
      </c>
      <c r="AH49" s="15">
        <f t="shared" si="11"/>
        <v>1</v>
      </c>
      <c r="AI49" s="15">
        <f t="shared" si="12"/>
        <v>1</v>
      </c>
      <c r="AJ49" s="15">
        <f t="shared" si="13"/>
        <v>1</v>
      </c>
      <c r="AK49" s="15">
        <f t="shared" si="14"/>
        <v>1</v>
      </c>
      <c r="AL49" s="15">
        <f t="shared" si="15"/>
        <v>1</v>
      </c>
      <c r="AM49" s="15">
        <f t="shared" si="16"/>
        <v>1</v>
      </c>
      <c r="AN49" s="15">
        <f t="shared" si="17"/>
        <v>1</v>
      </c>
      <c r="AO49" s="15">
        <f t="shared" si="18"/>
        <v>1</v>
      </c>
      <c r="AP49" s="15">
        <f t="shared" si="19"/>
        <v>1</v>
      </c>
      <c r="AQ49" s="15">
        <f t="shared" si="20"/>
        <v>1</v>
      </c>
      <c r="AR49" s="15">
        <f t="shared" si="21"/>
        <v>1</v>
      </c>
      <c r="AS49" s="15">
        <f t="shared" si="22"/>
        <v>1</v>
      </c>
      <c r="AT49" s="15">
        <f t="shared" si="23"/>
        <v>1</v>
      </c>
      <c r="AU49" s="15">
        <f t="shared" si="24"/>
        <v>1</v>
      </c>
      <c r="AV49" s="15">
        <f t="shared" si="25"/>
        <v>1</v>
      </c>
      <c r="AW49" s="15">
        <f t="shared" si="26"/>
        <v>1</v>
      </c>
      <c r="AX49" s="15">
        <f t="shared" si="38"/>
        <v>1</v>
      </c>
      <c r="AY49" s="15">
        <f t="shared" si="27"/>
        <v>1</v>
      </c>
      <c r="AZ49" s="15">
        <f t="shared" si="28"/>
        <v>1</v>
      </c>
      <c r="BA49" s="15">
        <f t="shared" si="29"/>
        <v>1</v>
      </c>
      <c r="BB49" s="15">
        <f t="shared" si="30"/>
        <v>0</v>
      </c>
      <c r="BC49" s="15" t="str">
        <f t="shared" si="31"/>
        <v/>
      </c>
      <c r="BD49" s="15" t="str">
        <f t="shared" si="32"/>
        <v/>
      </c>
      <c r="BE49" s="11" t="e">
        <f t="shared" si="33"/>
        <v>#VALUE!</v>
      </c>
      <c r="BF49" s="11" t="e">
        <f t="shared" si="34"/>
        <v>#VALUE!</v>
      </c>
      <c r="BG49" s="11" t="e">
        <f t="shared" si="35"/>
        <v>#VALUE!</v>
      </c>
      <c r="BH49" t="str">
        <f t="shared" si="36"/>
        <v/>
      </c>
      <c r="BI49" t="str" cm="1">
        <f t="array" ref="BI49">_xlfn.IFS(
  L49&gt;0,"Critical Fail",
  M49&gt;0,"Important (Coaching)",
  TRUE,"Clean Pass"
)</f>
        <v>Clean Pass</v>
      </c>
      <c r="BJ49" t="str">
        <f t="shared" si="37"/>
        <v>NA</v>
      </c>
    </row>
    <row r="50" spans="1:62" x14ac:dyDescent="0.3">
      <c r="A50">
        <v>286563</v>
      </c>
      <c r="K50" t="str">
        <f t="shared" si="0"/>
        <v>Pass</v>
      </c>
      <c r="L50" s="15">
        <f t="shared" si="1"/>
        <v>0</v>
      </c>
      <c r="M50" s="15">
        <f t="shared" si="2"/>
        <v>0</v>
      </c>
      <c r="Z50" s="15">
        <f t="shared" si="3"/>
        <v>1</v>
      </c>
      <c r="AA50" s="15">
        <f t="shared" si="4"/>
        <v>1</v>
      </c>
      <c r="AB50" s="15">
        <f t="shared" si="5"/>
        <v>1</v>
      </c>
      <c r="AC50" s="15">
        <f t="shared" si="6"/>
        <v>1</v>
      </c>
      <c r="AD50" s="15">
        <f t="shared" si="7"/>
        <v>1</v>
      </c>
      <c r="AE50" s="15">
        <f t="shared" si="8"/>
        <v>1</v>
      </c>
      <c r="AF50" s="15">
        <f t="shared" si="9"/>
        <v>1</v>
      </c>
      <c r="AG50" s="15">
        <f t="shared" si="10"/>
        <v>1</v>
      </c>
      <c r="AH50" s="15">
        <f t="shared" si="11"/>
        <v>1</v>
      </c>
      <c r="AI50" s="15">
        <f t="shared" si="12"/>
        <v>1</v>
      </c>
      <c r="AJ50" s="15">
        <f t="shared" si="13"/>
        <v>1</v>
      </c>
      <c r="AK50" s="15">
        <f t="shared" si="14"/>
        <v>1</v>
      </c>
      <c r="AL50" s="15">
        <f t="shared" si="15"/>
        <v>1</v>
      </c>
      <c r="AM50" s="15">
        <f t="shared" si="16"/>
        <v>1</v>
      </c>
      <c r="AN50" s="15">
        <f t="shared" si="17"/>
        <v>1</v>
      </c>
      <c r="AO50" s="15">
        <f t="shared" si="18"/>
        <v>1</v>
      </c>
      <c r="AP50" s="15">
        <f t="shared" si="19"/>
        <v>1</v>
      </c>
      <c r="AQ50" s="15">
        <f t="shared" si="20"/>
        <v>1</v>
      </c>
      <c r="AR50" s="15">
        <f t="shared" si="21"/>
        <v>1</v>
      </c>
      <c r="AS50" s="15">
        <f t="shared" si="22"/>
        <v>1</v>
      </c>
      <c r="AT50" s="15">
        <f t="shared" si="23"/>
        <v>1</v>
      </c>
      <c r="AU50" s="15">
        <f t="shared" si="24"/>
        <v>1</v>
      </c>
      <c r="AV50" s="15">
        <f t="shared" si="25"/>
        <v>1</v>
      </c>
      <c r="AW50" s="15">
        <f t="shared" si="26"/>
        <v>1</v>
      </c>
      <c r="AX50" s="15">
        <f t="shared" si="38"/>
        <v>1</v>
      </c>
      <c r="AY50" s="15">
        <f t="shared" si="27"/>
        <v>1</v>
      </c>
      <c r="AZ50" s="15">
        <f t="shared" si="28"/>
        <v>1</v>
      </c>
      <c r="BA50" s="15">
        <f t="shared" si="29"/>
        <v>1</v>
      </c>
      <c r="BB50" s="15">
        <f t="shared" si="30"/>
        <v>0</v>
      </c>
      <c r="BC50" s="15" t="str">
        <f t="shared" si="31"/>
        <v/>
      </c>
      <c r="BD50" s="15" t="str">
        <f t="shared" si="32"/>
        <v/>
      </c>
      <c r="BE50" s="11" t="e">
        <f t="shared" si="33"/>
        <v>#VALUE!</v>
      </c>
      <c r="BF50" s="11" t="e">
        <f t="shared" si="34"/>
        <v>#VALUE!</v>
      </c>
      <c r="BG50" s="11" t="e">
        <f t="shared" si="35"/>
        <v>#VALUE!</v>
      </c>
      <c r="BH50" t="str">
        <f t="shared" si="36"/>
        <v/>
      </c>
      <c r="BI50" t="str" cm="1">
        <f t="array" ref="BI50">_xlfn.IFS(
  L50&gt;0,"Critical Fail",
  M50&gt;0,"Important (Coaching)",
  TRUE,"Clean Pass"
)</f>
        <v>Clean Pass</v>
      </c>
      <c r="BJ50" t="str">
        <f t="shared" si="37"/>
        <v>NA</v>
      </c>
    </row>
    <row r="51" spans="1:62" x14ac:dyDescent="0.3">
      <c r="A51">
        <v>452552</v>
      </c>
      <c r="K51" t="str">
        <f t="shared" si="0"/>
        <v>Pass</v>
      </c>
      <c r="L51" s="15">
        <f t="shared" si="1"/>
        <v>0</v>
      </c>
      <c r="M51" s="15">
        <f t="shared" si="2"/>
        <v>0</v>
      </c>
      <c r="Z51" s="15">
        <f t="shared" si="3"/>
        <v>1</v>
      </c>
      <c r="AA51" s="15">
        <f t="shared" si="4"/>
        <v>1</v>
      </c>
      <c r="AB51" s="15">
        <f t="shared" si="5"/>
        <v>1</v>
      </c>
      <c r="AC51" s="15">
        <f t="shared" si="6"/>
        <v>1</v>
      </c>
      <c r="AD51" s="15">
        <f t="shared" si="7"/>
        <v>1</v>
      </c>
      <c r="AE51" s="15">
        <f t="shared" si="8"/>
        <v>1</v>
      </c>
      <c r="AF51" s="15">
        <f t="shared" si="9"/>
        <v>1</v>
      </c>
      <c r="AG51" s="15">
        <f t="shared" si="10"/>
        <v>1</v>
      </c>
      <c r="AH51" s="15">
        <f t="shared" si="11"/>
        <v>1</v>
      </c>
      <c r="AI51" s="15">
        <f t="shared" si="12"/>
        <v>1</v>
      </c>
      <c r="AJ51" s="15">
        <f t="shared" si="13"/>
        <v>1</v>
      </c>
      <c r="AK51" s="15">
        <f t="shared" si="14"/>
        <v>1</v>
      </c>
      <c r="AL51" s="15">
        <f t="shared" si="15"/>
        <v>1</v>
      </c>
      <c r="AM51" s="15">
        <f t="shared" si="16"/>
        <v>1</v>
      </c>
      <c r="AN51" s="15">
        <f t="shared" si="17"/>
        <v>1</v>
      </c>
      <c r="AO51" s="15">
        <f t="shared" si="18"/>
        <v>1</v>
      </c>
      <c r="AP51" s="15">
        <f t="shared" si="19"/>
        <v>1</v>
      </c>
      <c r="AQ51" s="15">
        <f t="shared" si="20"/>
        <v>1</v>
      </c>
      <c r="AR51" s="15">
        <f t="shared" si="21"/>
        <v>1</v>
      </c>
      <c r="AS51" s="15">
        <f t="shared" si="22"/>
        <v>1</v>
      </c>
      <c r="AT51" s="15">
        <f t="shared" si="23"/>
        <v>1</v>
      </c>
      <c r="AU51" s="15">
        <f t="shared" si="24"/>
        <v>1</v>
      </c>
      <c r="AV51" s="15">
        <f t="shared" si="25"/>
        <v>1</v>
      </c>
      <c r="AW51" s="15">
        <f t="shared" si="26"/>
        <v>1</v>
      </c>
      <c r="AX51" s="15">
        <f t="shared" si="38"/>
        <v>1</v>
      </c>
      <c r="AY51" s="15">
        <f t="shared" si="27"/>
        <v>1</v>
      </c>
      <c r="AZ51" s="15">
        <f t="shared" si="28"/>
        <v>1</v>
      </c>
      <c r="BA51" s="15">
        <f t="shared" si="29"/>
        <v>1</v>
      </c>
      <c r="BB51" s="15">
        <f t="shared" si="30"/>
        <v>0</v>
      </c>
      <c r="BC51" s="15" t="str">
        <f t="shared" si="31"/>
        <v/>
      </c>
      <c r="BD51" s="15" t="str">
        <f t="shared" si="32"/>
        <v/>
      </c>
      <c r="BE51" s="11" t="e">
        <f t="shared" si="33"/>
        <v>#VALUE!</v>
      </c>
      <c r="BF51" s="11" t="e">
        <f t="shared" si="34"/>
        <v>#VALUE!</v>
      </c>
      <c r="BG51" s="11" t="e">
        <f t="shared" si="35"/>
        <v>#VALUE!</v>
      </c>
      <c r="BH51" t="str">
        <f t="shared" si="36"/>
        <v/>
      </c>
      <c r="BI51" t="str" cm="1">
        <f t="array" ref="BI51">_xlfn.IFS(
  L51&gt;0,"Critical Fail",
  M51&gt;0,"Important (Coaching)",
  TRUE,"Clean Pass"
)</f>
        <v>Clean Pass</v>
      </c>
      <c r="BJ51" t="str">
        <f t="shared" si="37"/>
        <v>NA</v>
      </c>
    </row>
    <row r="52" spans="1:62" x14ac:dyDescent="0.3">
      <c r="A52">
        <v>726403</v>
      </c>
      <c r="K52" t="str">
        <f t="shared" si="0"/>
        <v>Pass</v>
      </c>
      <c r="L52" s="15">
        <f t="shared" si="1"/>
        <v>0</v>
      </c>
      <c r="M52" s="15">
        <f t="shared" si="2"/>
        <v>0</v>
      </c>
      <c r="Z52" s="15">
        <f t="shared" si="3"/>
        <v>1</v>
      </c>
      <c r="AA52" s="15">
        <f t="shared" si="4"/>
        <v>1</v>
      </c>
      <c r="AB52" s="15">
        <f t="shared" si="5"/>
        <v>1</v>
      </c>
      <c r="AC52" s="15">
        <f t="shared" si="6"/>
        <v>1</v>
      </c>
      <c r="AD52" s="15">
        <f t="shared" si="7"/>
        <v>1</v>
      </c>
      <c r="AE52" s="15">
        <f t="shared" si="8"/>
        <v>1</v>
      </c>
      <c r="AF52" s="15">
        <f t="shared" si="9"/>
        <v>1</v>
      </c>
      <c r="AG52" s="15">
        <f t="shared" si="10"/>
        <v>1</v>
      </c>
      <c r="AH52" s="15">
        <f t="shared" si="11"/>
        <v>1</v>
      </c>
      <c r="AI52" s="15">
        <f t="shared" si="12"/>
        <v>1</v>
      </c>
      <c r="AJ52" s="15">
        <f t="shared" si="13"/>
        <v>1</v>
      </c>
      <c r="AK52" s="15">
        <f t="shared" si="14"/>
        <v>1</v>
      </c>
      <c r="AL52" s="15">
        <f t="shared" si="15"/>
        <v>1</v>
      </c>
      <c r="AM52" s="15">
        <f t="shared" si="16"/>
        <v>1</v>
      </c>
      <c r="AN52" s="15">
        <f t="shared" si="17"/>
        <v>1</v>
      </c>
      <c r="AO52" s="15">
        <f t="shared" si="18"/>
        <v>1</v>
      </c>
      <c r="AP52" s="15">
        <f t="shared" si="19"/>
        <v>1</v>
      </c>
      <c r="AQ52" s="15">
        <f t="shared" si="20"/>
        <v>1</v>
      </c>
      <c r="AR52" s="15">
        <f t="shared" si="21"/>
        <v>1</v>
      </c>
      <c r="AS52" s="15">
        <f t="shared" si="22"/>
        <v>1</v>
      </c>
      <c r="AT52" s="15">
        <f t="shared" si="23"/>
        <v>1</v>
      </c>
      <c r="AU52" s="15">
        <f t="shared" si="24"/>
        <v>1</v>
      </c>
      <c r="AV52" s="15">
        <f t="shared" si="25"/>
        <v>1</v>
      </c>
      <c r="AW52" s="15">
        <f t="shared" si="26"/>
        <v>1</v>
      </c>
      <c r="AX52" s="15">
        <f t="shared" si="38"/>
        <v>1</v>
      </c>
      <c r="AY52" s="15">
        <f t="shared" si="27"/>
        <v>1</v>
      </c>
      <c r="AZ52" s="15">
        <f t="shared" si="28"/>
        <v>1</v>
      </c>
      <c r="BA52" s="15">
        <f t="shared" si="29"/>
        <v>1</v>
      </c>
      <c r="BB52" s="15">
        <f t="shared" si="30"/>
        <v>0</v>
      </c>
      <c r="BC52" s="15" t="str">
        <f t="shared" si="31"/>
        <v/>
      </c>
      <c r="BD52" s="15" t="str">
        <f t="shared" si="32"/>
        <v/>
      </c>
      <c r="BE52" s="11" t="e">
        <f t="shared" si="33"/>
        <v>#VALUE!</v>
      </c>
      <c r="BF52" s="11" t="e">
        <f t="shared" si="34"/>
        <v>#VALUE!</v>
      </c>
      <c r="BG52" s="11" t="e">
        <f t="shared" si="35"/>
        <v>#VALUE!</v>
      </c>
      <c r="BH52" t="str">
        <f t="shared" si="36"/>
        <v/>
      </c>
      <c r="BI52" t="str" cm="1">
        <f t="array" ref="BI52">_xlfn.IFS(
  L52&gt;0,"Critical Fail",
  M52&gt;0,"Important (Coaching)",
  TRUE,"Clean Pass"
)</f>
        <v>Clean Pass</v>
      </c>
      <c r="BJ52" t="str">
        <f t="shared" si="37"/>
        <v>NA</v>
      </c>
    </row>
    <row r="53" spans="1:62" x14ac:dyDescent="0.3">
      <c r="A53">
        <v>834334</v>
      </c>
      <c r="K53" t="str">
        <f t="shared" si="0"/>
        <v>Pass</v>
      </c>
      <c r="L53" s="15">
        <f t="shared" si="1"/>
        <v>0</v>
      </c>
      <c r="M53" s="15">
        <f t="shared" si="2"/>
        <v>0</v>
      </c>
      <c r="Z53" s="15">
        <f t="shared" si="3"/>
        <v>1</v>
      </c>
      <c r="AA53" s="15">
        <f t="shared" si="4"/>
        <v>1</v>
      </c>
      <c r="AB53" s="15">
        <f t="shared" si="5"/>
        <v>1</v>
      </c>
      <c r="AC53" s="15">
        <f t="shared" si="6"/>
        <v>1</v>
      </c>
      <c r="AD53" s="15">
        <f t="shared" si="7"/>
        <v>1</v>
      </c>
      <c r="AE53" s="15">
        <f t="shared" si="8"/>
        <v>1</v>
      </c>
      <c r="AF53" s="15">
        <f t="shared" si="9"/>
        <v>1</v>
      </c>
      <c r="AG53" s="15">
        <f t="shared" si="10"/>
        <v>1</v>
      </c>
      <c r="AH53" s="15">
        <f t="shared" si="11"/>
        <v>1</v>
      </c>
      <c r="AI53" s="15">
        <f t="shared" si="12"/>
        <v>1</v>
      </c>
      <c r="AJ53" s="15">
        <f t="shared" si="13"/>
        <v>1</v>
      </c>
      <c r="AK53" s="15">
        <f t="shared" si="14"/>
        <v>1</v>
      </c>
      <c r="AL53" s="15">
        <f t="shared" si="15"/>
        <v>1</v>
      </c>
      <c r="AM53" s="15">
        <f t="shared" si="16"/>
        <v>1</v>
      </c>
      <c r="AN53" s="15">
        <f t="shared" si="17"/>
        <v>1</v>
      </c>
      <c r="AO53" s="15">
        <f t="shared" si="18"/>
        <v>1</v>
      </c>
      <c r="AP53" s="15">
        <f t="shared" si="19"/>
        <v>1</v>
      </c>
      <c r="AQ53" s="15">
        <f t="shared" si="20"/>
        <v>1</v>
      </c>
      <c r="AR53" s="15">
        <f t="shared" si="21"/>
        <v>1</v>
      </c>
      <c r="AS53" s="15">
        <f t="shared" si="22"/>
        <v>1</v>
      </c>
      <c r="AT53" s="15">
        <f t="shared" si="23"/>
        <v>1</v>
      </c>
      <c r="AU53" s="15">
        <f t="shared" si="24"/>
        <v>1</v>
      </c>
      <c r="AV53" s="15">
        <f t="shared" si="25"/>
        <v>1</v>
      </c>
      <c r="AW53" s="15">
        <f t="shared" si="26"/>
        <v>1</v>
      </c>
      <c r="AX53" s="15">
        <f t="shared" si="38"/>
        <v>1</v>
      </c>
      <c r="AY53" s="15">
        <f t="shared" si="27"/>
        <v>1</v>
      </c>
      <c r="AZ53" s="15">
        <f t="shared" si="28"/>
        <v>1</v>
      </c>
      <c r="BA53" s="15">
        <f t="shared" si="29"/>
        <v>1</v>
      </c>
      <c r="BB53" s="15">
        <f t="shared" si="30"/>
        <v>0</v>
      </c>
      <c r="BC53" s="15" t="str">
        <f t="shared" si="31"/>
        <v/>
      </c>
      <c r="BD53" s="15" t="str">
        <f t="shared" si="32"/>
        <v/>
      </c>
      <c r="BE53" s="11" t="e">
        <f t="shared" si="33"/>
        <v>#VALUE!</v>
      </c>
      <c r="BF53" s="11" t="e">
        <f t="shared" si="34"/>
        <v>#VALUE!</v>
      </c>
      <c r="BG53" s="11" t="e">
        <f t="shared" si="35"/>
        <v>#VALUE!</v>
      </c>
      <c r="BH53" t="str">
        <f t="shared" si="36"/>
        <v/>
      </c>
      <c r="BI53" t="str" cm="1">
        <f t="array" ref="BI53">_xlfn.IFS(
  L53&gt;0,"Critical Fail",
  M53&gt;0,"Important (Coaching)",
  TRUE,"Clean Pass"
)</f>
        <v>Clean Pass</v>
      </c>
      <c r="BJ53" t="str">
        <f t="shared" si="37"/>
        <v>NA</v>
      </c>
    </row>
    <row r="54" spans="1:62" x14ac:dyDescent="0.3">
      <c r="A54">
        <v>727935</v>
      </c>
      <c r="K54" t="str">
        <f t="shared" si="0"/>
        <v>Pass</v>
      </c>
      <c r="L54" s="15">
        <f t="shared" si="1"/>
        <v>0</v>
      </c>
      <c r="M54" s="15">
        <f t="shared" si="2"/>
        <v>0</v>
      </c>
      <c r="Z54" s="15">
        <f t="shared" si="3"/>
        <v>1</v>
      </c>
      <c r="AA54" s="15">
        <f t="shared" si="4"/>
        <v>1</v>
      </c>
      <c r="AB54" s="15">
        <f t="shared" si="5"/>
        <v>1</v>
      </c>
      <c r="AC54" s="15">
        <f t="shared" si="6"/>
        <v>1</v>
      </c>
      <c r="AD54" s="15">
        <f t="shared" si="7"/>
        <v>1</v>
      </c>
      <c r="AE54" s="15">
        <f t="shared" si="8"/>
        <v>1</v>
      </c>
      <c r="AF54" s="15">
        <f t="shared" si="9"/>
        <v>1</v>
      </c>
      <c r="AG54" s="15">
        <f t="shared" si="10"/>
        <v>1</v>
      </c>
      <c r="AH54" s="15">
        <f t="shared" si="11"/>
        <v>1</v>
      </c>
      <c r="AI54" s="15">
        <f t="shared" si="12"/>
        <v>1</v>
      </c>
      <c r="AJ54" s="15">
        <f t="shared" si="13"/>
        <v>1</v>
      </c>
      <c r="AK54" s="15">
        <f t="shared" si="14"/>
        <v>1</v>
      </c>
      <c r="AL54" s="15">
        <f t="shared" si="15"/>
        <v>1</v>
      </c>
      <c r="AM54" s="15">
        <f t="shared" si="16"/>
        <v>1</v>
      </c>
      <c r="AN54" s="15">
        <f t="shared" si="17"/>
        <v>1</v>
      </c>
      <c r="AO54" s="15">
        <f t="shared" si="18"/>
        <v>1</v>
      </c>
      <c r="AP54" s="15">
        <f t="shared" si="19"/>
        <v>1</v>
      </c>
      <c r="AQ54" s="15">
        <f t="shared" si="20"/>
        <v>1</v>
      </c>
      <c r="AR54" s="15">
        <f t="shared" si="21"/>
        <v>1</v>
      </c>
      <c r="AS54" s="15">
        <f t="shared" si="22"/>
        <v>1</v>
      </c>
      <c r="AT54" s="15">
        <f t="shared" si="23"/>
        <v>1</v>
      </c>
      <c r="AU54" s="15">
        <f t="shared" si="24"/>
        <v>1</v>
      </c>
      <c r="AV54" s="15">
        <f t="shared" si="25"/>
        <v>1</v>
      </c>
      <c r="AW54" s="15">
        <f t="shared" si="26"/>
        <v>1</v>
      </c>
      <c r="AX54" s="15">
        <f t="shared" si="38"/>
        <v>1</v>
      </c>
      <c r="AY54" s="15">
        <f t="shared" si="27"/>
        <v>1</v>
      </c>
      <c r="AZ54" s="15">
        <f t="shared" si="28"/>
        <v>1</v>
      </c>
      <c r="BA54" s="15">
        <f t="shared" si="29"/>
        <v>1</v>
      </c>
      <c r="BB54" s="15">
        <f t="shared" si="30"/>
        <v>0</v>
      </c>
      <c r="BC54" s="15" t="str">
        <f t="shared" si="31"/>
        <v/>
      </c>
      <c r="BD54" s="15" t="str">
        <f t="shared" si="32"/>
        <v/>
      </c>
      <c r="BE54" s="11" t="e">
        <f t="shared" si="33"/>
        <v>#VALUE!</v>
      </c>
      <c r="BF54" s="11" t="e">
        <f t="shared" si="34"/>
        <v>#VALUE!</v>
      </c>
      <c r="BG54" s="11" t="e">
        <f t="shared" si="35"/>
        <v>#VALUE!</v>
      </c>
      <c r="BH54" t="str">
        <f t="shared" si="36"/>
        <v/>
      </c>
      <c r="BI54" t="str" cm="1">
        <f t="array" ref="BI54">_xlfn.IFS(
  L54&gt;0,"Critical Fail",
  M54&gt;0,"Important (Coaching)",
  TRUE,"Clean Pass"
)</f>
        <v>Clean Pass</v>
      </c>
      <c r="BJ54" t="str">
        <f t="shared" si="37"/>
        <v>NA</v>
      </c>
    </row>
    <row r="55" spans="1:62" x14ac:dyDescent="0.3">
      <c r="A55">
        <v>780676</v>
      </c>
      <c r="K55" t="str">
        <f t="shared" si="0"/>
        <v>Pass</v>
      </c>
      <c r="L55" s="15">
        <f t="shared" si="1"/>
        <v>0</v>
      </c>
      <c r="M55" s="15">
        <f t="shared" si="2"/>
        <v>0</v>
      </c>
      <c r="Z55" s="15">
        <f t="shared" si="3"/>
        <v>1</v>
      </c>
      <c r="AA55" s="15">
        <f t="shared" si="4"/>
        <v>1</v>
      </c>
      <c r="AB55" s="15">
        <f t="shared" si="5"/>
        <v>1</v>
      </c>
      <c r="AC55" s="15">
        <f t="shared" si="6"/>
        <v>1</v>
      </c>
      <c r="AD55" s="15">
        <f t="shared" si="7"/>
        <v>1</v>
      </c>
      <c r="AE55" s="15">
        <f t="shared" si="8"/>
        <v>1</v>
      </c>
      <c r="AF55" s="15">
        <f t="shared" si="9"/>
        <v>1</v>
      </c>
      <c r="AG55" s="15">
        <f t="shared" si="10"/>
        <v>1</v>
      </c>
      <c r="AH55" s="15">
        <f t="shared" si="11"/>
        <v>1</v>
      </c>
      <c r="AI55" s="15">
        <f t="shared" si="12"/>
        <v>1</v>
      </c>
      <c r="AJ55" s="15">
        <f t="shared" si="13"/>
        <v>1</v>
      </c>
      <c r="AK55" s="15">
        <f t="shared" si="14"/>
        <v>1</v>
      </c>
      <c r="AL55" s="15">
        <f t="shared" si="15"/>
        <v>1</v>
      </c>
      <c r="AM55" s="15">
        <f t="shared" si="16"/>
        <v>1</v>
      </c>
      <c r="AN55" s="15">
        <f t="shared" si="17"/>
        <v>1</v>
      </c>
      <c r="AO55" s="15">
        <f t="shared" si="18"/>
        <v>1</v>
      </c>
      <c r="AP55" s="15">
        <f t="shared" si="19"/>
        <v>1</v>
      </c>
      <c r="AQ55" s="15">
        <f t="shared" si="20"/>
        <v>1</v>
      </c>
      <c r="AR55" s="15">
        <f t="shared" si="21"/>
        <v>1</v>
      </c>
      <c r="AS55" s="15">
        <f t="shared" si="22"/>
        <v>1</v>
      </c>
      <c r="AT55" s="15">
        <f t="shared" si="23"/>
        <v>1</v>
      </c>
      <c r="AU55" s="15">
        <f t="shared" si="24"/>
        <v>1</v>
      </c>
      <c r="AV55" s="15">
        <f t="shared" si="25"/>
        <v>1</v>
      </c>
      <c r="AW55" s="15">
        <f t="shared" si="26"/>
        <v>1</v>
      </c>
      <c r="AX55" s="15">
        <f t="shared" si="38"/>
        <v>1</v>
      </c>
      <c r="AY55" s="15">
        <f t="shared" si="27"/>
        <v>1</v>
      </c>
      <c r="AZ55" s="15">
        <f t="shared" si="28"/>
        <v>1</v>
      </c>
      <c r="BA55" s="15">
        <f t="shared" si="29"/>
        <v>1</v>
      </c>
      <c r="BB55" s="15">
        <f t="shared" si="30"/>
        <v>0</v>
      </c>
      <c r="BC55" s="15" t="str">
        <f t="shared" si="31"/>
        <v/>
      </c>
      <c r="BD55" s="15" t="str">
        <f t="shared" si="32"/>
        <v/>
      </c>
      <c r="BE55" s="11" t="e">
        <f t="shared" si="33"/>
        <v>#VALUE!</v>
      </c>
      <c r="BF55" s="11" t="e">
        <f t="shared" si="34"/>
        <v>#VALUE!</v>
      </c>
      <c r="BG55" s="11" t="e">
        <f t="shared" si="35"/>
        <v>#VALUE!</v>
      </c>
      <c r="BH55" t="str">
        <f t="shared" si="36"/>
        <v/>
      </c>
      <c r="BI55" t="str" cm="1">
        <f t="array" ref="BI55">_xlfn.IFS(
  L55&gt;0,"Critical Fail",
  M55&gt;0,"Important (Coaching)",
  TRUE,"Clean Pass"
)</f>
        <v>Clean Pass</v>
      </c>
      <c r="BJ55" t="str">
        <f t="shared" si="37"/>
        <v>NA</v>
      </c>
    </row>
    <row r="56" spans="1:62" x14ac:dyDescent="0.3">
      <c r="A56">
        <v>206422</v>
      </c>
      <c r="K56" t="str">
        <f t="shared" si="0"/>
        <v>Pass</v>
      </c>
      <c r="L56" s="15">
        <f t="shared" si="1"/>
        <v>0</v>
      </c>
      <c r="M56" s="15">
        <f t="shared" si="2"/>
        <v>0</v>
      </c>
      <c r="Z56" s="15">
        <f t="shared" si="3"/>
        <v>1</v>
      </c>
      <c r="AA56" s="15">
        <f t="shared" si="4"/>
        <v>1</v>
      </c>
      <c r="AB56" s="15">
        <f t="shared" si="5"/>
        <v>1</v>
      </c>
      <c r="AC56" s="15">
        <f t="shared" si="6"/>
        <v>1</v>
      </c>
      <c r="AD56" s="15">
        <f t="shared" si="7"/>
        <v>1</v>
      </c>
      <c r="AE56" s="15">
        <f t="shared" si="8"/>
        <v>1</v>
      </c>
      <c r="AF56" s="15">
        <f t="shared" si="9"/>
        <v>1</v>
      </c>
      <c r="AG56" s="15">
        <f t="shared" si="10"/>
        <v>1</v>
      </c>
      <c r="AH56" s="15">
        <f t="shared" si="11"/>
        <v>1</v>
      </c>
      <c r="AI56" s="15">
        <f t="shared" si="12"/>
        <v>1</v>
      </c>
      <c r="AJ56" s="15">
        <f t="shared" si="13"/>
        <v>1</v>
      </c>
      <c r="AK56" s="15">
        <f t="shared" si="14"/>
        <v>1</v>
      </c>
      <c r="AL56" s="15">
        <f t="shared" si="15"/>
        <v>1</v>
      </c>
      <c r="AM56" s="15">
        <f t="shared" si="16"/>
        <v>1</v>
      </c>
      <c r="AN56" s="15">
        <f t="shared" si="17"/>
        <v>1</v>
      </c>
      <c r="AO56" s="15">
        <f t="shared" si="18"/>
        <v>1</v>
      </c>
      <c r="AP56" s="15">
        <f t="shared" si="19"/>
        <v>1</v>
      </c>
      <c r="AQ56" s="15">
        <f t="shared" si="20"/>
        <v>1</v>
      </c>
      <c r="AR56" s="15">
        <f t="shared" si="21"/>
        <v>1</v>
      </c>
      <c r="AS56" s="15">
        <f t="shared" si="22"/>
        <v>1</v>
      </c>
      <c r="AT56" s="15">
        <f t="shared" si="23"/>
        <v>1</v>
      </c>
      <c r="AU56" s="15">
        <f t="shared" si="24"/>
        <v>1</v>
      </c>
      <c r="AV56" s="15">
        <f t="shared" si="25"/>
        <v>1</v>
      </c>
      <c r="AW56" s="15">
        <f t="shared" si="26"/>
        <v>1</v>
      </c>
      <c r="AX56" s="15">
        <f t="shared" si="38"/>
        <v>1</v>
      </c>
      <c r="AY56" s="15">
        <f t="shared" si="27"/>
        <v>1</v>
      </c>
      <c r="AZ56" s="15">
        <f t="shared" si="28"/>
        <v>1</v>
      </c>
      <c r="BA56" s="15">
        <f t="shared" si="29"/>
        <v>1</v>
      </c>
      <c r="BB56" s="15">
        <f t="shared" si="30"/>
        <v>0</v>
      </c>
      <c r="BC56" s="15" t="str">
        <f t="shared" si="31"/>
        <v/>
      </c>
      <c r="BD56" s="15" t="str">
        <f t="shared" si="32"/>
        <v/>
      </c>
      <c r="BE56" s="11" t="e">
        <f t="shared" si="33"/>
        <v>#VALUE!</v>
      </c>
      <c r="BF56" s="11" t="e">
        <f t="shared" si="34"/>
        <v>#VALUE!</v>
      </c>
      <c r="BG56" s="11" t="e">
        <f t="shared" si="35"/>
        <v>#VALUE!</v>
      </c>
      <c r="BH56" t="str">
        <f t="shared" si="36"/>
        <v/>
      </c>
      <c r="BI56" t="str" cm="1">
        <f t="array" ref="BI56">_xlfn.IFS(
  L56&gt;0,"Critical Fail",
  M56&gt;0,"Important (Coaching)",
  TRUE,"Clean Pass"
)</f>
        <v>Clean Pass</v>
      </c>
      <c r="BJ56" t="str">
        <f t="shared" si="37"/>
        <v>NA</v>
      </c>
    </row>
    <row r="57" spans="1:62" x14ac:dyDescent="0.3">
      <c r="A57">
        <v>375853</v>
      </c>
      <c r="K57" t="str">
        <f t="shared" si="0"/>
        <v>Pass</v>
      </c>
      <c r="L57" s="15">
        <f t="shared" si="1"/>
        <v>0</v>
      </c>
      <c r="M57" s="15">
        <f t="shared" si="2"/>
        <v>0</v>
      </c>
      <c r="Z57" s="15">
        <f t="shared" si="3"/>
        <v>1</v>
      </c>
      <c r="AA57" s="15">
        <f t="shared" si="4"/>
        <v>1</v>
      </c>
      <c r="AB57" s="15">
        <f t="shared" si="5"/>
        <v>1</v>
      </c>
      <c r="AC57" s="15">
        <f t="shared" si="6"/>
        <v>1</v>
      </c>
      <c r="AD57" s="15">
        <f t="shared" si="7"/>
        <v>1</v>
      </c>
      <c r="AE57" s="15">
        <f t="shared" si="8"/>
        <v>1</v>
      </c>
      <c r="AF57" s="15">
        <f t="shared" si="9"/>
        <v>1</v>
      </c>
      <c r="AG57" s="15">
        <f t="shared" si="10"/>
        <v>1</v>
      </c>
      <c r="AH57" s="15">
        <f t="shared" si="11"/>
        <v>1</v>
      </c>
      <c r="AI57" s="15">
        <f t="shared" si="12"/>
        <v>1</v>
      </c>
      <c r="AJ57" s="15">
        <f t="shared" si="13"/>
        <v>1</v>
      </c>
      <c r="AK57" s="15">
        <f t="shared" si="14"/>
        <v>1</v>
      </c>
      <c r="AL57" s="15">
        <f t="shared" si="15"/>
        <v>1</v>
      </c>
      <c r="AM57" s="15">
        <f t="shared" si="16"/>
        <v>1</v>
      </c>
      <c r="AN57" s="15">
        <f t="shared" si="17"/>
        <v>1</v>
      </c>
      <c r="AO57" s="15">
        <f t="shared" si="18"/>
        <v>1</v>
      </c>
      <c r="AP57" s="15">
        <f t="shared" si="19"/>
        <v>1</v>
      </c>
      <c r="AQ57" s="15">
        <f t="shared" si="20"/>
        <v>1</v>
      </c>
      <c r="AR57" s="15">
        <f t="shared" si="21"/>
        <v>1</v>
      </c>
      <c r="AS57" s="15">
        <f t="shared" si="22"/>
        <v>1</v>
      </c>
      <c r="AT57" s="15">
        <f t="shared" si="23"/>
        <v>1</v>
      </c>
      <c r="AU57" s="15">
        <f t="shared" si="24"/>
        <v>1</v>
      </c>
      <c r="AV57" s="15">
        <f t="shared" si="25"/>
        <v>1</v>
      </c>
      <c r="AW57" s="15">
        <f t="shared" si="26"/>
        <v>1</v>
      </c>
      <c r="AX57" s="15">
        <f t="shared" si="38"/>
        <v>1</v>
      </c>
      <c r="AY57" s="15">
        <f t="shared" si="27"/>
        <v>1</v>
      </c>
      <c r="AZ57" s="15">
        <f t="shared" si="28"/>
        <v>1</v>
      </c>
      <c r="BA57" s="15">
        <f t="shared" si="29"/>
        <v>1</v>
      </c>
      <c r="BB57" s="15">
        <f t="shared" si="30"/>
        <v>0</v>
      </c>
      <c r="BC57" s="15" t="str">
        <f t="shared" si="31"/>
        <v/>
      </c>
      <c r="BD57" s="15" t="str">
        <f t="shared" si="32"/>
        <v/>
      </c>
      <c r="BE57" s="11" t="e">
        <f t="shared" si="33"/>
        <v>#VALUE!</v>
      </c>
      <c r="BF57" s="11" t="e">
        <f t="shared" si="34"/>
        <v>#VALUE!</v>
      </c>
      <c r="BG57" s="11" t="e">
        <f t="shared" si="35"/>
        <v>#VALUE!</v>
      </c>
      <c r="BH57" t="str">
        <f t="shared" si="36"/>
        <v/>
      </c>
      <c r="BI57" t="str" cm="1">
        <f t="array" ref="BI57">_xlfn.IFS(
  L57&gt;0,"Critical Fail",
  M57&gt;0,"Important (Coaching)",
  TRUE,"Clean Pass"
)</f>
        <v>Clean Pass</v>
      </c>
      <c r="BJ57" t="str">
        <f t="shared" si="37"/>
        <v>NA</v>
      </c>
    </row>
    <row r="58" spans="1:62" x14ac:dyDescent="0.3">
      <c r="A58">
        <v>895348</v>
      </c>
      <c r="K58" t="str">
        <f t="shared" si="0"/>
        <v>Pass</v>
      </c>
      <c r="L58" s="15">
        <f t="shared" si="1"/>
        <v>0</v>
      </c>
      <c r="M58" s="15">
        <f t="shared" si="2"/>
        <v>0</v>
      </c>
      <c r="Z58" s="15">
        <f t="shared" si="3"/>
        <v>1</v>
      </c>
      <c r="AA58" s="15">
        <f t="shared" si="4"/>
        <v>1</v>
      </c>
      <c r="AB58" s="15">
        <f t="shared" si="5"/>
        <v>1</v>
      </c>
      <c r="AC58" s="15">
        <f t="shared" si="6"/>
        <v>1</v>
      </c>
      <c r="AD58" s="15">
        <f t="shared" si="7"/>
        <v>1</v>
      </c>
      <c r="AE58" s="15">
        <f t="shared" si="8"/>
        <v>1</v>
      </c>
      <c r="AF58" s="15">
        <f t="shared" si="9"/>
        <v>1</v>
      </c>
      <c r="AG58" s="15">
        <f t="shared" si="10"/>
        <v>1</v>
      </c>
      <c r="AH58" s="15">
        <f t="shared" si="11"/>
        <v>1</v>
      </c>
      <c r="AI58" s="15">
        <f t="shared" si="12"/>
        <v>1</v>
      </c>
      <c r="AJ58" s="15">
        <f t="shared" si="13"/>
        <v>1</v>
      </c>
      <c r="AK58" s="15">
        <f t="shared" si="14"/>
        <v>1</v>
      </c>
      <c r="AL58" s="15">
        <f t="shared" si="15"/>
        <v>1</v>
      </c>
      <c r="AM58" s="15">
        <f t="shared" si="16"/>
        <v>1</v>
      </c>
      <c r="AN58" s="15">
        <f t="shared" si="17"/>
        <v>1</v>
      </c>
      <c r="AO58" s="15">
        <f t="shared" si="18"/>
        <v>1</v>
      </c>
      <c r="AP58" s="15">
        <f t="shared" si="19"/>
        <v>1</v>
      </c>
      <c r="AQ58" s="15">
        <f t="shared" si="20"/>
        <v>1</v>
      </c>
      <c r="AR58" s="15">
        <f t="shared" si="21"/>
        <v>1</v>
      </c>
      <c r="AS58" s="15">
        <f t="shared" si="22"/>
        <v>1</v>
      </c>
      <c r="AT58" s="15">
        <f t="shared" si="23"/>
        <v>1</v>
      </c>
      <c r="AU58" s="15">
        <f t="shared" si="24"/>
        <v>1</v>
      </c>
      <c r="AV58" s="15">
        <f t="shared" si="25"/>
        <v>1</v>
      </c>
      <c r="AW58" s="15">
        <f t="shared" si="26"/>
        <v>1</v>
      </c>
      <c r="AX58" s="15">
        <f t="shared" si="38"/>
        <v>1</v>
      </c>
      <c r="AY58" s="15">
        <f t="shared" si="27"/>
        <v>1</v>
      </c>
      <c r="AZ58" s="15">
        <f t="shared" si="28"/>
        <v>1</v>
      </c>
      <c r="BA58" s="15">
        <f t="shared" si="29"/>
        <v>1</v>
      </c>
      <c r="BB58" s="15">
        <f t="shared" si="30"/>
        <v>0</v>
      </c>
      <c r="BC58" s="15" t="str">
        <f t="shared" si="31"/>
        <v/>
      </c>
      <c r="BD58" s="15" t="str">
        <f t="shared" si="32"/>
        <v/>
      </c>
      <c r="BE58" s="11" t="e">
        <f t="shared" si="33"/>
        <v>#VALUE!</v>
      </c>
      <c r="BF58" s="11" t="e">
        <f t="shared" si="34"/>
        <v>#VALUE!</v>
      </c>
      <c r="BG58" s="11" t="e">
        <f t="shared" si="35"/>
        <v>#VALUE!</v>
      </c>
      <c r="BH58" t="str">
        <f t="shared" si="36"/>
        <v/>
      </c>
      <c r="BI58" t="str" cm="1">
        <f t="array" ref="BI58">_xlfn.IFS(
  L58&gt;0,"Critical Fail",
  M58&gt;0,"Important (Coaching)",
  TRUE,"Clean Pass"
)</f>
        <v>Clean Pass</v>
      </c>
      <c r="BJ58" t="str">
        <f t="shared" si="37"/>
        <v>NA</v>
      </c>
    </row>
    <row r="59" spans="1:62" x14ac:dyDescent="0.3">
      <c r="A59">
        <v>787537</v>
      </c>
      <c r="K59" t="str">
        <f t="shared" si="0"/>
        <v>Pass</v>
      </c>
      <c r="L59" s="15">
        <f t="shared" si="1"/>
        <v>0</v>
      </c>
      <c r="M59" s="15">
        <f t="shared" si="2"/>
        <v>0</v>
      </c>
      <c r="Z59" s="15">
        <f t="shared" si="3"/>
        <v>1</v>
      </c>
      <c r="AA59" s="15">
        <f t="shared" si="4"/>
        <v>1</v>
      </c>
      <c r="AB59" s="15">
        <f t="shared" si="5"/>
        <v>1</v>
      </c>
      <c r="AC59" s="15">
        <f t="shared" si="6"/>
        <v>1</v>
      </c>
      <c r="AD59" s="15">
        <f t="shared" si="7"/>
        <v>1</v>
      </c>
      <c r="AE59" s="15">
        <f t="shared" si="8"/>
        <v>1</v>
      </c>
      <c r="AF59" s="15">
        <f t="shared" si="9"/>
        <v>1</v>
      </c>
      <c r="AG59" s="15">
        <f t="shared" si="10"/>
        <v>1</v>
      </c>
      <c r="AH59" s="15">
        <f t="shared" si="11"/>
        <v>1</v>
      </c>
      <c r="AI59" s="15">
        <f t="shared" si="12"/>
        <v>1</v>
      </c>
      <c r="AJ59" s="15">
        <f t="shared" si="13"/>
        <v>1</v>
      </c>
      <c r="AK59" s="15">
        <f t="shared" si="14"/>
        <v>1</v>
      </c>
      <c r="AL59" s="15">
        <f t="shared" si="15"/>
        <v>1</v>
      </c>
      <c r="AM59" s="15">
        <f t="shared" si="16"/>
        <v>1</v>
      </c>
      <c r="AN59" s="15">
        <f t="shared" si="17"/>
        <v>1</v>
      </c>
      <c r="AO59" s="15">
        <f t="shared" si="18"/>
        <v>1</v>
      </c>
      <c r="AP59" s="15">
        <f t="shared" si="19"/>
        <v>1</v>
      </c>
      <c r="AQ59" s="15">
        <f t="shared" si="20"/>
        <v>1</v>
      </c>
      <c r="AR59" s="15">
        <f t="shared" si="21"/>
        <v>1</v>
      </c>
      <c r="AS59" s="15">
        <f t="shared" si="22"/>
        <v>1</v>
      </c>
      <c r="AT59" s="15">
        <f t="shared" si="23"/>
        <v>1</v>
      </c>
      <c r="AU59" s="15">
        <f t="shared" si="24"/>
        <v>1</v>
      </c>
      <c r="AV59" s="15">
        <f t="shared" si="25"/>
        <v>1</v>
      </c>
      <c r="AW59" s="15">
        <f t="shared" si="26"/>
        <v>1</v>
      </c>
      <c r="AX59" s="15">
        <f t="shared" si="38"/>
        <v>1</v>
      </c>
      <c r="AY59" s="15">
        <f t="shared" si="27"/>
        <v>1</v>
      </c>
      <c r="AZ59" s="15">
        <f t="shared" si="28"/>
        <v>1</v>
      </c>
      <c r="BA59" s="15">
        <f t="shared" si="29"/>
        <v>1</v>
      </c>
      <c r="BB59" s="15">
        <f t="shared" si="30"/>
        <v>0</v>
      </c>
      <c r="BC59" s="15" t="str">
        <f t="shared" si="31"/>
        <v/>
      </c>
      <c r="BD59" s="15" t="str">
        <f t="shared" si="32"/>
        <v/>
      </c>
      <c r="BE59" s="11" t="e">
        <f t="shared" si="33"/>
        <v>#VALUE!</v>
      </c>
      <c r="BF59" s="11" t="e">
        <f t="shared" si="34"/>
        <v>#VALUE!</v>
      </c>
      <c r="BG59" s="11" t="e">
        <f t="shared" si="35"/>
        <v>#VALUE!</v>
      </c>
      <c r="BH59" t="str">
        <f t="shared" si="36"/>
        <v/>
      </c>
      <c r="BI59" t="str" cm="1">
        <f t="array" ref="BI59">_xlfn.IFS(
  L59&gt;0,"Critical Fail",
  M59&gt;0,"Important (Coaching)",
  TRUE,"Clean Pass"
)</f>
        <v>Clean Pass</v>
      </c>
      <c r="BJ59" t="str">
        <f t="shared" si="37"/>
        <v>NA</v>
      </c>
    </row>
    <row r="60" spans="1:62" x14ac:dyDescent="0.3">
      <c r="A60">
        <v>110391</v>
      </c>
      <c r="K60" t="str">
        <f t="shared" si="0"/>
        <v>Pass</v>
      </c>
      <c r="L60" s="15">
        <f t="shared" si="1"/>
        <v>0</v>
      </c>
      <c r="M60" s="15">
        <f t="shared" si="2"/>
        <v>0</v>
      </c>
      <c r="Z60" s="15">
        <f t="shared" si="3"/>
        <v>1</v>
      </c>
      <c r="AA60" s="15">
        <f t="shared" si="4"/>
        <v>1</v>
      </c>
      <c r="AB60" s="15">
        <f t="shared" si="5"/>
        <v>1</v>
      </c>
      <c r="AC60" s="15">
        <f t="shared" si="6"/>
        <v>1</v>
      </c>
      <c r="AD60" s="15">
        <f t="shared" si="7"/>
        <v>1</v>
      </c>
      <c r="AE60" s="15">
        <f t="shared" si="8"/>
        <v>1</v>
      </c>
      <c r="AF60" s="15">
        <f t="shared" si="9"/>
        <v>1</v>
      </c>
      <c r="AG60" s="15">
        <f t="shared" si="10"/>
        <v>1</v>
      </c>
      <c r="AH60" s="15">
        <f t="shared" si="11"/>
        <v>1</v>
      </c>
      <c r="AI60" s="15">
        <f t="shared" si="12"/>
        <v>1</v>
      </c>
      <c r="AJ60" s="15">
        <f t="shared" si="13"/>
        <v>1</v>
      </c>
      <c r="AK60" s="15">
        <f t="shared" si="14"/>
        <v>1</v>
      </c>
      <c r="AL60" s="15">
        <f t="shared" si="15"/>
        <v>1</v>
      </c>
      <c r="AM60" s="15">
        <f t="shared" si="16"/>
        <v>1</v>
      </c>
      <c r="AN60" s="15">
        <f t="shared" si="17"/>
        <v>1</v>
      </c>
      <c r="AO60" s="15">
        <f t="shared" si="18"/>
        <v>1</v>
      </c>
      <c r="AP60" s="15">
        <f t="shared" si="19"/>
        <v>1</v>
      </c>
      <c r="AQ60" s="15">
        <f t="shared" si="20"/>
        <v>1</v>
      </c>
      <c r="AR60" s="15">
        <f t="shared" si="21"/>
        <v>1</v>
      </c>
      <c r="AS60" s="15">
        <f t="shared" si="22"/>
        <v>1</v>
      </c>
      <c r="AT60" s="15">
        <f t="shared" si="23"/>
        <v>1</v>
      </c>
      <c r="AU60" s="15">
        <f t="shared" si="24"/>
        <v>1</v>
      </c>
      <c r="AV60" s="15">
        <f t="shared" si="25"/>
        <v>1</v>
      </c>
      <c r="AW60" s="15">
        <f t="shared" si="26"/>
        <v>1</v>
      </c>
      <c r="AX60" s="15">
        <f t="shared" si="38"/>
        <v>1</v>
      </c>
      <c r="AY60" s="15">
        <f t="shared" si="27"/>
        <v>1</v>
      </c>
      <c r="AZ60" s="15">
        <f t="shared" si="28"/>
        <v>1</v>
      </c>
      <c r="BA60" s="15">
        <f t="shared" si="29"/>
        <v>1</v>
      </c>
      <c r="BB60" s="15">
        <f t="shared" si="30"/>
        <v>0</v>
      </c>
      <c r="BC60" s="15" t="str">
        <f t="shared" si="31"/>
        <v/>
      </c>
      <c r="BD60" s="15" t="str">
        <f t="shared" si="32"/>
        <v/>
      </c>
      <c r="BE60" s="11" t="e">
        <f t="shared" si="33"/>
        <v>#VALUE!</v>
      </c>
      <c r="BF60" s="11" t="e">
        <f t="shared" si="34"/>
        <v>#VALUE!</v>
      </c>
      <c r="BG60" s="11" t="e">
        <f t="shared" si="35"/>
        <v>#VALUE!</v>
      </c>
      <c r="BH60" t="str">
        <f t="shared" si="36"/>
        <v/>
      </c>
      <c r="BI60" t="str" cm="1">
        <f t="array" ref="BI60">_xlfn.IFS(
  L60&gt;0,"Critical Fail",
  M60&gt;0,"Important (Coaching)",
  TRUE,"Clean Pass"
)</f>
        <v>Clean Pass</v>
      </c>
      <c r="BJ60" t="str">
        <f t="shared" si="37"/>
        <v>NA</v>
      </c>
    </row>
    <row r="61" spans="1:62" x14ac:dyDescent="0.3">
      <c r="A61">
        <v>534135</v>
      </c>
      <c r="K61" t="str">
        <f t="shared" si="0"/>
        <v>Pass</v>
      </c>
      <c r="L61" s="15">
        <f t="shared" si="1"/>
        <v>0</v>
      </c>
      <c r="M61" s="15">
        <f t="shared" si="2"/>
        <v>0</v>
      </c>
      <c r="Z61" s="15">
        <f t="shared" si="3"/>
        <v>1</v>
      </c>
      <c r="AA61" s="15">
        <f t="shared" si="4"/>
        <v>1</v>
      </c>
      <c r="AB61" s="15">
        <f t="shared" si="5"/>
        <v>1</v>
      </c>
      <c r="AC61" s="15">
        <f t="shared" si="6"/>
        <v>1</v>
      </c>
      <c r="AD61" s="15">
        <f t="shared" si="7"/>
        <v>1</v>
      </c>
      <c r="AE61" s="15">
        <f t="shared" si="8"/>
        <v>1</v>
      </c>
      <c r="AF61" s="15">
        <f t="shared" si="9"/>
        <v>1</v>
      </c>
      <c r="AG61" s="15">
        <f t="shared" si="10"/>
        <v>1</v>
      </c>
      <c r="AH61" s="15">
        <f t="shared" si="11"/>
        <v>1</v>
      </c>
      <c r="AI61" s="15">
        <f t="shared" si="12"/>
        <v>1</v>
      </c>
      <c r="AJ61" s="15">
        <f t="shared" si="13"/>
        <v>1</v>
      </c>
      <c r="AK61" s="15">
        <f t="shared" si="14"/>
        <v>1</v>
      </c>
      <c r="AL61" s="15">
        <f t="shared" si="15"/>
        <v>1</v>
      </c>
      <c r="AM61" s="15">
        <f t="shared" si="16"/>
        <v>1</v>
      </c>
      <c r="AN61" s="15">
        <f t="shared" si="17"/>
        <v>1</v>
      </c>
      <c r="AO61" s="15">
        <f t="shared" si="18"/>
        <v>1</v>
      </c>
      <c r="AP61" s="15">
        <f t="shared" si="19"/>
        <v>1</v>
      </c>
      <c r="AQ61" s="15">
        <f t="shared" si="20"/>
        <v>1</v>
      </c>
      <c r="AR61" s="15">
        <f t="shared" si="21"/>
        <v>1</v>
      </c>
      <c r="AS61" s="15">
        <f t="shared" si="22"/>
        <v>1</v>
      </c>
      <c r="AT61" s="15">
        <f t="shared" si="23"/>
        <v>1</v>
      </c>
      <c r="AU61" s="15">
        <f t="shared" si="24"/>
        <v>1</v>
      </c>
      <c r="AV61" s="15">
        <f t="shared" si="25"/>
        <v>1</v>
      </c>
      <c r="AW61" s="15">
        <f t="shared" si="26"/>
        <v>1</v>
      </c>
      <c r="AX61" s="15">
        <f t="shared" si="38"/>
        <v>1</v>
      </c>
      <c r="AY61" s="15">
        <f t="shared" si="27"/>
        <v>1</v>
      </c>
      <c r="AZ61" s="15">
        <f t="shared" si="28"/>
        <v>1</v>
      </c>
      <c r="BA61" s="15">
        <f t="shared" si="29"/>
        <v>1</v>
      </c>
      <c r="BB61" s="15">
        <f t="shared" si="30"/>
        <v>0</v>
      </c>
      <c r="BC61" s="15" t="str">
        <f t="shared" si="31"/>
        <v/>
      </c>
      <c r="BD61" s="15" t="str">
        <f t="shared" si="32"/>
        <v/>
      </c>
      <c r="BE61" s="11" t="e">
        <f t="shared" si="33"/>
        <v>#VALUE!</v>
      </c>
      <c r="BF61" s="11" t="e">
        <f t="shared" si="34"/>
        <v>#VALUE!</v>
      </c>
      <c r="BG61" s="11" t="e">
        <f t="shared" si="35"/>
        <v>#VALUE!</v>
      </c>
      <c r="BH61" t="str">
        <f t="shared" si="36"/>
        <v/>
      </c>
      <c r="BI61" t="str" cm="1">
        <f t="array" ref="BI61">_xlfn.IFS(
  L61&gt;0,"Critical Fail",
  M61&gt;0,"Important (Coaching)",
  TRUE,"Clean Pass"
)</f>
        <v>Clean Pass</v>
      </c>
      <c r="BJ61" t="str">
        <f t="shared" si="37"/>
        <v>NA</v>
      </c>
    </row>
    <row r="62" spans="1:62" x14ac:dyDescent="0.3">
      <c r="A62">
        <v>413809</v>
      </c>
      <c r="K62" t="str">
        <f t="shared" si="0"/>
        <v>Pass</v>
      </c>
      <c r="L62" s="15">
        <f t="shared" si="1"/>
        <v>0</v>
      </c>
      <c r="M62" s="15">
        <f t="shared" si="2"/>
        <v>0</v>
      </c>
      <c r="Z62" s="15">
        <f t="shared" si="3"/>
        <v>1</v>
      </c>
      <c r="AA62" s="15">
        <f t="shared" si="4"/>
        <v>1</v>
      </c>
      <c r="AB62" s="15">
        <f t="shared" si="5"/>
        <v>1</v>
      </c>
      <c r="AC62" s="15">
        <f t="shared" si="6"/>
        <v>1</v>
      </c>
      <c r="AD62" s="15">
        <f t="shared" si="7"/>
        <v>1</v>
      </c>
      <c r="AE62" s="15">
        <f t="shared" si="8"/>
        <v>1</v>
      </c>
      <c r="AF62" s="15">
        <f t="shared" si="9"/>
        <v>1</v>
      </c>
      <c r="AG62" s="15">
        <f t="shared" si="10"/>
        <v>1</v>
      </c>
      <c r="AH62" s="15">
        <f t="shared" si="11"/>
        <v>1</v>
      </c>
      <c r="AI62" s="15">
        <f t="shared" si="12"/>
        <v>1</v>
      </c>
      <c r="AJ62" s="15">
        <f t="shared" si="13"/>
        <v>1</v>
      </c>
      <c r="AK62" s="15">
        <f t="shared" si="14"/>
        <v>1</v>
      </c>
      <c r="AL62" s="15">
        <f t="shared" si="15"/>
        <v>1</v>
      </c>
      <c r="AM62" s="15">
        <f t="shared" si="16"/>
        <v>1</v>
      </c>
      <c r="AN62" s="15">
        <f t="shared" si="17"/>
        <v>1</v>
      </c>
      <c r="AO62" s="15">
        <f t="shared" si="18"/>
        <v>1</v>
      </c>
      <c r="AP62" s="15">
        <f t="shared" si="19"/>
        <v>1</v>
      </c>
      <c r="AQ62" s="15">
        <f t="shared" si="20"/>
        <v>1</v>
      </c>
      <c r="AR62" s="15">
        <f t="shared" si="21"/>
        <v>1</v>
      </c>
      <c r="AS62" s="15">
        <f t="shared" si="22"/>
        <v>1</v>
      </c>
      <c r="AT62" s="15">
        <f t="shared" si="23"/>
        <v>1</v>
      </c>
      <c r="AU62" s="15">
        <f t="shared" si="24"/>
        <v>1</v>
      </c>
      <c r="AV62" s="15">
        <f t="shared" si="25"/>
        <v>1</v>
      </c>
      <c r="AW62" s="15">
        <f t="shared" si="26"/>
        <v>1</v>
      </c>
      <c r="AX62" s="15">
        <f t="shared" si="38"/>
        <v>1</v>
      </c>
      <c r="AY62" s="15">
        <f t="shared" si="27"/>
        <v>1</v>
      </c>
      <c r="AZ62" s="15">
        <f t="shared" si="28"/>
        <v>1</v>
      </c>
      <c r="BA62" s="15">
        <f t="shared" si="29"/>
        <v>1</v>
      </c>
      <c r="BB62" s="15">
        <f t="shared" si="30"/>
        <v>0</v>
      </c>
      <c r="BC62" s="15" t="str">
        <f t="shared" si="31"/>
        <v/>
      </c>
      <c r="BD62" s="15" t="str">
        <f t="shared" si="32"/>
        <v/>
      </c>
      <c r="BE62" s="11" t="e">
        <f t="shared" si="33"/>
        <v>#VALUE!</v>
      </c>
      <c r="BF62" s="11" t="e">
        <f t="shared" si="34"/>
        <v>#VALUE!</v>
      </c>
      <c r="BG62" s="11" t="e">
        <f t="shared" si="35"/>
        <v>#VALUE!</v>
      </c>
      <c r="BH62" t="str">
        <f t="shared" si="36"/>
        <v/>
      </c>
      <c r="BI62" t="str" cm="1">
        <f t="array" ref="BI62">_xlfn.IFS(
  L62&gt;0,"Critical Fail",
  M62&gt;0,"Important (Coaching)",
  TRUE,"Clean Pass"
)</f>
        <v>Clean Pass</v>
      </c>
      <c r="BJ62" t="str">
        <f t="shared" si="37"/>
        <v>NA</v>
      </c>
    </row>
    <row r="63" spans="1:62" x14ac:dyDescent="0.3">
      <c r="A63">
        <v>421234</v>
      </c>
      <c r="K63" t="str">
        <f t="shared" si="0"/>
        <v>Pass</v>
      </c>
      <c r="L63" s="15">
        <f t="shared" si="1"/>
        <v>0</v>
      </c>
      <c r="M63" s="15">
        <f t="shared" si="2"/>
        <v>0</v>
      </c>
      <c r="Z63" s="15">
        <f t="shared" si="3"/>
        <v>1</v>
      </c>
      <c r="AA63" s="15">
        <f t="shared" si="4"/>
        <v>1</v>
      </c>
      <c r="AB63" s="15">
        <f t="shared" si="5"/>
        <v>1</v>
      </c>
      <c r="AC63" s="15">
        <f t="shared" si="6"/>
        <v>1</v>
      </c>
      <c r="AD63" s="15">
        <f t="shared" si="7"/>
        <v>1</v>
      </c>
      <c r="AE63" s="15">
        <f t="shared" si="8"/>
        <v>1</v>
      </c>
      <c r="AF63" s="15">
        <f t="shared" si="9"/>
        <v>1</v>
      </c>
      <c r="AG63" s="15">
        <f t="shared" si="10"/>
        <v>1</v>
      </c>
      <c r="AH63" s="15">
        <f t="shared" si="11"/>
        <v>1</v>
      </c>
      <c r="AI63" s="15">
        <f t="shared" si="12"/>
        <v>1</v>
      </c>
      <c r="AJ63" s="15">
        <f t="shared" si="13"/>
        <v>1</v>
      </c>
      <c r="AK63" s="15">
        <f t="shared" si="14"/>
        <v>1</v>
      </c>
      <c r="AL63" s="15">
        <f t="shared" si="15"/>
        <v>1</v>
      </c>
      <c r="AM63" s="15">
        <f t="shared" si="16"/>
        <v>1</v>
      </c>
      <c r="AN63" s="15">
        <f t="shared" si="17"/>
        <v>1</v>
      </c>
      <c r="AO63" s="15">
        <f t="shared" si="18"/>
        <v>1</v>
      </c>
      <c r="AP63" s="15">
        <f t="shared" si="19"/>
        <v>1</v>
      </c>
      <c r="AQ63" s="15">
        <f t="shared" si="20"/>
        <v>1</v>
      </c>
      <c r="AR63" s="15">
        <f t="shared" si="21"/>
        <v>1</v>
      </c>
      <c r="AS63" s="15">
        <f t="shared" si="22"/>
        <v>1</v>
      </c>
      <c r="AT63" s="15">
        <f t="shared" si="23"/>
        <v>1</v>
      </c>
      <c r="AU63" s="15">
        <f t="shared" si="24"/>
        <v>1</v>
      </c>
      <c r="AV63" s="15">
        <f t="shared" si="25"/>
        <v>1</v>
      </c>
      <c r="AW63" s="15">
        <f t="shared" si="26"/>
        <v>1</v>
      </c>
      <c r="AX63" s="15">
        <f t="shared" si="38"/>
        <v>1</v>
      </c>
      <c r="AY63" s="15">
        <f t="shared" si="27"/>
        <v>1</v>
      </c>
      <c r="AZ63" s="15">
        <f t="shared" si="28"/>
        <v>1</v>
      </c>
      <c r="BA63" s="15">
        <f t="shared" si="29"/>
        <v>1</v>
      </c>
      <c r="BB63" s="15">
        <f t="shared" si="30"/>
        <v>0</v>
      </c>
      <c r="BC63" s="15" t="str">
        <f t="shared" si="31"/>
        <v/>
      </c>
      <c r="BD63" s="15" t="str">
        <f t="shared" si="32"/>
        <v/>
      </c>
      <c r="BE63" s="11" t="e">
        <f t="shared" si="33"/>
        <v>#VALUE!</v>
      </c>
      <c r="BF63" s="11" t="e">
        <f t="shared" si="34"/>
        <v>#VALUE!</v>
      </c>
      <c r="BG63" s="11" t="e">
        <f t="shared" si="35"/>
        <v>#VALUE!</v>
      </c>
      <c r="BH63" t="str">
        <f t="shared" si="36"/>
        <v/>
      </c>
      <c r="BI63" t="str" cm="1">
        <f t="array" ref="BI63">_xlfn.IFS(
  L63&gt;0,"Critical Fail",
  M63&gt;0,"Important (Coaching)",
  TRUE,"Clean Pass"
)</f>
        <v>Clean Pass</v>
      </c>
      <c r="BJ63" t="str">
        <f t="shared" si="37"/>
        <v>NA</v>
      </c>
    </row>
    <row r="64" spans="1:62" x14ac:dyDescent="0.3">
      <c r="A64">
        <v>673703</v>
      </c>
      <c r="K64" t="str">
        <f t="shared" si="0"/>
        <v>Pass</v>
      </c>
      <c r="L64" s="15">
        <f t="shared" si="1"/>
        <v>0</v>
      </c>
      <c r="M64" s="15">
        <f t="shared" si="2"/>
        <v>0</v>
      </c>
      <c r="Z64" s="15">
        <f t="shared" si="3"/>
        <v>1</v>
      </c>
      <c r="AA64" s="15">
        <f t="shared" si="4"/>
        <v>1</v>
      </c>
      <c r="AB64" s="15">
        <f t="shared" si="5"/>
        <v>1</v>
      </c>
      <c r="AC64" s="15">
        <f t="shared" si="6"/>
        <v>1</v>
      </c>
      <c r="AD64" s="15">
        <f t="shared" si="7"/>
        <v>1</v>
      </c>
      <c r="AE64" s="15">
        <f t="shared" si="8"/>
        <v>1</v>
      </c>
      <c r="AF64" s="15">
        <f t="shared" si="9"/>
        <v>1</v>
      </c>
      <c r="AG64" s="15">
        <f t="shared" si="10"/>
        <v>1</v>
      </c>
      <c r="AH64" s="15">
        <f t="shared" si="11"/>
        <v>1</v>
      </c>
      <c r="AI64" s="15">
        <f t="shared" si="12"/>
        <v>1</v>
      </c>
      <c r="AJ64" s="15">
        <f t="shared" si="13"/>
        <v>1</v>
      </c>
      <c r="AK64" s="15">
        <f t="shared" si="14"/>
        <v>1</v>
      </c>
      <c r="AL64" s="15">
        <f t="shared" si="15"/>
        <v>1</v>
      </c>
      <c r="AM64" s="15">
        <f t="shared" si="16"/>
        <v>1</v>
      </c>
      <c r="AN64" s="15">
        <f t="shared" si="17"/>
        <v>1</v>
      </c>
      <c r="AO64" s="15">
        <f t="shared" si="18"/>
        <v>1</v>
      </c>
      <c r="AP64" s="15">
        <f t="shared" si="19"/>
        <v>1</v>
      </c>
      <c r="AQ64" s="15">
        <f t="shared" si="20"/>
        <v>1</v>
      </c>
      <c r="AR64" s="15">
        <f t="shared" si="21"/>
        <v>1</v>
      </c>
      <c r="AS64" s="15">
        <f t="shared" si="22"/>
        <v>1</v>
      </c>
      <c r="AT64" s="15">
        <f t="shared" si="23"/>
        <v>1</v>
      </c>
      <c r="AU64" s="15">
        <f t="shared" si="24"/>
        <v>1</v>
      </c>
      <c r="AV64" s="15">
        <f t="shared" si="25"/>
        <v>1</v>
      </c>
      <c r="AW64" s="15">
        <f t="shared" si="26"/>
        <v>1</v>
      </c>
      <c r="AX64" s="15">
        <f t="shared" si="38"/>
        <v>1</v>
      </c>
      <c r="AY64" s="15">
        <f t="shared" si="27"/>
        <v>1</v>
      </c>
      <c r="AZ64" s="15">
        <f t="shared" si="28"/>
        <v>1</v>
      </c>
      <c r="BA64" s="15">
        <f t="shared" si="29"/>
        <v>1</v>
      </c>
      <c r="BB64" s="15">
        <f t="shared" si="30"/>
        <v>0</v>
      </c>
      <c r="BC64" s="15" t="str">
        <f t="shared" si="31"/>
        <v/>
      </c>
      <c r="BD64" s="15" t="str">
        <f t="shared" si="32"/>
        <v/>
      </c>
      <c r="BE64" s="11" t="e">
        <f t="shared" si="33"/>
        <v>#VALUE!</v>
      </c>
      <c r="BF64" s="11" t="e">
        <f t="shared" si="34"/>
        <v>#VALUE!</v>
      </c>
      <c r="BG64" s="11" t="e">
        <f t="shared" si="35"/>
        <v>#VALUE!</v>
      </c>
      <c r="BH64" t="str">
        <f t="shared" si="36"/>
        <v/>
      </c>
      <c r="BI64" t="str" cm="1">
        <f t="array" ref="BI64">_xlfn.IFS(
  L64&gt;0,"Critical Fail",
  M64&gt;0,"Important (Coaching)",
  TRUE,"Clean Pass"
)</f>
        <v>Clean Pass</v>
      </c>
      <c r="BJ64" t="str">
        <f t="shared" si="37"/>
        <v>NA</v>
      </c>
    </row>
    <row r="65" spans="1:62" x14ac:dyDescent="0.3">
      <c r="A65">
        <v>466717</v>
      </c>
      <c r="K65" t="str">
        <f t="shared" si="0"/>
        <v>Pass</v>
      </c>
      <c r="L65" s="15">
        <f t="shared" si="1"/>
        <v>0</v>
      </c>
      <c r="M65" s="15">
        <f t="shared" si="2"/>
        <v>0</v>
      </c>
      <c r="Z65" s="15">
        <f t="shared" si="3"/>
        <v>1</v>
      </c>
      <c r="AA65" s="15">
        <f t="shared" si="4"/>
        <v>1</v>
      </c>
      <c r="AB65" s="15">
        <f t="shared" si="5"/>
        <v>1</v>
      </c>
      <c r="AC65" s="15">
        <f t="shared" si="6"/>
        <v>1</v>
      </c>
      <c r="AD65" s="15">
        <f t="shared" si="7"/>
        <v>1</v>
      </c>
      <c r="AE65" s="15">
        <f t="shared" si="8"/>
        <v>1</v>
      </c>
      <c r="AF65" s="15">
        <f t="shared" si="9"/>
        <v>1</v>
      </c>
      <c r="AG65" s="15">
        <f t="shared" si="10"/>
        <v>1</v>
      </c>
      <c r="AH65" s="15">
        <f t="shared" si="11"/>
        <v>1</v>
      </c>
      <c r="AI65" s="15">
        <f t="shared" si="12"/>
        <v>1</v>
      </c>
      <c r="AJ65" s="15">
        <f t="shared" si="13"/>
        <v>1</v>
      </c>
      <c r="AK65" s="15">
        <f t="shared" si="14"/>
        <v>1</v>
      </c>
      <c r="AL65" s="15">
        <f t="shared" si="15"/>
        <v>1</v>
      </c>
      <c r="AM65" s="15">
        <f t="shared" si="16"/>
        <v>1</v>
      </c>
      <c r="AN65" s="15">
        <f t="shared" si="17"/>
        <v>1</v>
      </c>
      <c r="AO65" s="15">
        <f t="shared" si="18"/>
        <v>1</v>
      </c>
      <c r="AP65" s="15">
        <f t="shared" si="19"/>
        <v>1</v>
      </c>
      <c r="AQ65" s="15">
        <f t="shared" si="20"/>
        <v>1</v>
      </c>
      <c r="AR65" s="15">
        <f t="shared" si="21"/>
        <v>1</v>
      </c>
      <c r="AS65" s="15">
        <f t="shared" si="22"/>
        <v>1</v>
      </c>
      <c r="AT65" s="15">
        <f t="shared" si="23"/>
        <v>1</v>
      </c>
      <c r="AU65" s="15">
        <f t="shared" si="24"/>
        <v>1</v>
      </c>
      <c r="AV65" s="15">
        <f t="shared" si="25"/>
        <v>1</v>
      </c>
      <c r="AW65" s="15">
        <f t="shared" si="26"/>
        <v>1</v>
      </c>
      <c r="AX65" s="15">
        <f t="shared" si="38"/>
        <v>1</v>
      </c>
      <c r="AY65" s="15">
        <f t="shared" si="27"/>
        <v>1</v>
      </c>
      <c r="AZ65" s="15">
        <f t="shared" si="28"/>
        <v>1</v>
      </c>
      <c r="BA65" s="15">
        <f t="shared" si="29"/>
        <v>1</v>
      </c>
      <c r="BB65" s="15">
        <f t="shared" si="30"/>
        <v>0</v>
      </c>
      <c r="BC65" s="15" t="str">
        <f t="shared" si="31"/>
        <v/>
      </c>
      <c r="BD65" s="15" t="str">
        <f t="shared" si="32"/>
        <v/>
      </c>
      <c r="BE65" s="11" t="e">
        <f t="shared" si="33"/>
        <v>#VALUE!</v>
      </c>
      <c r="BF65" s="11" t="e">
        <f t="shared" si="34"/>
        <v>#VALUE!</v>
      </c>
      <c r="BG65" s="11" t="e">
        <f t="shared" si="35"/>
        <v>#VALUE!</v>
      </c>
      <c r="BH65" t="str">
        <f t="shared" si="36"/>
        <v/>
      </c>
      <c r="BI65" t="str" cm="1">
        <f t="array" ref="BI65">_xlfn.IFS(
  L65&gt;0,"Critical Fail",
  M65&gt;0,"Important (Coaching)",
  TRUE,"Clean Pass"
)</f>
        <v>Clean Pass</v>
      </c>
      <c r="BJ65" t="str">
        <f t="shared" si="37"/>
        <v>NA</v>
      </c>
    </row>
    <row r="66" spans="1:62" x14ac:dyDescent="0.3">
      <c r="A66">
        <v>313240</v>
      </c>
      <c r="K66" t="str">
        <f t="shared" ref="K66:K129" si="39">IF(L66="","",IF(L66&gt;0,"Fail","Pass"))</f>
        <v>Pass</v>
      </c>
      <c r="L66" s="15">
        <f t="shared" ref="L66:L129" si="40">COUNTA(N66,P66,R66)</f>
        <v>0</v>
      </c>
      <c r="M66" s="15">
        <f t="shared" ref="M66:M129" si="41">COUNTA(T66,V66,X66)</f>
        <v>0</v>
      </c>
      <c r="Z66" s="15">
        <f t="shared" ref="Z66:Z129" si="42">IF(AND(G66="DV",ISNUMBER(SEARCH("C1",N66&amp;P66&amp;R66&amp;T66&amp;V66&amp;X66))),0,1)</f>
        <v>1</v>
      </c>
      <c r="AA66" s="15">
        <f t="shared" ref="AA66:AA129" si="43">IF(AND(G66="DV",ISNUMBER(SEARCH("C2",N66&amp;P66&amp;R66&amp;T66&amp;V66&amp;X66))),0,1)</f>
        <v>1</v>
      </c>
      <c r="AB66" s="15">
        <f t="shared" ref="AB66:AB129" si="44">IF(AND(G66="DV",ISNUMBER(SEARCH("C3",N66&amp;P66&amp;R66&amp;T66&amp;V66&amp;X66))),0,1)</f>
        <v>1</v>
      </c>
      <c r="AC66" s="15">
        <f t="shared" ref="AC66:AC129" si="45">IF(AND(G66="DV",ISNUMBER(SEARCH("C4",N66&amp;P66&amp;R66&amp;T66&amp;V66&amp;X66))),0,1)</f>
        <v>1</v>
      </c>
      <c r="AD66" s="15">
        <f t="shared" ref="AD66:AD129" si="46">IF(AND(G66="DV",ISNUMBER(SEARCH("C5",N66&amp;P66&amp;R66&amp;T66&amp;V66&amp;X66))),0,1)</f>
        <v>1</v>
      </c>
      <c r="AE66" s="15">
        <f t="shared" ref="AE66:AE129" si="47">IF(AND(G66="DV",ISNUMBER(SEARCH("C6",N66&amp;P66&amp;R66&amp;T66&amp;V66&amp;X66))),0,1)</f>
        <v>1</v>
      </c>
      <c r="AF66" s="15">
        <f t="shared" ref="AF66:AF129" si="48">IF(AND(G66="DV",ISNUMBER(SEARCH("C7",N66&amp;P66&amp;R66&amp;T66&amp;V66&amp;X66))),0,1)</f>
        <v>1</v>
      </c>
      <c r="AG66" s="15">
        <f t="shared" ref="AG66:AG129" si="49">IF(AND(G66="DV",ISNUMBER(SEARCH("C8",N66&amp;P66&amp;R66&amp;T66&amp;V66&amp;X66))),0,1)</f>
        <v>1</v>
      </c>
      <c r="AH66" s="15">
        <f t="shared" ref="AH66:AH129" si="50">IF(AND(G66="DV",ISNUMBER(SEARCH("C9",N66&amp;P66&amp;R66&amp;T66&amp;V66&amp;X66))),0,1)</f>
        <v>1</v>
      </c>
      <c r="AI66" s="15">
        <f t="shared" ref="AI66:AI129" si="51">IF(AND(G66="DV",ISNUMBER(SEARCH("I1",N66&amp;P66&amp;R66&amp;T66&amp;V66&amp;X66))),0,1)</f>
        <v>1</v>
      </c>
      <c r="AJ66" s="15">
        <f t="shared" ref="AJ66:AJ129" si="52">IF(AND(G66="DV",ISNUMBER(SEARCH("I2",N66&amp;P66&amp;R66&amp;T66&amp;V66&amp;X66))),0,1)</f>
        <v>1</v>
      </c>
      <c r="AK66" s="15">
        <f t="shared" ref="AK66:AK129" si="53">IF(AND(G66="DV",ISNUMBER(SEARCH("I3",N66&amp;P66&amp;R66&amp;T66&amp;V66&amp;X66))),0,1)</f>
        <v>1</v>
      </c>
      <c r="AL66" s="15">
        <f t="shared" ref="AL66:AL129" si="54">IF(AND(G66="AL",ISNUMBER(SEARCH("C1",N66&amp;P66&amp;R66&amp;T66&amp;V66&amp;X66))),0,1)</f>
        <v>1</v>
      </c>
      <c r="AM66" s="15">
        <f t="shared" ref="AM66:AM129" si="55">IF(AND(G66="AL",ISNUMBER(SEARCH("C2",N66&amp;P66&amp;R66&amp;T66&amp;V66&amp;X66))),0,1)</f>
        <v>1</v>
      </c>
      <c r="AN66" s="15">
        <f t="shared" ref="AN66:AN129" si="56">IF(AND(G66="AL",ISNUMBER(SEARCH("C3",N66&amp;P66&amp;R66&amp;T66&amp;V66&amp;X66))),0,1)</f>
        <v>1</v>
      </c>
      <c r="AO66" s="15">
        <f t="shared" ref="AO66:AO129" si="57">IF(AND(G66="AL",ISNUMBER(SEARCH("C4",N66&amp;P66&amp;R66&amp;T66&amp;V66&amp;X66))),0,1)</f>
        <v>1</v>
      </c>
      <c r="AP66" s="15">
        <f t="shared" ref="AP66:AP129" si="58">IF(AND(G66="AL",ISNUMBER(SEARCH("C5",N66&amp;P66&amp;R66&amp;T66&amp;V66&amp;X66))),0,1)</f>
        <v>1</v>
      </c>
      <c r="AQ66" s="15">
        <f t="shared" ref="AQ66:AQ129" si="59">IF(AND(G66="AL",ISNUMBER(SEARCH("C6",N66&amp;P66&amp;R66&amp;T66&amp;V66&amp;X66))),0,1)</f>
        <v>1</v>
      </c>
      <c r="AR66" s="15">
        <f t="shared" ref="AR66:AR129" si="60">IF(AND(G66="AL",ISNUMBER(SEARCH("C7",N66&amp;P66&amp;R66&amp;T66&amp;V66&amp;X66))),0,1)</f>
        <v>1</v>
      </c>
      <c r="AS66" s="15">
        <f t="shared" ref="AS66:AS129" si="61">IF(AND(G66="AL",ISNUMBER(SEARCH("C8",N66&amp;P66&amp;R66&amp;T66&amp;V66&amp;X66))),0,1)</f>
        <v>1</v>
      </c>
      <c r="AT66" s="15">
        <f t="shared" ref="AT66:AT129" si="62">IF(AND(G66="AL",ISNUMBER(SEARCH("C9",N66&amp;P66&amp;R66&amp;T66&amp;V66&amp;X66))),0,1)</f>
        <v>1</v>
      </c>
      <c r="AU66" s="15">
        <f t="shared" ref="AU66:AU129" si="63">IF(AND(G66="AL",ISNUMBER(SEARCH("C10",N66&amp;P66&amp;R66&amp;T66&amp;V66&amp;X66))),0,1)</f>
        <v>1</v>
      </c>
      <c r="AV66" s="15">
        <f t="shared" ref="AV66:AV129" si="64">IF(AND(G66="AL",ISNUMBER(SEARCH("C11",N66&amp;P66&amp;R66&amp;T66&amp;V66&amp;X66))),0,1)</f>
        <v>1</v>
      </c>
      <c r="AW66" s="15">
        <f t="shared" ref="AW66:AW129" si="65">IF(AND(G66="AL",ISNUMBER(SEARCH("C12",N66&amp;P66&amp;R66&amp;T66&amp;V66&amp;X66))),0,1)</f>
        <v>1</v>
      </c>
      <c r="AX66" s="15">
        <f t="shared" ref="AX66:AX129" si="66">IF(AND(G66="AL",ISNUMBER(SEARCH("C13",N66&amp;P66&amp;R66&amp;T66&amp;V66&amp;X66))),0,1)</f>
        <v>1</v>
      </c>
      <c r="AY66" s="15">
        <f t="shared" ref="AY66:AY129" si="67">IF(AND(G66="AL",ISNUMBER(SEARCH("I1",N66&amp;P66&amp;R66&amp;T66&amp;V66&amp;X66))),0,1)</f>
        <v>1</v>
      </c>
      <c r="AZ66" s="15">
        <f t="shared" ref="AZ66:AZ129" si="68">IF(AND(G66="AL",ISNUMBER(SEARCH("I2",N66&amp;P66&amp;R66&amp;T66&amp;V66&amp;X66))),0,1)</f>
        <v>1</v>
      </c>
      <c r="BA66" s="15">
        <f t="shared" ref="BA66:BA129" si="69">IF(AND(G66="AL",ISNUMBER(SEARCH("I3",N66&amp;P66&amp;R66&amp;T66&amp;V66&amp;X66))),0,1)</f>
        <v>1</v>
      </c>
      <c r="BB66" s="15">
        <f t="shared" ref="BB66:BB129" si="70">IF(L66&gt;0,1,0)</f>
        <v>0</v>
      </c>
      <c r="BC66" s="15" t="str">
        <f t="shared" ref="BC66:BC129" si="71">IF(G66="DV",9,IF(G66="AL",13,""))</f>
        <v/>
      </c>
      <c r="BD66" s="15" t="str">
        <f t="shared" ref="BD66:BD129" si="72">IF(G66="DV",3,IF(G66="AL",3,""))</f>
        <v/>
      </c>
      <c r="BE66" s="11" t="e">
        <f t="shared" ref="BE66:BE129" si="73">IF(BC66=0,1,(BC66-L66)/BC66)</f>
        <v>#VALUE!</v>
      </c>
      <c r="BF66" s="11" t="e">
        <f t="shared" ref="BF66:BF129" si="74">IF(BD66=0,1,(BD66-M66)/BD66)</f>
        <v>#VALUE!</v>
      </c>
      <c r="BG66" s="11" t="e">
        <f t="shared" ref="BG66:BG129" si="75">(BE66*0.7)+(BF66*0.3)</f>
        <v>#VALUE!</v>
      </c>
      <c r="BH66" t="str">
        <f t="shared" ref="BH66:BH129" si="76">_xlfn.TEXTJOIN(",",TRUE,N66,P66,R66)</f>
        <v/>
      </c>
      <c r="BI66" t="str" cm="1">
        <f t="array" ref="BI66">_xlfn.IFS(
  L66&gt;0,"Critical Fail",
  M66&gt;0,"Important (Coaching)",
  TRUE,"Clean Pass"
)</f>
        <v>Clean Pass</v>
      </c>
      <c r="BJ66" t="str">
        <f t="shared" ref="BJ66:BJ129" si="77">IF(COUNTA(N66:Y66)=0,"NA",_xlfn.TEXTJOIN(",",TRUE,N66:Y66))</f>
        <v>NA</v>
      </c>
    </row>
    <row r="67" spans="1:62" x14ac:dyDescent="0.3">
      <c r="A67">
        <v>384134</v>
      </c>
      <c r="K67" t="str">
        <f t="shared" si="39"/>
        <v>Pass</v>
      </c>
      <c r="L67" s="15">
        <f t="shared" si="40"/>
        <v>0</v>
      </c>
      <c r="M67" s="15">
        <f t="shared" si="41"/>
        <v>0</v>
      </c>
      <c r="Z67" s="15">
        <f t="shared" si="42"/>
        <v>1</v>
      </c>
      <c r="AA67" s="15">
        <f t="shared" si="43"/>
        <v>1</v>
      </c>
      <c r="AB67" s="15">
        <f t="shared" si="44"/>
        <v>1</v>
      </c>
      <c r="AC67" s="15">
        <f t="shared" si="45"/>
        <v>1</v>
      </c>
      <c r="AD67" s="15">
        <f t="shared" si="46"/>
        <v>1</v>
      </c>
      <c r="AE67" s="15">
        <f t="shared" si="47"/>
        <v>1</v>
      </c>
      <c r="AF67" s="15">
        <f t="shared" si="48"/>
        <v>1</v>
      </c>
      <c r="AG67" s="15">
        <f t="shared" si="49"/>
        <v>1</v>
      </c>
      <c r="AH67" s="15">
        <f t="shared" si="50"/>
        <v>1</v>
      </c>
      <c r="AI67" s="15">
        <f t="shared" si="51"/>
        <v>1</v>
      </c>
      <c r="AJ67" s="15">
        <f t="shared" si="52"/>
        <v>1</v>
      </c>
      <c r="AK67" s="15">
        <f t="shared" si="53"/>
        <v>1</v>
      </c>
      <c r="AL67" s="15">
        <f t="shared" si="54"/>
        <v>1</v>
      </c>
      <c r="AM67" s="15">
        <f t="shared" si="55"/>
        <v>1</v>
      </c>
      <c r="AN67" s="15">
        <f t="shared" si="56"/>
        <v>1</v>
      </c>
      <c r="AO67" s="15">
        <f t="shared" si="57"/>
        <v>1</v>
      </c>
      <c r="AP67" s="15">
        <f t="shared" si="58"/>
        <v>1</v>
      </c>
      <c r="AQ67" s="15">
        <f t="shared" si="59"/>
        <v>1</v>
      </c>
      <c r="AR67" s="15">
        <f t="shared" si="60"/>
        <v>1</v>
      </c>
      <c r="AS67" s="15">
        <f t="shared" si="61"/>
        <v>1</v>
      </c>
      <c r="AT67" s="15">
        <f t="shared" si="62"/>
        <v>1</v>
      </c>
      <c r="AU67" s="15">
        <f t="shared" si="63"/>
        <v>1</v>
      </c>
      <c r="AV67" s="15">
        <f t="shared" si="64"/>
        <v>1</v>
      </c>
      <c r="AW67" s="15">
        <f t="shared" si="65"/>
        <v>1</v>
      </c>
      <c r="AX67" s="15">
        <f t="shared" si="66"/>
        <v>1</v>
      </c>
      <c r="AY67" s="15">
        <f t="shared" si="67"/>
        <v>1</v>
      </c>
      <c r="AZ67" s="15">
        <f t="shared" si="68"/>
        <v>1</v>
      </c>
      <c r="BA67" s="15">
        <f t="shared" si="69"/>
        <v>1</v>
      </c>
      <c r="BB67" s="15">
        <f t="shared" si="70"/>
        <v>0</v>
      </c>
      <c r="BC67" s="15" t="str">
        <f t="shared" si="71"/>
        <v/>
      </c>
      <c r="BD67" s="15" t="str">
        <f t="shared" si="72"/>
        <v/>
      </c>
      <c r="BE67" s="11" t="e">
        <f t="shared" si="73"/>
        <v>#VALUE!</v>
      </c>
      <c r="BF67" s="11" t="e">
        <f t="shared" si="74"/>
        <v>#VALUE!</v>
      </c>
      <c r="BG67" s="11" t="e">
        <f t="shared" si="75"/>
        <v>#VALUE!</v>
      </c>
      <c r="BH67" t="str">
        <f t="shared" si="76"/>
        <v/>
      </c>
      <c r="BI67" t="str" cm="1">
        <f t="array" ref="BI67">_xlfn.IFS(
  L67&gt;0,"Critical Fail",
  M67&gt;0,"Important (Coaching)",
  TRUE,"Clean Pass"
)</f>
        <v>Clean Pass</v>
      </c>
      <c r="BJ67" t="str">
        <f t="shared" si="77"/>
        <v>NA</v>
      </c>
    </row>
    <row r="68" spans="1:62" x14ac:dyDescent="0.3">
      <c r="A68">
        <v>408512</v>
      </c>
      <c r="K68" t="str">
        <f t="shared" si="39"/>
        <v>Pass</v>
      </c>
      <c r="L68" s="15">
        <f t="shared" si="40"/>
        <v>0</v>
      </c>
      <c r="M68" s="15">
        <f t="shared" si="41"/>
        <v>0</v>
      </c>
      <c r="Z68" s="15">
        <f t="shared" si="42"/>
        <v>1</v>
      </c>
      <c r="AA68" s="15">
        <f t="shared" si="43"/>
        <v>1</v>
      </c>
      <c r="AB68" s="15">
        <f t="shared" si="44"/>
        <v>1</v>
      </c>
      <c r="AC68" s="15">
        <f t="shared" si="45"/>
        <v>1</v>
      </c>
      <c r="AD68" s="15">
        <f t="shared" si="46"/>
        <v>1</v>
      </c>
      <c r="AE68" s="15">
        <f t="shared" si="47"/>
        <v>1</v>
      </c>
      <c r="AF68" s="15">
        <f t="shared" si="48"/>
        <v>1</v>
      </c>
      <c r="AG68" s="15">
        <f t="shared" si="49"/>
        <v>1</v>
      </c>
      <c r="AH68" s="15">
        <f t="shared" si="50"/>
        <v>1</v>
      </c>
      <c r="AI68" s="15">
        <f t="shared" si="51"/>
        <v>1</v>
      </c>
      <c r="AJ68" s="15">
        <f t="shared" si="52"/>
        <v>1</v>
      </c>
      <c r="AK68" s="15">
        <f t="shared" si="53"/>
        <v>1</v>
      </c>
      <c r="AL68" s="15">
        <f t="shared" si="54"/>
        <v>1</v>
      </c>
      <c r="AM68" s="15">
        <f t="shared" si="55"/>
        <v>1</v>
      </c>
      <c r="AN68" s="15">
        <f t="shared" si="56"/>
        <v>1</v>
      </c>
      <c r="AO68" s="15">
        <f t="shared" si="57"/>
        <v>1</v>
      </c>
      <c r="AP68" s="15">
        <f t="shared" si="58"/>
        <v>1</v>
      </c>
      <c r="AQ68" s="15">
        <f t="shared" si="59"/>
        <v>1</v>
      </c>
      <c r="AR68" s="15">
        <f t="shared" si="60"/>
        <v>1</v>
      </c>
      <c r="AS68" s="15">
        <f t="shared" si="61"/>
        <v>1</v>
      </c>
      <c r="AT68" s="15">
        <f t="shared" si="62"/>
        <v>1</v>
      </c>
      <c r="AU68" s="15">
        <f t="shared" si="63"/>
        <v>1</v>
      </c>
      <c r="AV68" s="15">
        <f t="shared" si="64"/>
        <v>1</v>
      </c>
      <c r="AW68" s="15">
        <f t="shared" si="65"/>
        <v>1</v>
      </c>
      <c r="AX68" s="15">
        <f t="shared" si="66"/>
        <v>1</v>
      </c>
      <c r="AY68" s="15">
        <f t="shared" si="67"/>
        <v>1</v>
      </c>
      <c r="AZ68" s="15">
        <f t="shared" si="68"/>
        <v>1</v>
      </c>
      <c r="BA68" s="15">
        <f t="shared" si="69"/>
        <v>1</v>
      </c>
      <c r="BB68" s="15">
        <f t="shared" si="70"/>
        <v>0</v>
      </c>
      <c r="BC68" s="15" t="str">
        <f t="shared" si="71"/>
        <v/>
      </c>
      <c r="BD68" s="15" t="str">
        <f t="shared" si="72"/>
        <v/>
      </c>
      <c r="BE68" s="11" t="e">
        <f t="shared" si="73"/>
        <v>#VALUE!</v>
      </c>
      <c r="BF68" s="11" t="e">
        <f t="shared" si="74"/>
        <v>#VALUE!</v>
      </c>
      <c r="BG68" s="11" t="e">
        <f t="shared" si="75"/>
        <v>#VALUE!</v>
      </c>
      <c r="BH68" t="str">
        <f t="shared" si="76"/>
        <v/>
      </c>
      <c r="BI68" t="str" cm="1">
        <f t="array" ref="BI68">_xlfn.IFS(
  L68&gt;0,"Critical Fail",
  M68&gt;0,"Important (Coaching)",
  TRUE,"Clean Pass"
)</f>
        <v>Clean Pass</v>
      </c>
      <c r="BJ68" t="str">
        <f t="shared" si="77"/>
        <v>NA</v>
      </c>
    </row>
    <row r="69" spans="1:62" x14ac:dyDescent="0.3">
      <c r="A69">
        <v>498837</v>
      </c>
      <c r="K69" t="str">
        <f t="shared" si="39"/>
        <v>Pass</v>
      </c>
      <c r="L69" s="15">
        <f t="shared" si="40"/>
        <v>0</v>
      </c>
      <c r="M69" s="15">
        <f t="shared" si="41"/>
        <v>0</v>
      </c>
      <c r="Z69" s="15">
        <f t="shared" si="42"/>
        <v>1</v>
      </c>
      <c r="AA69" s="15">
        <f t="shared" si="43"/>
        <v>1</v>
      </c>
      <c r="AB69" s="15">
        <f t="shared" si="44"/>
        <v>1</v>
      </c>
      <c r="AC69" s="15">
        <f t="shared" si="45"/>
        <v>1</v>
      </c>
      <c r="AD69" s="15">
        <f t="shared" si="46"/>
        <v>1</v>
      </c>
      <c r="AE69" s="15">
        <f t="shared" si="47"/>
        <v>1</v>
      </c>
      <c r="AF69" s="15">
        <f t="shared" si="48"/>
        <v>1</v>
      </c>
      <c r="AG69" s="15">
        <f t="shared" si="49"/>
        <v>1</v>
      </c>
      <c r="AH69" s="15">
        <f t="shared" si="50"/>
        <v>1</v>
      </c>
      <c r="AI69" s="15">
        <f t="shared" si="51"/>
        <v>1</v>
      </c>
      <c r="AJ69" s="15">
        <f t="shared" si="52"/>
        <v>1</v>
      </c>
      <c r="AK69" s="15">
        <f t="shared" si="53"/>
        <v>1</v>
      </c>
      <c r="AL69" s="15">
        <f t="shared" si="54"/>
        <v>1</v>
      </c>
      <c r="AM69" s="15">
        <f t="shared" si="55"/>
        <v>1</v>
      </c>
      <c r="AN69" s="15">
        <f t="shared" si="56"/>
        <v>1</v>
      </c>
      <c r="AO69" s="15">
        <f t="shared" si="57"/>
        <v>1</v>
      </c>
      <c r="AP69" s="15">
        <f t="shared" si="58"/>
        <v>1</v>
      </c>
      <c r="AQ69" s="15">
        <f t="shared" si="59"/>
        <v>1</v>
      </c>
      <c r="AR69" s="15">
        <f t="shared" si="60"/>
        <v>1</v>
      </c>
      <c r="AS69" s="15">
        <f t="shared" si="61"/>
        <v>1</v>
      </c>
      <c r="AT69" s="15">
        <f t="shared" si="62"/>
        <v>1</v>
      </c>
      <c r="AU69" s="15">
        <f t="shared" si="63"/>
        <v>1</v>
      </c>
      <c r="AV69" s="15">
        <f t="shared" si="64"/>
        <v>1</v>
      </c>
      <c r="AW69" s="15">
        <f t="shared" si="65"/>
        <v>1</v>
      </c>
      <c r="AX69" s="15">
        <f t="shared" si="66"/>
        <v>1</v>
      </c>
      <c r="AY69" s="15">
        <f t="shared" si="67"/>
        <v>1</v>
      </c>
      <c r="AZ69" s="15">
        <f t="shared" si="68"/>
        <v>1</v>
      </c>
      <c r="BA69" s="15">
        <f t="shared" si="69"/>
        <v>1</v>
      </c>
      <c r="BB69" s="15">
        <f t="shared" si="70"/>
        <v>0</v>
      </c>
      <c r="BC69" s="15" t="str">
        <f t="shared" si="71"/>
        <v/>
      </c>
      <c r="BD69" s="15" t="str">
        <f t="shared" si="72"/>
        <v/>
      </c>
      <c r="BE69" s="11" t="e">
        <f t="shared" si="73"/>
        <v>#VALUE!</v>
      </c>
      <c r="BF69" s="11" t="e">
        <f t="shared" si="74"/>
        <v>#VALUE!</v>
      </c>
      <c r="BG69" s="11" t="e">
        <f t="shared" si="75"/>
        <v>#VALUE!</v>
      </c>
      <c r="BH69" t="str">
        <f t="shared" si="76"/>
        <v/>
      </c>
      <c r="BI69" t="str" cm="1">
        <f t="array" ref="BI69">_xlfn.IFS(
  L69&gt;0,"Critical Fail",
  M69&gt;0,"Important (Coaching)",
  TRUE,"Clean Pass"
)</f>
        <v>Clean Pass</v>
      </c>
      <c r="BJ69" t="str">
        <f t="shared" si="77"/>
        <v>NA</v>
      </c>
    </row>
    <row r="70" spans="1:62" x14ac:dyDescent="0.3">
      <c r="A70">
        <v>443996</v>
      </c>
      <c r="K70" t="str">
        <f t="shared" si="39"/>
        <v>Pass</v>
      </c>
      <c r="L70" s="15">
        <f t="shared" si="40"/>
        <v>0</v>
      </c>
      <c r="M70" s="15">
        <f t="shared" si="41"/>
        <v>0</v>
      </c>
      <c r="Z70" s="15">
        <f t="shared" si="42"/>
        <v>1</v>
      </c>
      <c r="AA70" s="15">
        <f t="shared" si="43"/>
        <v>1</v>
      </c>
      <c r="AB70" s="15">
        <f t="shared" si="44"/>
        <v>1</v>
      </c>
      <c r="AC70" s="15">
        <f t="shared" si="45"/>
        <v>1</v>
      </c>
      <c r="AD70" s="15">
        <f t="shared" si="46"/>
        <v>1</v>
      </c>
      <c r="AE70" s="15">
        <f t="shared" si="47"/>
        <v>1</v>
      </c>
      <c r="AF70" s="15">
        <f t="shared" si="48"/>
        <v>1</v>
      </c>
      <c r="AG70" s="15">
        <f t="shared" si="49"/>
        <v>1</v>
      </c>
      <c r="AH70" s="15">
        <f t="shared" si="50"/>
        <v>1</v>
      </c>
      <c r="AI70" s="15">
        <f t="shared" si="51"/>
        <v>1</v>
      </c>
      <c r="AJ70" s="15">
        <f t="shared" si="52"/>
        <v>1</v>
      </c>
      <c r="AK70" s="15">
        <f t="shared" si="53"/>
        <v>1</v>
      </c>
      <c r="AL70" s="15">
        <f t="shared" si="54"/>
        <v>1</v>
      </c>
      <c r="AM70" s="15">
        <f t="shared" si="55"/>
        <v>1</v>
      </c>
      <c r="AN70" s="15">
        <f t="shared" si="56"/>
        <v>1</v>
      </c>
      <c r="AO70" s="15">
        <f t="shared" si="57"/>
        <v>1</v>
      </c>
      <c r="AP70" s="15">
        <f t="shared" si="58"/>
        <v>1</v>
      </c>
      <c r="AQ70" s="15">
        <f t="shared" si="59"/>
        <v>1</v>
      </c>
      <c r="AR70" s="15">
        <f t="shared" si="60"/>
        <v>1</v>
      </c>
      <c r="AS70" s="15">
        <f t="shared" si="61"/>
        <v>1</v>
      </c>
      <c r="AT70" s="15">
        <f t="shared" si="62"/>
        <v>1</v>
      </c>
      <c r="AU70" s="15">
        <f t="shared" si="63"/>
        <v>1</v>
      </c>
      <c r="AV70" s="15">
        <f t="shared" si="64"/>
        <v>1</v>
      </c>
      <c r="AW70" s="15">
        <f t="shared" si="65"/>
        <v>1</v>
      </c>
      <c r="AX70" s="15">
        <f t="shared" si="66"/>
        <v>1</v>
      </c>
      <c r="AY70" s="15">
        <f t="shared" si="67"/>
        <v>1</v>
      </c>
      <c r="AZ70" s="15">
        <f t="shared" si="68"/>
        <v>1</v>
      </c>
      <c r="BA70" s="15">
        <f t="shared" si="69"/>
        <v>1</v>
      </c>
      <c r="BB70" s="15">
        <f t="shared" si="70"/>
        <v>0</v>
      </c>
      <c r="BC70" s="15" t="str">
        <f t="shared" si="71"/>
        <v/>
      </c>
      <c r="BD70" s="15" t="str">
        <f t="shared" si="72"/>
        <v/>
      </c>
      <c r="BE70" s="11" t="e">
        <f t="shared" si="73"/>
        <v>#VALUE!</v>
      </c>
      <c r="BF70" s="11" t="e">
        <f t="shared" si="74"/>
        <v>#VALUE!</v>
      </c>
      <c r="BG70" s="11" t="e">
        <f t="shared" si="75"/>
        <v>#VALUE!</v>
      </c>
      <c r="BH70" t="str">
        <f t="shared" si="76"/>
        <v/>
      </c>
      <c r="BI70" t="str" cm="1">
        <f t="array" ref="BI70">_xlfn.IFS(
  L70&gt;0,"Critical Fail",
  M70&gt;0,"Important (Coaching)",
  TRUE,"Clean Pass"
)</f>
        <v>Clean Pass</v>
      </c>
      <c r="BJ70" t="str">
        <f t="shared" si="77"/>
        <v>NA</v>
      </c>
    </row>
    <row r="71" spans="1:62" x14ac:dyDescent="0.3">
      <c r="A71">
        <v>153310</v>
      </c>
      <c r="K71" t="str">
        <f t="shared" si="39"/>
        <v>Pass</v>
      </c>
      <c r="L71" s="15">
        <f t="shared" si="40"/>
        <v>0</v>
      </c>
      <c r="M71" s="15">
        <f t="shared" si="41"/>
        <v>0</v>
      </c>
      <c r="Z71" s="15">
        <f t="shared" si="42"/>
        <v>1</v>
      </c>
      <c r="AA71" s="15">
        <f t="shared" si="43"/>
        <v>1</v>
      </c>
      <c r="AB71" s="15">
        <f t="shared" si="44"/>
        <v>1</v>
      </c>
      <c r="AC71" s="15">
        <f t="shared" si="45"/>
        <v>1</v>
      </c>
      <c r="AD71" s="15">
        <f t="shared" si="46"/>
        <v>1</v>
      </c>
      <c r="AE71" s="15">
        <f t="shared" si="47"/>
        <v>1</v>
      </c>
      <c r="AF71" s="15">
        <f t="shared" si="48"/>
        <v>1</v>
      </c>
      <c r="AG71" s="15">
        <f t="shared" si="49"/>
        <v>1</v>
      </c>
      <c r="AH71" s="15">
        <f t="shared" si="50"/>
        <v>1</v>
      </c>
      <c r="AI71" s="15">
        <f t="shared" si="51"/>
        <v>1</v>
      </c>
      <c r="AJ71" s="15">
        <f t="shared" si="52"/>
        <v>1</v>
      </c>
      <c r="AK71" s="15">
        <f t="shared" si="53"/>
        <v>1</v>
      </c>
      <c r="AL71" s="15">
        <f t="shared" si="54"/>
        <v>1</v>
      </c>
      <c r="AM71" s="15">
        <f t="shared" si="55"/>
        <v>1</v>
      </c>
      <c r="AN71" s="15">
        <f t="shared" si="56"/>
        <v>1</v>
      </c>
      <c r="AO71" s="15">
        <f t="shared" si="57"/>
        <v>1</v>
      </c>
      <c r="AP71" s="15">
        <f t="shared" si="58"/>
        <v>1</v>
      </c>
      <c r="AQ71" s="15">
        <f t="shared" si="59"/>
        <v>1</v>
      </c>
      <c r="AR71" s="15">
        <f t="shared" si="60"/>
        <v>1</v>
      </c>
      <c r="AS71" s="15">
        <f t="shared" si="61"/>
        <v>1</v>
      </c>
      <c r="AT71" s="15">
        <f t="shared" si="62"/>
        <v>1</v>
      </c>
      <c r="AU71" s="15">
        <f t="shared" si="63"/>
        <v>1</v>
      </c>
      <c r="AV71" s="15">
        <f t="shared" si="64"/>
        <v>1</v>
      </c>
      <c r="AW71" s="15">
        <f t="shared" si="65"/>
        <v>1</v>
      </c>
      <c r="AX71" s="15">
        <f t="shared" si="66"/>
        <v>1</v>
      </c>
      <c r="AY71" s="15">
        <f t="shared" si="67"/>
        <v>1</v>
      </c>
      <c r="AZ71" s="15">
        <f t="shared" si="68"/>
        <v>1</v>
      </c>
      <c r="BA71" s="15">
        <f t="shared" si="69"/>
        <v>1</v>
      </c>
      <c r="BB71" s="15">
        <f t="shared" si="70"/>
        <v>0</v>
      </c>
      <c r="BC71" s="15" t="str">
        <f t="shared" si="71"/>
        <v/>
      </c>
      <c r="BD71" s="15" t="str">
        <f t="shared" si="72"/>
        <v/>
      </c>
      <c r="BE71" s="11" t="e">
        <f t="shared" si="73"/>
        <v>#VALUE!</v>
      </c>
      <c r="BF71" s="11" t="e">
        <f t="shared" si="74"/>
        <v>#VALUE!</v>
      </c>
      <c r="BG71" s="11" t="e">
        <f t="shared" si="75"/>
        <v>#VALUE!</v>
      </c>
      <c r="BH71" t="str">
        <f t="shared" si="76"/>
        <v/>
      </c>
      <c r="BI71" t="str" cm="1">
        <f t="array" ref="BI71">_xlfn.IFS(
  L71&gt;0,"Critical Fail",
  M71&gt;0,"Important (Coaching)",
  TRUE,"Clean Pass"
)</f>
        <v>Clean Pass</v>
      </c>
      <c r="BJ71" t="str">
        <f t="shared" si="77"/>
        <v>NA</v>
      </c>
    </row>
    <row r="72" spans="1:62" x14ac:dyDescent="0.3">
      <c r="A72">
        <v>982327</v>
      </c>
      <c r="K72" t="str">
        <f t="shared" si="39"/>
        <v>Pass</v>
      </c>
      <c r="L72" s="15">
        <f t="shared" si="40"/>
        <v>0</v>
      </c>
      <c r="M72" s="15">
        <f t="shared" si="41"/>
        <v>0</v>
      </c>
      <c r="Z72" s="15">
        <f t="shared" si="42"/>
        <v>1</v>
      </c>
      <c r="AA72" s="15">
        <f t="shared" si="43"/>
        <v>1</v>
      </c>
      <c r="AB72" s="15">
        <f t="shared" si="44"/>
        <v>1</v>
      </c>
      <c r="AC72" s="15">
        <f t="shared" si="45"/>
        <v>1</v>
      </c>
      <c r="AD72" s="15">
        <f t="shared" si="46"/>
        <v>1</v>
      </c>
      <c r="AE72" s="15">
        <f t="shared" si="47"/>
        <v>1</v>
      </c>
      <c r="AF72" s="15">
        <f t="shared" si="48"/>
        <v>1</v>
      </c>
      <c r="AG72" s="15">
        <f t="shared" si="49"/>
        <v>1</v>
      </c>
      <c r="AH72" s="15">
        <f t="shared" si="50"/>
        <v>1</v>
      </c>
      <c r="AI72" s="15">
        <f t="shared" si="51"/>
        <v>1</v>
      </c>
      <c r="AJ72" s="15">
        <f t="shared" si="52"/>
        <v>1</v>
      </c>
      <c r="AK72" s="15">
        <f t="shared" si="53"/>
        <v>1</v>
      </c>
      <c r="AL72" s="15">
        <f t="shared" si="54"/>
        <v>1</v>
      </c>
      <c r="AM72" s="15">
        <f t="shared" si="55"/>
        <v>1</v>
      </c>
      <c r="AN72" s="15">
        <f t="shared" si="56"/>
        <v>1</v>
      </c>
      <c r="AO72" s="15">
        <f t="shared" si="57"/>
        <v>1</v>
      </c>
      <c r="AP72" s="15">
        <f t="shared" si="58"/>
        <v>1</v>
      </c>
      <c r="AQ72" s="15">
        <f t="shared" si="59"/>
        <v>1</v>
      </c>
      <c r="AR72" s="15">
        <f t="shared" si="60"/>
        <v>1</v>
      </c>
      <c r="AS72" s="15">
        <f t="shared" si="61"/>
        <v>1</v>
      </c>
      <c r="AT72" s="15">
        <f t="shared" si="62"/>
        <v>1</v>
      </c>
      <c r="AU72" s="15">
        <f t="shared" si="63"/>
        <v>1</v>
      </c>
      <c r="AV72" s="15">
        <f t="shared" si="64"/>
        <v>1</v>
      </c>
      <c r="AW72" s="15">
        <f t="shared" si="65"/>
        <v>1</v>
      </c>
      <c r="AX72" s="15">
        <f t="shared" si="66"/>
        <v>1</v>
      </c>
      <c r="AY72" s="15">
        <f t="shared" si="67"/>
        <v>1</v>
      </c>
      <c r="AZ72" s="15">
        <f t="shared" si="68"/>
        <v>1</v>
      </c>
      <c r="BA72" s="15">
        <f t="shared" si="69"/>
        <v>1</v>
      </c>
      <c r="BB72" s="15">
        <f t="shared" si="70"/>
        <v>0</v>
      </c>
      <c r="BC72" s="15" t="str">
        <f t="shared" si="71"/>
        <v/>
      </c>
      <c r="BD72" s="15" t="str">
        <f t="shared" si="72"/>
        <v/>
      </c>
      <c r="BE72" s="11" t="e">
        <f t="shared" si="73"/>
        <v>#VALUE!</v>
      </c>
      <c r="BF72" s="11" t="e">
        <f t="shared" si="74"/>
        <v>#VALUE!</v>
      </c>
      <c r="BG72" s="11" t="e">
        <f t="shared" si="75"/>
        <v>#VALUE!</v>
      </c>
      <c r="BH72" t="str">
        <f t="shared" si="76"/>
        <v/>
      </c>
      <c r="BI72" t="str" cm="1">
        <f t="array" ref="BI72">_xlfn.IFS(
  L72&gt;0,"Critical Fail",
  M72&gt;0,"Important (Coaching)",
  TRUE,"Clean Pass"
)</f>
        <v>Clean Pass</v>
      </c>
      <c r="BJ72" t="str">
        <f t="shared" si="77"/>
        <v>NA</v>
      </c>
    </row>
    <row r="73" spans="1:62" x14ac:dyDescent="0.3">
      <c r="A73">
        <v>398833</v>
      </c>
      <c r="K73" t="str">
        <f t="shared" si="39"/>
        <v>Pass</v>
      </c>
      <c r="L73" s="15">
        <f t="shared" si="40"/>
        <v>0</v>
      </c>
      <c r="M73" s="15">
        <f t="shared" si="41"/>
        <v>0</v>
      </c>
      <c r="Z73" s="15">
        <f t="shared" si="42"/>
        <v>1</v>
      </c>
      <c r="AA73" s="15">
        <f t="shared" si="43"/>
        <v>1</v>
      </c>
      <c r="AB73" s="15">
        <f t="shared" si="44"/>
        <v>1</v>
      </c>
      <c r="AC73" s="15">
        <f t="shared" si="45"/>
        <v>1</v>
      </c>
      <c r="AD73" s="15">
        <f t="shared" si="46"/>
        <v>1</v>
      </c>
      <c r="AE73" s="15">
        <f t="shared" si="47"/>
        <v>1</v>
      </c>
      <c r="AF73" s="15">
        <f t="shared" si="48"/>
        <v>1</v>
      </c>
      <c r="AG73" s="15">
        <f t="shared" si="49"/>
        <v>1</v>
      </c>
      <c r="AH73" s="15">
        <f t="shared" si="50"/>
        <v>1</v>
      </c>
      <c r="AI73" s="15">
        <f t="shared" si="51"/>
        <v>1</v>
      </c>
      <c r="AJ73" s="15">
        <f t="shared" si="52"/>
        <v>1</v>
      </c>
      <c r="AK73" s="15">
        <f t="shared" si="53"/>
        <v>1</v>
      </c>
      <c r="AL73" s="15">
        <f t="shared" si="54"/>
        <v>1</v>
      </c>
      <c r="AM73" s="15">
        <f t="shared" si="55"/>
        <v>1</v>
      </c>
      <c r="AN73" s="15">
        <f t="shared" si="56"/>
        <v>1</v>
      </c>
      <c r="AO73" s="15">
        <f t="shared" si="57"/>
        <v>1</v>
      </c>
      <c r="AP73" s="15">
        <f t="shared" si="58"/>
        <v>1</v>
      </c>
      <c r="AQ73" s="15">
        <f t="shared" si="59"/>
        <v>1</v>
      </c>
      <c r="AR73" s="15">
        <f t="shared" si="60"/>
        <v>1</v>
      </c>
      <c r="AS73" s="15">
        <f t="shared" si="61"/>
        <v>1</v>
      </c>
      <c r="AT73" s="15">
        <f t="shared" si="62"/>
        <v>1</v>
      </c>
      <c r="AU73" s="15">
        <f t="shared" si="63"/>
        <v>1</v>
      </c>
      <c r="AV73" s="15">
        <f t="shared" si="64"/>
        <v>1</v>
      </c>
      <c r="AW73" s="15">
        <f t="shared" si="65"/>
        <v>1</v>
      </c>
      <c r="AX73" s="15">
        <f t="shared" si="66"/>
        <v>1</v>
      </c>
      <c r="AY73" s="15">
        <f t="shared" si="67"/>
        <v>1</v>
      </c>
      <c r="AZ73" s="15">
        <f t="shared" si="68"/>
        <v>1</v>
      </c>
      <c r="BA73" s="15">
        <f t="shared" si="69"/>
        <v>1</v>
      </c>
      <c r="BB73" s="15">
        <f t="shared" si="70"/>
        <v>0</v>
      </c>
      <c r="BC73" s="15" t="str">
        <f t="shared" si="71"/>
        <v/>
      </c>
      <c r="BD73" s="15" t="str">
        <f t="shared" si="72"/>
        <v/>
      </c>
      <c r="BE73" s="11" t="e">
        <f t="shared" si="73"/>
        <v>#VALUE!</v>
      </c>
      <c r="BF73" s="11" t="e">
        <f t="shared" si="74"/>
        <v>#VALUE!</v>
      </c>
      <c r="BG73" s="11" t="e">
        <f t="shared" si="75"/>
        <v>#VALUE!</v>
      </c>
      <c r="BH73" t="str">
        <f t="shared" si="76"/>
        <v/>
      </c>
      <c r="BI73" t="str" cm="1">
        <f t="array" ref="BI73">_xlfn.IFS(
  L73&gt;0,"Critical Fail",
  M73&gt;0,"Important (Coaching)",
  TRUE,"Clean Pass"
)</f>
        <v>Clean Pass</v>
      </c>
      <c r="BJ73" t="str">
        <f t="shared" si="77"/>
        <v>NA</v>
      </c>
    </row>
    <row r="74" spans="1:62" x14ac:dyDescent="0.3">
      <c r="A74">
        <v>981208</v>
      </c>
      <c r="K74" t="str">
        <f t="shared" si="39"/>
        <v>Pass</v>
      </c>
      <c r="L74" s="15">
        <f t="shared" si="40"/>
        <v>0</v>
      </c>
      <c r="M74" s="15">
        <f t="shared" si="41"/>
        <v>0</v>
      </c>
      <c r="Z74" s="15">
        <f t="shared" si="42"/>
        <v>1</v>
      </c>
      <c r="AA74" s="15">
        <f t="shared" si="43"/>
        <v>1</v>
      </c>
      <c r="AB74" s="15">
        <f t="shared" si="44"/>
        <v>1</v>
      </c>
      <c r="AC74" s="15">
        <f t="shared" si="45"/>
        <v>1</v>
      </c>
      <c r="AD74" s="15">
        <f t="shared" si="46"/>
        <v>1</v>
      </c>
      <c r="AE74" s="15">
        <f t="shared" si="47"/>
        <v>1</v>
      </c>
      <c r="AF74" s="15">
        <f t="shared" si="48"/>
        <v>1</v>
      </c>
      <c r="AG74" s="15">
        <f t="shared" si="49"/>
        <v>1</v>
      </c>
      <c r="AH74" s="15">
        <f t="shared" si="50"/>
        <v>1</v>
      </c>
      <c r="AI74" s="15">
        <f t="shared" si="51"/>
        <v>1</v>
      </c>
      <c r="AJ74" s="15">
        <f t="shared" si="52"/>
        <v>1</v>
      </c>
      <c r="AK74" s="15">
        <f t="shared" si="53"/>
        <v>1</v>
      </c>
      <c r="AL74" s="15">
        <f t="shared" si="54"/>
        <v>1</v>
      </c>
      <c r="AM74" s="15">
        <f t="shared" si="55"/>
        <v>1</v>
      </c>
      <c r="AN74" s="15">
        <f t="shared" si="56"/>
        <v>1</v>
      </c>
      <c r="AO74" s="15">
        <f t="shared" si="57"/>
        <v>1</v>
      </c>
      <c r="AP74" s="15">
        <f t="shared" si="58"/>
        <v>1</v>
      </c>
      <c r="AQ74" s="15">
        <f t="shared" si="59"/>
        <v>1</v>
      </c>
      <c r="AR74" s="15">
        <f t="shared" si="60"/>
        <v>1</v>
      </c>
      <c r="AS74" s="15">
        <f t="shared" si="61"/>
        <v>1</v>
      </c>
      <c r="AT74" s="15">
        <f t="shared" si="62"/>
        <v>1</v>
      </c>
      <c r="AU74" s="15">
        <f t="shared" si="63"/>
        <v>1</v>
      </c>
      <c r="AV74" s="15">
        <f t="shared" si="64"/>
        <v>1</v>
      </c>
      <c r="AW74" s="15">
        <f t="shared" si="65"/>
        <v>1</v>
      </c>
      <c r="AX74" s="15">
        <f t="shared" si="66"/>
        <v>1</v>
      </c>
      <c r="AY74" s="15">
        <f t="shared" si="67"/>
        <v>1</v>
      </c>
      <c r="AZ74" s="15">
        <f t="shared" si="68"/>
        <v>1</v>
      </c>
      <c r="BA74" s="15">
        <f t="shared" si="69"/>
        <v>1</v>
      </c>
      <c r="BB74" s="15">
        <f t="shared" si="70"/>
        <v>0</v>
      </c>
      <c r="BC74" s="15" t="str">
        <f t="shared" si="71"/>
        <v/>
      </c>
      <c r="BD74" s="15" t="str">
        <f t="shared" si="72"/>
        <v/>
      </c>
      <c r="BE74" s="11" t="e">
        <f t="shared" si="73"/>
        <v>#VALUE!</v>
      </c>
      <c r="BF74" s="11" t="e">
        <f t="shared" si="74"/>
        <v>#VALUE!</v>
      </c>
      <c r="BG74" s="11" t="e">
        <f t="shared" si="75"/>
        <v>#VALUE!</v>
      </c>
      <c r="BH74" t="str">
        <f t="shared" si="76"/>
        <v/>
      </c>
      <c r="BI74" t="str" cm="1">
        <f t="array" ref="BI74">_xlfn.IFS(
  L74&gt;0,"Critical Fail",
  M74&gt;0,"Important (Coaching)",
  TRUE,"Clean Pass"
)</f>
        <v>Clean Pass</v>
      </c>
      <c r="BJ74" t="str">
        <f t="shared" si="77"/>
        <v>NA</v>
      </c>
    </row>
    <row r="75" spans="1:62" x14ac:dyDescent="0.3">
      <c r="A75">
        <v>616707</v>
      </c>
      <c r="K75" t="str">
        <f t="shared" si="39"/>
        <v>Pass</v>
      </c>
      <c r="L75" s="15">
        <f t="shared" si="40"/>
        <v>0</v>
      </c>
      <c r="M75" s="15">
        <f t="shared" si="41"/>
        <v>0</v>
      </c>
      <c r="Z75" s="15">
        <f t="shared" si="42"/>
        <v>1</v>
      </c>
      <c r="AA75" s="15">
        <f t="shared" si="43"/>
        <v>1</v>
      </c>
      <c r="AB75" s="15">
        <f t="shared" si="44"/>
        <v>1</v>
      </c>
      <c r="AC75" s="15">
        <f t="shared" si="45"/>
        <v>1</v>
      </c>
      <c r="AD75" s="15">
        <f t="shared" si="46"/>
        <v>1</v>
      </c>
      <c r="AE75" s="15">
        <f t="shared" si="47"/>
        <v>1</v>
      </c>
      <c r="AF75" s="15">
        <f t="shared" si="48"/>
        <v>1</v>
      </c>
      <c r="AG75" s="15">
        <f t="shared" si="49"/>
        <v>1</v>
      </c>
      <c r="AH75" s="15">
        <f t="shared" si="50"/>
        <v>1</v>
      </c>
      <c r="AI75" s="15">
        <f t="shared" si="51"/>
        <v>1</v>
      </c>
      <c r="AJ75" s="15">
        <f t="shared" si="52"/>
        <v>1</v>
      </c>
      <c r="AK75" s="15">
        <f t="shared" si="53"/>
        <v>1</v>
      </c>
      <c r="AL75" s="15">
        <f t="shared" si="54"/>
        <v>1</v>
      </c>
      <c r="AM75" s="15">
        <f t="shared" si="55"/>
        <v>1</v>
      </c>
      <c r="AN75" s="15">
        <f t="shared" si="56"/>
        <v>1</v>
      </c>
      <c r="AO75" s="15">
        <f t="shared" si="57"/>
        <v>1</v>
      </c>
      <c r="AP75" s="15">
        <f t="shared" si="58"/>
        <v>1</v>
      </c>
      <c r="AQ75" s="15">
        <f t="shared" si="59"/>
        <v>1</v>
      </c>
      <c r="AR75" s="15">
        <f t="shared" si="60"/>
        <v>1</v>
      </c>
      <c r="AS75" s="15">
        <f t="shared" si="61"/>
        <v>1</v>
      </c>
      <c r="AT75" s="15">
        <f t="shared" si="62"/>
        <v>1</v>
      </c>
      <c r="AU75" s="15">
        <f t="shared" si="63"/>
        <v>1</v>
      </c>
      <c r="AV75" s="15">
        <f t="shared" si="64"/>
        <v>1</v>
      </c>
      <c r="AW75" s="15">
        <f t="shared" si="65"/>
        <v>1</v>
      </c>
      <c r="AX75" s="15">
        <f t="shared" si="66"/>
        <v>1</v>
      </c>
      <c r="AY75" s="15">
        <f t="shared" si="67"/>
        <v>1</v>
      </c>
      <c r="AZ75" s="15">
        <f t="shared" si="68"/>
        <v>1</v>
      </c>
      <c r="BA75" s="15">
        <f t="shared" si="69"/>
        <v>1</v>
      </c>
      <c r="BB75" s="15">
        <f t="shared" si="70"/>
        <v>0</v>
      </c>
      <c r="BC75" s="15" t="str">
        <f t="shared" si="71"/>
        <v/>
      </c>
      <c r="BD75" s="15" t="str">
        <f t="shared" si="72"/>
        <v/>
      </c>
      <c r="BE75" s="11" t="e">
        <f t="shared" si="73"/>
        <v>#VALUE!</v>
      </c>
      <c r="BF75" s="11" t="e">
        <f t="shared" si="74"/>
        <v>#VALUE!</v>
      </c>
      <c r="BG75" s="11" t="e">
        <f t="shared" si="75"/>
        <v>#VALUE!</v>
      </c>
      <c r="BH75" t="str">
        <f t="shared" si="76"/>
        <v/>
      </c>
      <c r="BI75" t="str" cm="1">
        <f t="array" ref="BI75">_xlfn.IFS(
  L75&gt;0,"Critical Fail",
  M75&gt;0,"Important (Coaching)",
  TRUE,"Clean Pass"
)</f>
        <v>Clean Pass</v>
      </c>
      <c r="BJ75" t="str">
        <f t="shared" si="77"/>
        <v>NA</v>
      </c>
    </row>
    <row r="76" spans="1:62" x14ac:dyDescent="0.3">
      <c r="A76">
        <v>820551</v>
      </c>
      <c r="K76" t="str">
        <f t="shared" si="39"/>
        <v>Pass</v>
      </c>
      <c r="L76" s="15">
        <f t="shared" si="40"/>
        <v>0</v>
      </c>
      <c r="M76" s="15">
        <f t="shared" si="41"/>
        <v>0</v>
      </c>
      <c r="Z76" s="15">
        <f t="shared" si="42"/>
        <v>1</v>
      </c>
      <c r="AA76" s="15">
        <f t="shared" si="43"/>
        <v>1</v>
      </c>
      <c r="AB76" s="15">
        <f t="shared" si="44"/>
        <v>1</v>
      </c>
      <c r="AC76" s="15">
        <f t="shared" si="45"/>
        <v>1</v>
      </c>
      <c r="AD76" s="15">
        <f t="shared" si="46"/>
        <v>1</v>
      </c>
      <c r="AE76" s="15">
        <f t="shared" si="47"/>
        <v>1</v>
      </c>
      <c r="AF76" s="15">
        <f t="shared" si="48"/>
        <v>1</v>
      </c>
      <c r="AG76" s="15">
        <f t="shared" si="49"/>
        <v>1</v>
      </c>
      <c r="AH76" s="15">
        <f t="shared" si="50"/>
        <v>1</v>
      </c>
      <c r="AI76" s="15">
        <f t="shared" si="51"/>
        <v>1</v>
      </c>
      <c r="AJ76" s="15">
        <f t="shared" si="52"/>
        <v>1</v>
      </c>
      <c r="AK76" s="15">
        <f t="shared" si="53"/>
        <v>1</v>
      </c>
      <c r="AL76" s="15">
        <f t="shared" si="54"/>
        <v>1</v>
      </c>
      <c r="AM76" s="15">
        <f t="shared" si="55"/>
        <v>1</v>
      </c>
      <c r="AN76" s="15">
        <f t="shared" si="56"/>
        <v>1</v>
      </c>
      <c r="AO76" s="15">
        <f t="shared" si="57"/>
        <v>1</v>
      </c>
      <c r="AP76" s="15">
        <f t="shared" si="58"/>
        <v>1</v>
      </c>
      <c r="AQ76" s="15">
        <f t="shared" si="59"/>
        <v>1</v>
      </c>
      <c r="AR76" s="15">
        <f t="shared" si="60"/>
        <v>1</v>
      </c>
      <c r="AS76" s="15">
        <f t="shared" si="61"/>
        <v>1</v>
      </c>
      <c r="AT76" s="15">
        <f t="shared" si="62"/>
        <v>1</v>
      </c>
      <c r="AU76" s="15">
        <f t="shared" si="63"/>
        <v>1</v>
      </c>
      <c r="AV76" s="15">
        <f t="shared" si="64"/>
        <v>1</v>
      </c>
      <c r="AW76" s="15">
        <f t="shared" si="65"/>
        <v>1</v>
      </c>
      <c r="AX76" s="15">
        <f t="shared" si="66"/>
        <v>1</v>
      </c>
      <c r="AY76" s="15">
        <f t="shared" si="67"/>
        <v>1</v>
      </c>
      <c r="AZ76" s="15">
        <f t="shared" si="68"/>
        <v>1</v>
      </c>
      <c r="BA76" s="15">
        <f t="shared" si="69"/>
        <v>1</v>
      </c>
      <c r="BB76" s="15">
        <f t="shared" si="70"/>
        <v>0</v>
      </c>
      <c r="BC76" s="15" t="str">
        <f t="shared" si="71"/>
        <v/>
      </c>
      <c r="BD76" s="15" t="str">
        <f t="shared" si="72"/>
        <v/>
      </c>
      <c r="BE76" s="11" t="e">
        <f t="shared" si="73"/>
        <v>#VALUE!</v>
      </c>
      <c r="BF76" s="11" t="e">
        <f t="shared" si="74"/>
        <v>#VALUE!</v>
      </c>
      <c r="BG76" s="11" t="e">
        <f t="shared" si="75"/>
        <v>#VALUE!</v>
      </c>
      <c r="BH76" t="str">
        <f t="shared" si="76"/>
        <v/>
      </c>
      <c r="BI76" t="str" cm="1">
        <f t="array" ref="BI76">_xlfn.IFS(
  L76&gt;0,"Critical Fail",
  M76&gt;0,"Important (Coaching)",
  TRUE,"Clean Pass"
)</f>
        <v>Clean Pass</v>
      </c>
      <c r="BJ76" t="str">
        <f t="shared" si="77"/>
        <v>NA</v>
      </c>
    </row>
    <row r="77" spans="1:62" x14ac:dyDescent="0.3">
      <c r="A77">
        <v>331673</v>
      </c>
      <c r="K77" t="str">
        <f t="shared" si="39"/>
        <v>Pass</v>
      </c>
      <c r="L77" s="15">
        <f t="shared" si="40"/>
        <v>0</v>
      </c>
      <c r="M77" s="15">
        <f t="shared" si="41"/>
        <v>0</v>
      </c>
      <c r="Z77" s="15">
        <f t="shared" si="42"/>
        <v>1</v>
      </c>
      <c r="AA77" s="15">
        <f t="shared" si="43"/>
        <v>1</v>
      </c>
      <c r="AB77" s="15">
        <f t="shared" si="44"/>
        <v>1</v>
      </c>
      <c r="AC77" s="15">
        <f t="shared" si="45"/>
        <v>1</v>
      </c>
      <c r="AD77" s="15">
        <f t="shared" si="46"/>
        <v>1</v>
      </c>
      <c r="AE77" s="15">
        <f t="shared" si="47"/>
        <v>1</v>
      </c>
      <c r="AF77" s="15">
        <f t="shared" si="48"/>
        <v>1</v>
      </c>
      <c r="AG77" s="15">
        <f t="shared" si="49"/>
        <v>1</v>
      </c>
      <c r="AH77" s="15">
        <f t="shared" si="50"/>
        <v>1</v>
      </c>
      <c r="AI77" s="15">
        <f t="shared" si="51"/>
        <v>1</v>
      </c>
      <c r="AJ77" s="15">
        <f t="shared" si="52"/>
        <v>1</v>
      </c>
      <c r="AK77" s="15">
        <f t="shared" si="53"/>
        <v>1</v>
      </c>
      <c r="AL77" s="15">
        <f t="shared" si="54"/>
        <v>1</v>
      </c>
      <c r="AM77" s="15">
        <f t="shared" si="55"/>
        <v>1</v>
      </c>
      <c r="AN77" s="15">
        <f t="shared" si="56"/>
        <v>1</v>
      </c>
      <c r="AO77" s="15">
        <f t="shared" si="57"/>
        <v>1</v>
      </c>
      <c r="AP77" s="15">
        <f t="shared" si="58"/>
        <v>1</v>
      </c>
      <c r="AQ77" s="15">
        <f t="shared" si="59"/>
        <v>1</v>
      </c>
      <c r="AR77" s="15">
        <f t="shared" si="60"/>
        <v>1</v>
      </c>
      <c r="AS77" s="15">
        <f t="shared" si="61"/>
        <v>1</v>
      </c>
      <c r="AT77" s="15">
        <f t="shared" si="62"/>
        <v>1</v>
      </c>
      <c r="AU77" s="15">
        <f t="shared" si="63"/>
        <v>1</v>
      </c>
      <c r="AV77" s="15">
        <f t="shared" si="64"/>
        <v>1</v>
      </c>
      <c r="AW77" s="15">
        <f t="shared" si="65"/>
        <v>1</v>
      </c>
      <c r="AX77" s="15">
        <f t="shared" si="66"/>
        <v>1</v>
      </c>
      <c r="AY77" s="15">
        <f t="shared" si="67"/>
        <v>1</v>
      </c>
      <c r="AZ77" s="15">
        <f t="shared" si="68"/>
        <v>1</v>
      </c>
      <c r="BA77" s="15">
        <f t="shared" si="69"/>
        <v>1</v>
      </c>
      <c r="BB77" s="15">
        <f t="shared" si="70"/>
        <v>0</v>
      </c>
      <c r="BC77" s="15" t="str">
        <f t="shared" si="71"/>
        <v/>
      </c>
      <c r="BD77" s="15" t="str">
        <f t="shared" si="72"/>
        <v/>
      </c>
      <c r="BE77" s="11" t="e">
        <f t="shared" si="73"/>
        <v>#VALUE!</v>
      </c>
      <c r="BF77" s="11" t="e">
        <f t="shared" si="74"/>
        <v>#VALUE!</v>
      </c>
      <c r="BG77" s="11" t="e">
        <f t="shared" si="75"/>
        <v>#VALUE!</v>
      </c>
      <c r="BH77" t="str">
        <f t="shared" si="76"/>
        <v/>
      </c>
      <c r="BI77" t="str" cm="1">
        <f t="array" ref="BI77">_xlfn.IFS(
  L77&gt;0,"Critical Fail",
  M77&gt;0,"Important (Coaching)",
  TRUE,"Clean Pass"
)</f>
        <v>Clean Pass</v>
      </c>
      <c r="BJ77" t="str">
        <f t="shared" si="77"/>
        <v>NA</v>
      </c>
    </row>
    <row r="78" spans="1:62" x14ac:dyDescent="0.3">
      <c r="A78">
        <v>243295</v>
      </c>
      <c r="K78" t="str">
        <f t="shared" si="39"/>
        <v>Pass</v>
      </c>
      <c r="L78" s="15">
        <f t="shared" si="40"/>
        <v>0</v>
      </c>
      <c r="M78" s="15">
        <f t="shared" si="41"/>
        <v>0</v>
      </c>
      <c r="Z78" s="15">
        <f t="shared" si="42"/>
        <v>1</v>
      </c>
      <c r="AA78" s="15">
        <f t="shared" si="43"/>
        <v>1</v>
      </c>
      <c r="AB78" s="15">
        <f t="shared" si="44"/>
        <v>1</v>
      </c>
      <c r="AC78" s="15">
        <f t="shared" si="45"/>
        <v>1</v>
      </c>
      <c r="AD78" s="15">
        <f t="shared" si="46"/>
        <v>1</v>
      </c>
      <c r="AE78" s="15">
        <f t="shared" si="47"/>
        <v>1</v>
      </c>
      <c r="AF78" s="15">
        <f t="shared" si="48"/>
        <v>1</v>
      </c>
      <c r="AG78" s="15">
        <f t="shared" si="49"/>
        <v>1</v>
      </c>
      <c r="AH78" s="15">
        <f t="shared" si="50"/>
        <v>1</v>
      </c>
      <c r="AI78" s="15">
        <f t="shared" si="51"/>
        <v>1</v>
      </c>
      <c r="AJ78" s="15">
        <f t="shared" si="52"/>
        <v>1</v>
      </c>
      <c r="AK78" s="15">
        <f t="shared" si="53"/>
        <v>1</v>
      </c>
      <c r="AL78" s="15">
        <f t="shared" si="54"/>
        <v>1</v>
      </c>
      <c r="AM78" s="15">
        <f t="shared" si="55"/>
        <v>1</v>
      </c>
      <c r="AN78" s="15">
        <f t="shared" si="56"/>
        <v>1</v>
      </c>
      <c r="AO78" s="15">
        <f t="shared" si="57"/>
        <v>1</v>
      </c>
      <c r="AP78" s="15">
        <f t="shared" si="58"/>
        <v>1</v>
      </c>
      <c r="AQ78" s="15">
        <f t="shared" si="59"/>
        <v>1</v>
      </c>
      <c r="AR78" s="15">
        <f t="shared" si="60"/>
        <v>1</v>
      </c>
      <c r="AS78" s="15">
        <f t="shared" si="61"/>
        <v>1</v>
      </c>
      <c r="AT78" s="15">
        <f t="shared" si="62"/>
        <v>1</v>
      </c>
      <c r="AU78" s="15">
        <f t="shared" si="63"/>
        <v>1</v>
      </c>
      <c r="AV78" s="15">
        <f t="shared" si="64"/>
        <v>1</v>
      </c>
      <c r="AW78" s="15">
        <f t="shared" si="65"/>
        <v>1</v>
      </c>
      <c r="AX78" s="15">
        <f t="shared" si="66"/>
        <v>1</v>
      </c>
      <c r="AY78" s="15">
        <f t="shared" si="67"/>
        <v>1</v>
      </c>
      <c r="AZ78" s="15">
        <f t="shared" si="68"/>
        <v>1</v>
      </c>
      <c r="BA78" s="15">
        <f t="shared" si="69"/>
        <v>1</v>
      </c>
      <c r="BB78" s="15">
        <f t="shared" si="70"/>
        <v>0</v>
      </c>
      <c r="BC78" s="15" t="str">
        <f t="shared" si="71"/>
        <v/>
      </c>
      <c r="BD78" s="15" t="str">
        <f t="shared" si="72"/>
        <v/>
      </c>
      <c r="BE78" s="11" t="e">
        <f t="shared" si="73"/>
        <v>#VALUE!</v>
      </c>
      <c r="BF78" s="11" t="e">
        <f t="shared" si="74"/>
        <v>#VALUE!</v>
      </c>
      <c r="BG78" s="11" t="e">
        <f t="shared" si="75"/>
        <v>#VALUE!</v>
      </c>
      <c r="BH78" t="str">
        <f t="shared" si="76"/>
        <v/>
      </c>
      <c r="BI78" t="str" cm="1">
        <f t="array" ref="BI78">_xlfn.IFS(
  L78&gt;0,"Critical Fail",
  M78&gt;0,"Important (Coaching)",
  TRUE,"Clean Pass"
)</f>
        <v>Clean Pass</v>
      </c>
      <c r="BJ78" t="str">
        <f t="shared" si="77"/>
        <v>NA</v>
      </c>
    </row>
    <row r="79" spans="1:62" x14ac:dyDescent="0.3">
      <c r="A79">
        <v>182043</v>
      </c>
      <c r="K79" t="str">
        <f t="shared" si="39"/>
        <v>Pass</v>
      </c>
      <c r="L79" s="15">
        <f t="shared" si="40"/>
        <v>0</v>
      </c>
      <c r="M79" s="15">
        <f t="shared" si="41"/>
        <v>0</v>
      </c>
      <c r="Z79" s="15">
        <f t="shared" si="42"/>
        <v>1</v>
      </c>
      <c r="AA79" s="15">
        <f t="shared" si="43"/>
        <v>1</v>
      </c>
      <c r="AB79" s="15">
        <f t="shared" si="44"/>
        <v>1</v>
      </c>
      <c r="AC79" s="15">
        <f t="shared" si="45"/>
        <v>1</v>
      </c>
      <c r="AD79" s="15">
        <f t="shared" si="46"/>
        <v>1</v>
      </c>
      <c r="AE79" s="15">
        <f t="shared" si="47"/>
        <v>1</v>
      </c>
      <c r="AF79" s="15">
        <f t="shared" si="48"/>
        <v>1</v>
      </c>
      <c r="AG79" s="15">
        <f t="shared" si="49"/>
        <v>1</v>
      </c>
      <c r="AH79" s="15">
        <f t="shared" si="50"/>
        <v>1</v>
      </c>
      <c r="AI79" s="15">
        <f t="shared" si="51"/>
        <v>1</v>
      </c>
      <c r="AJ79" s="15">
        <f t="shared" si="52"/>
        <v>1</v>
      </c>
      <c r="AK79" s="15">
        <f t="shared" si="53"/>
        <v>1</v>
      </c>
      <c r="AL79" s="15">
        <f t="shared" si="54"/>
        <v>1</v>
      </c>
      <c r="AM79" s="15">
        <f t="shared" si="55"/>
        <v>1</v>
      </c>
      <c r="AN79" s="15">
        <f t="shared" si="56"/>
        <v>1</v>
      </c>
      <c r="AO79" s="15">
        <f t="shared" si="57"/>
        <v>1</v>
      </c>
      <c r="AP79" s="15">
        <f t="shared" si="58"/>
        <v>1</v>
      </c>
      <c r="AQ79" s="15">
        <f t="shared" si="59"/>
        <v>1</v>
      </c>
      <c r="AR79" s="15">
        <f t="shared" si="60"/>
        <v>1</v>
      </c>
      <c r="AS79" s="15">
        <f t="shared" si="61"/>
        <v>1</v>
      </c>
      <c r="AT79" s="15">
        <f t="shared" si="62"/>
        <v>1</v>
      </c>
      <c r="AU79" s="15">
        <f t="shared" si="63"/>
        <v>1</v>
      </c>
      <c r="AV79" s="15">
        <f t="shared" si="64"/>
        <v>1</v>
      </c>
      <c r="AW79" s="15">
        <f t="shared" si="65"/>
        <v>1</v>
      </c>
      <c r="AX79" s="15">
        <f t="shared" si="66"/>
        <v>1</v>
      </c>
      <c r="AY79" s="15">
        <f t="shared" si="67"/>
        <v>1</v>
      </c>
      <c r="AZ79" s="15">
        <f t="shared" si="68"/>
        <v>1</v>
      </c>
      <c r="BA79" s="15">
        <f t="shared" si="69"/>
        <v>1</v>
      </c>
      <c r="BB79" s="15">
        <f t="shared" si="70"/>
        <v>0</v>
      </c>
      <c r="BC79" s="15" t="str">
        <f t="shared" si="71"/>
        <v/>
      </c>
      <c r="BD79" s="15" t="str">
        <f t="shared" si="72"/>
        <v/>
      </c>
      <c r="BE79" s="11" t="e">
        <f t="shared" si="73"/>
        <v>#VALUE!</v>
      </c>
      <c r="BF79" s="11" t="e">
        <f t="shared" si="74"/>
        <v>#VALUE!</v>
      </c>
      <c r="BG79" s="11" t="e">
        <f t="shared" si="75"/>
        <v>#VALUE!</v>
      </c>
      <c r="BH79" t="str">
        <f t="shared" si="76"/>
        <v/>
      </c>
      <c r="BI79" t="str" cm="1">
        <f t="array" ref="BI79">_xlfn.IFS(
  L79&gt;0,"Critical Fail",
  M79&gt;0,"Important (Coaching)",
  TRUE,"Clean Pass"
)</f>
        <v>Clean Pass</v>
      </c>
      <c r="BJ79" t="str">
        <f t="shared" si="77"/>
        <v>NA</v>
      </c>
    </row>
    <row r="80" spans="1:62" x14ac:dyDescent="0.3">
      <c r="A80">
        <v>329664</v>
      </c>
      <c r="K80" t="str">
        <f t="shared" si="39"/>
        <v>Pass</v>
      </c>
      <c r="L80" s="15">
        <f t="shared" si="40"/>
        <v>0</v>
      </c>
      <c r="M80" s="15">
        <f t="shared" si="41"/>
        <v>0</v>
      </c>
      <c r="Z80" s="15">
        <f t="shared" si="42"/>
        <v>1</v>
      </c>
      <c r="AA80" s="15">
        <f t="shared" si="43"/>
        <v>1</v>
      </c>
      <c r="AB80" s="15">
        <f t="shared" si="44"/>
        <v>1</v>
      </c>
      <c r="AC80" s="15">
        <f t="shared" si="45"/>
        <v>1</v>
      </c>
      <c r="AD80" s="15">
        <f t="shared" si="46"/>
        <v>1</v>
      </c>
      <c r="AE80" s="15">
        <f t="shared" si="47"/>
        <v>1</v>
      </c>
      <c r="AF80" s="15">
        <f t="shared" si="48"/>
        <v>1</v>
      </c>
      <c r="AG80" s="15">
        <f t="shared" si="49"/>
        <v>1</v>
      </c>
      <c r="AH80" s="15">
        <f t="shared" si="50"/>
        <v>1</v>
      </c>
      <c r="AI80" s="15">
        <f t="shared" si="51"/>
        <v>1</v>
      </c>
      <c r="AJ80" s="15">
        <f t="shared" si="52"/>
        <v>1</v>
      </c>
      <c r="AK80" s="15">
        <f t="shared" si="53"/>
        <v>1</v>
      </c>
      <c r="AL80" s="15">
        <f t="shared" si="54"/>
        <v>1</v>
      </c>
      <c r="AM80" s="15">
        <f t="shared" si="55"/>
        <v>1</v>
      </c>
      <c r="AN80" s="15">
        <f t="shared" si="56"/>
        <v>1</v>
      </c>
      <c r="AO80" s="15">
        <f t="shared" si="57"/>
        <v>1</v>
      </c>
      <c r="AP80" s="15">
        <f t="shared" si="58"/>
        <v>1</v>
      </c>
      <c r="AQ80" s="15">
        <f t="shared" si="59"/>
        <v>1</v>
      </c>
      <c r="AR80" s="15">
        <f t="shared" si="60"/>
        <v>1</v>
      </c>
      <c r="AS80" s="15">
        <f t="shared" si="61"/>
        <v>1</v>
      </c>
      <c r="AT80" s="15">
        <f t="shared" si="62"/>
        <v>1</v>
      </c>
      <c r="AU80" s="15">
        <f t="shared" si="63"/>
        <v>1</v>
      </c>
      <c r="AV80" s="15">
        <f t="shared" si="64"/>
        <v>1</v>
      </c>
      <c r="AW80" s="15">
        <f t="shared" si="65"/>
        <v>1</v>
      </c>
      <c r="AX80" s="15">
        <f t="shared" si="66"/>
        <v>1</v>
      </c>
      <c r="AY80" s="15">
        <f t="shared" si="67"/>
        <v>1</v>
      </c>
      <c r="AZ80" s="15">
        <f t="shared" si="68"/>
        <v>1</v>
      </c>
      <c r="BA80" s="15">
        <f t="shared" si="69"/>
        <v>1</v>
      </c>
      <c r="BB80" s="15">
        <f t="shared" si="70"/>
        <v>0</v>
      </c>
      <c r="BC80" s="15" t="str">
        <f t="shared" si="71"/>
        <v/>
      </c>
      <c r="BD80" s="15" t="str">
        <f t="shared" si="72"/>
        <v/>
      </c>
      <c r="BE80" s="11" t="e">
        <f t="shared" si="73"/>
        <v>#VALUE!</v>
      </c>
      <c r="BF80" s="11" t="e">
        <f t="shared" si="74"/>
        <v>#VALUE!</v>
      </c>
      <c r="BG80" s="11" t="e">
        <f t="shared" si="75"/>
        <v>#VALUE!</v>
      </c>
      <c r="BH80" t="str">
        <f t="shared" si="76"/>
        <v/>
      </c>
      <c r="BI80" t="str" cm="1">
        <f t="array" ref="BI80">_xlfn.IFS(
  L80&gt;0,"Critical Fail",
  M80&gt;0,"Important (Coaching)",
  TRUE,"Clean Pass"
)</f>
        <v>Clean Pass</v>
      </c>
      <c r="BJ80" t="str">
        <f t="shared" si="77"/>
        <v>NA</v>
      </c>
    </row>
    <row r="81" spans="1:62" x14ac:dyDescent="0.3">
      <c r="A81">
        <v>119111</v>
      </c>
      <c r="K81" t="str">
        <f t="shared" si="39"/>
        <v>Pass</v>
      </c>
      <c r="L81" s="15">
        <f t="shared" si="40"/>
        <v>0</v>
      </c>
      <c r="M81" s="15">
        <f t="shared" si="41"/>
        <v>0</v>
      </c>
      <c r="Z81" s="15">
        <f t="shared" si="42"/>
        <v>1</v>
      </c>
      <c r="AA81" s="15">
        <f t="shared" si="43"/>
        <v>1</v>
      </c>
      <c r="AB81" s="15">
        <f t="shared" si="44"/>
        <v>1</v>
      </c>
      <c r="AC81" s="15">
        <f t="shared" si="45"/>
        <v>1</v>
      </c>
      <c r="AD81" s="15">
        <f t="shared" si="46"/>
        <v>1</v>
      </c>
      <c r="AE81" s="15">
        <f t="shared" si="47"/>
        <v>1</v>
      </c>
      <c r="AF81" s="15">
        <f t="shared" si="48"/>
        <v>1</v>
      </c>
      <c r="AG81" s="15">
        <f t="shared" si="49"/>
        <v>1</v>
      </c>
      <c r="AH81" s="15">
        <f t="shared" si="50"/>
        <v>1</v>
      </c>
      <c r="AI81" s="15">
        <f t="shared" si="51"/>
        <v>1</v>
      </c>
      <c r="AJ81" s="15">
        <f t="shared" si="52"/>
        <v>1</v>
      </c>
      <c r="AK81" s="15">
        <f t="shared" si="53"/>
        <v>1</v>
      </c>
      <c r="AL81" s="15">
        <f t="shared" si="54"/>
        <v>1</v>
      </c>
      <c r="AM81" s="15">
        <f t="shared" si="55"/>
        <v>1</v>
      </c>
      <c r="AN81" s="15">
        <f t="shared" si="56"/>
        <v>1</v>
      </c>
      <c r="AO81" s="15">
        <f t="shared" si="57"/>
        <v>1</v>
      </c>
      <c r="AP81" s="15">
        <f t="shared" si="58"/>
        <v>1</v>
      </c>
      <c r="AQ81" s="15">
        <f t="shared" si="59"/>
        <v>1</v>
      </c>
      <c r="AR81" s="15">
        <f t="shared" si="60"/>
        <v>1</v>
      </c>
      <c r="AS81" s="15">
        <f t="shared" si="61"/>
        <v>1</v>
      </c>
      <c r="AT81" s="15">
        <f t="shared" si="62"/>
        <v>1</v>
      </c>
      <c r="AU81" s="15">
        <f t="shared" si="63"/>
        <v>1</v>
      </c>
      <c r="AV81" s="15">
        <f t="shared" si="64"/>
        <v>1</v>
      </c>
      <c r="AW81" s="15">
        <f t="shared" si="65"/>
        <v>1</v>
      </c>
      <c r="AX81" s="15">
        <f t="shared" si="66"/>
        <v>1</v>
      </c>
      <c r="AY81" s="15">
        <f t="shared" si="67"/>
        <v>1</v>
      </c>
      <c r="AZ81" s="15">
        <f t="shared" si="68"/>
        <v>1</v>
      </c>
      <c r="BA81" s="15">
        <f t="shared" si="69"/>
        <v>1</v>
      </c>
      <c r="BB81" s="15">
        <f t="shared" si="70"/>
        <v>0</v>
      </c>
      <c r="BC81" s="15" t="str">
        <f t="shared" si="71"/>
        <v/>
      </c>
      <c r="BD81" s="15" t="str">
        <f t="shared" si="72"/>
        <v/>
      </c>
      <c r="BE81" s="11" t="e">
        <f t="shared" si="73"/>
        <v>#VALUE!</v>
      </c>
      <c r="BF81" s="11" t="e">
        <f t="shared" si="74"/>
        <v>#VALUE!</v>
      </c>
      <c r="BG81" s="11" t="e">
        <f t="shared" si="75"/>
        <v>#VALUE!</v>
      </c>
      <c r="BH81" t="str">
        <f t="shared" si="76"/>
        <v/>
      </c>
      <c r="BI81" t="str" cm="1">
        <f t="array" ref="BI81">_xlfn.IFS(
  L81&gt;0,"Critical Fail",
  M81&gt;0,"Important (Coaching)",
  TRUE,"Clean Pass"
)</f>
        <v>Clean Pass</v>
      </c>
      <c r="BJ81" t="str">
        <f t="shared" si="77"/>
        <v>NA</v>
      </c>
    </row>
    <row r="82" spans="1:62" x14ac:dyDescent="0.3">
      <c r="A82">
        <v>810470</v>
      </c>
      <c r="K82" t="str">
        <f t="shared" si="39"/>
        <v>Pass</v>
      </c>
      <c r="L82" s="15">
        <f t="shared" si="40"/>
        <v>0</v>
      </c>
      <c r="M82" s="15">
        <f t="shared" si="41"/>
        <v>0</v>
      </c>
      <c r="Z82" s="15">
        <f t="shared" si="42"/>
        <v>1</v>
      </c>
      <c r="AA82" s="15">
        <f t="shared" si="43"/>
        <v>1</v>
      </c>
      <c r="AB82" s="15">
        <f t="shared" si="44"/>
        <v>1</v>
      </c>
      <c r="AC82" s="15">
        <f t="shared" si="45"/>
        <v>1</v>
      </c>
      <c r="AD82" s="15">
        <f t="shared" si="46"/>
        <v>1</v>
      </c>
      <c r="AE82" s="15">
        <f t="shared" si="47"/>
        <v>1</v>
      </c>
      <c r="AF82" s="15">
        <f t="shared" si="48"/>
        <v>1</v>
      </c>
      <c r="AG82" s="15">
        <f t="shared" si="49"/>
        <v>1</v>
      </c>
      <c r="AH82" s="15">
        <f t="shared" si="50"/>
        <v>1</v>
      </c>
      <c r="AI82" s="15">
        <f t="shared" si="51"/>
        <v>1</v>
      </c>
      <c r="AJ82" s="15">
        <f t="shared" si="52"/>
        <v>1</v>
      </c>
      <c r="AK82" s="15">
        <f t="shared" si="53"/>
        <v>1</v>
      </c>
      <c r="AL82" s="15">
        <f t="shared" si="54"/>
        <v>1</v>
      </c>
      <c r="AM82" s="15">
        <f t="shared" si="55"/>
        <v>1</v>
      </c>
      <c r="AN82" s="15">
        <f t="shared" si="56"/>
        <v>1</v>
      </c>
      <c r="AO82" s="15">
        <f t="shared" si="57"/>
        <v>1</v>
      </c>
      <c r="AP82" s="15">
        <f t="shared" si="58"/>
        <v>1</v>
      </c>
      <c r="AQ82" s="15">
        <f t="shared" si="59"/>
        <v>1</v>
      </c>
      <c r="AR82" s="15">
        <f t="shared" si="60"/>
        <v>1</v>
      </c>
      <c r="AS82" s="15">
        <f t="shared" si="61"/>
        <v>1</v>
      </c>
      <c r="AT82" s="15">
        <f t="shared" si="62"/>
        <v>1</v>
      </c>
      <c r="AU82" s="15">
        <f t="shared" si="63"/>
        <v>1</v>
      </c>
      <c r="AV82" s="15">
        <f t="shared" si="64"/>
        <v>1</v>
      </c>
      <c r="AW82" s="15">
        <f t="shared" si="65"/>
        <v>1</v>
      </c>
      <c r="AX82" s="15">
        <f t="shared" si="66"/>
        <v>1</v>
      </c>
      <c r="AY82" s="15">
        <f t="shared" si="67"/>
        <v>1</v>
      </c>
      <c r="AZ82" s="15">
        <f t="shared" si="68"/>
        <v>1</v>
      </c>
      <c r="BA82" s="15">
        <f t="shared" si="69"/>
        <v>1</v>
      </c>
      <c r="BB82" s="15">
        <f t="shared" si="70"/>
        <v>0</v>
      </c>
      <c r="BC82" s="15" t="str">
        <f t="shared" si="71"/>
        <v/>
      </c>
      <c r="BD82" s="15" t="str">
        <f t="shared" si="72"/>
        <v/>
      </c>
      <c r="BE82" s="11" t="e">
        <f t="shared" si="73"/>
        <v>#VALUE!</v>
      </c>
      <c r="BF82" s="11" t="e">
        <f t="shared" si="74"/>
        <v>#VALUE!</v>
      </c>
      <c r="BG82" s="11" t="e">
        <f t="shared" si="75"/>
        <v>#VALUE!</v>
      </c>
      <c r="BH82" t="str">
        <f t="shared" si="76"/>
        <v/>
      </c>
      <c r="BI82" t="str" cm="1">
        <f t="array" ref="BI82">_xlfn.IFS(
  L82&gt;0,"Critical Fail",
  M82&gt;0,"Important (Coaching)",
  TRUE,"Clean Pass"
)</f>
        <v>Clean Pass</v>
      </c>
      <c r="BJ82" t="str">
        <f t="shared" si="77"/>
        <v>NA</v>
      </c>
    </row>
    <row r="83" spans="1:62" x14ac:dyDescent="0.3">
      <c r="A83">
        <v>810838</v>
      </c>
      <c r="K83" t="str">
        <f t="shared" si="39"/>
        <v>Pass</v>
      </c>
      <c r="L83" s="15">
        <f t="shared" si="40"/>
        <v>0</v>
      </c>
      <c r="M83" s="15">
        <f t="shared" si="41"/>
        <v>0</v>
      </c>
      <c r="Z83" s="15">
        <f t="shared" si="42"/>
        <v>1</v>
      </c>
      <c r="AA83" s="15">
        <f t="shared" si="43"/>
        <v>1</v>
      </c>
      <c r="AB83" s="15">
        <f t="shared" si="44"/>
        <v>1</v>
      </c>
      <c r="AC83" s="15">
        <f t="shared" si="45"/>
        <v>1</v>
      </c>
      <c r="AD83" s="15">
        <f t="shared" si="46"/>
        <v>1</v>
      </c>
      <c r="AE83" s="15">
        <f t="shared" si="47"/>
        <v>1</v>
      </c>
      <c r="AF83" s="15">
        <f t="shared" si="48"/>
        <v>1</v>
      </c>
      <c r="AG83" s="15">
        <f t="shared" si="49"/>
        <v>1</v>
      </c>
      <c r="AH83" s="15">
        <f t="shared" si="50"/>
        <v>1</v>
      </c>
      <c r="AI83" s="15">
        <f t="shared" si="51"/>
        <v>1</v>
      </c>
      <c r="AJ83" s="15">
        <f t="shared" si="52"/>
        <v>1</v>
      </c>
      <c r="AK83" s="15">
        <f t="shared" si="53"/>
        <v>1</v>
      </c>
      <c r="AL83" s="15">
        <f t="shared" si="54"/>
        <v>1</v>
      </c>
      <c r="AM83" s="15">
        <f t="shared" si="55"/>
        <v>1</v>
      </c>
      <c r="AN83" s="15">
        <f t="shared" si="56"/>
        <v>1</v>
      </c>
      <c r="AO83" s="15">
        <f t="shared" si="57"/>
        <v>1</v>
      </c>
      <c r="AP83" s="15">
        <f t="shared" si="58"/>
        <v>1</v>
      </c>
      <c r="AQ83" s="15">
        <f t="shared" si="59"/>
        <v>1</v>
      </c>
      <c r="AR83" s="15">
        <f t="shared" si="60"/>
        <v>1</v>
      </c>
      <c r="AS83" s="15">
        <f t="shared" si="61"/>
        <v>1</v>
      </c>
      <c r="AT83" s="15">
        <f t="shared" si="62"/>
        <v>1</v>
      </c>
      <c r="AU83" s="15">
        <f t="shared" si="63"/>
        <v>1</v>
      </c>
      <c r="AV83" s="15">
        <f t="shared" si="64"/>
        <v>1</v>
      </c>
      <c r="AW83" s="15">
        <f t="shared" si="65"/>
        <v>1</v>
      </c>
      <c r="AX83" s="15">
        <f t="shared" si="66"/>
        <v>1</v>
      </c>
      <c r="AY83" s="15">
        <f t="shared" si="67"/>
        <v>1</v>
      </c>
      <c r="AZ83" s="15">
        <f t="shared" si="68"/>
        <v>1</v>
      </c>
      <c r="BA83" s="15">
        <f t="shared" si="69"/>
        <v>1</v>
      </c>
      <c r="BB83" s="15">
        <f t="shared" si="70"/>
        <v>0</v>
      </c>
      <c r="BC83" s="15" t="str">
        <f t="shared" si="71"/>
        <v/>
      </c>
      <c r="BD83" s="15" t="str">
        <f t="shared" si="72"/>
        <v/>
      </c>
      <c r="BE83" s="11" t="e">
        <f t="shared" si="73"/>
        <v>#VALUE!</v>
      </c>
      <c r="BF83" s="11" t="e">
        <f t="shared" si="74"/>
        <v>#VALUE!</v>
      </c>
      <c r="BG83" s="11" t="e">
        <f t="shared" si="75"/>
        <v>#VALUE!</v>
      </c>
      <c r="BH83" t="str">
        <f t="shared" si="76"/>
        <v/>
      </c>
      <c r="BI83" t="str" cm="1">
        <f t="array" ref="BI83">_xlfn.IFS(
  L83&gt;0,"Critical Fail",
  M83&gt;0,"Important (Coaching)",
  TRUE,"Clean Pass"
)</f>
        <v>Clean Pass</v>
      </c>
      <c r="BJ83" t="str">
        <f t="shared" si="77"/>
        <v>NA</v>
      </c>
    </row>
    <row r="84" spans="1:62" x14ac:dyDescent="0.3">
      <c r="A84">
        <v>474944</v>
      </c>
      <c r="K84" t="str">
        <f t="shared" si="39"/>
        <v>Pass</v>
      </c>
      <c r="L84" s="15">
        <f t="shared" si="40"/>
        <v>0</v>
      </c>
      <c r="M84" s="15">
        <f t="shared" si="41"/>
        <v>0</v>
      </c>
      <c r="Z84" s="15">
        <f t="shared" si="42"/>
        <v>1</v>
      </c>
      <c r="AA84" s="15">
        <f t="shared" si="43"/>
        <v>1</v>
      </c>
      <c r="AB84" s="15">
        <f t="shared" si="44"/>
        <v>1</v>
      </c>
      <c r="AC84" s="15">
        <f t="shared" si="45"/>
        <v>1</v>
      </c>
      <c r="AD84" s="15">
        <f t="shared" si="46"/>
        <v>1</v>
      </c>
      <c r="AE84" s="15">
        <f t="shared" si="47"/>
        <v>1</v>
      </c>
      <c r="AF84" s="15">
        <f t="shared" si="48"/>
        <v>1</v>
      </c>
      <c r="AG84" s="15">
        <f t="shared" si="49"/>
        <v>1</v>
      </c>
      <c r="AH84" s="15">
        <f t="shared" si="50"/>
        <v>1</v>
      </c>
      <c r="AI84" s="15">
        <f t="shared" si="51"/>
        <v>1</v>
      </c>
      <c r="AJ84" s="15">
        <f t="shared" si="52"/>
        <v>1</v>
      </c>
      <c r="AK84" s="15">
        <f t="shared" si="53"/>
        <v>1</v>
      </c>
      <c r="AL84" s="15">
        <f t="shared" si="54"/>
        <v>1</v>
      </c>
      <c r="AM84" s="15">
        <f t="shared" si="55"/>
        <v>1</v>
      </c>
      <c r="AN84" s="15">
        <f t="shared" si="56"/>
        <v>1</v>
      </c>
      <c r="AO84" s="15">
        <f t="shared" si="57"/>
        <v>1</v>
      </c>
      <c r="AP84" s="15">
        <f t="shared" si="58"/>
        <v>1</v>
      </c>
      <c r="AQ84" s="15">
        <f t="shared" si="59"/>
        <v>1</v>
      </c>
      <c r="AR84" s="15">
        <f t="shared" si="60"/>
        <v>1</v>
      </c>
      <c r="AS84" s="15">
        <f t="shared" si="61"/>
        <v>1</v>
      </c>
      <c r="AT84" s="15">
        <f t="shared" si="62"/>
        <v>1</v>
      </c>
      <c r="AU84" s="15">
        <f t="shared" si="63"/>
        <v>1</v>
      </c>
      <c r="AV84" s="15">
        <f t="shared" si="64"/>
        <v>1</v>
      </c>
      <c r="AW84" s="15">
        <f t="shared" si="65"/>
        <v>1</v>
      </c>
      <c r="AX84" s="15">
        <f t="shared" si="66"/>
        <v>1</v>
      </c>
      <c r="AY84" s="15">
        <f t="shared" si="67"/>
        <v>1</v>
      </c>
      <c r="AZ84" s="15">
        <f t="shared" si="68"/>
        <v>1</v>
      </c>
      <c r="BA84" s="15">
        <f t="shared" si="69"/>
        <v>1</v>
      </c>
      <c r="BB84" s="15">
        <f t="shared" si="70"/>
        <v>0</v>
      </c>
      <c r="BC84" s="15" t="str">
        <f t="shared" si="71"/>
        <v/>
      </c>
      <c r="BD84" s="15" t="str">
        <f t="shared" si="72"/>
        <v/>
      </c>
      <c r="BE84" s="11" t="e">
        <f t="shared" si="73"/>
        <v>#VALUE!</v>
      </c>
      <c r="BF84" s="11" t="e">
        <f t="shared" si="74"/>
        <v>#VALUE!</v>
      </c>
      <c r="BG84" s="11" t="e">
        <f t="shared" si="75"/>
        <v>#VALUE!</v>
      </c>
      <c r="BH84" t="str">
        <f t="shared" si="76"/>
        <v/>
      </c>
      <c r="BI84" t="str" cm="1">
        <f t="array" ref="BI84">_xlfn.IFS(
  L84&gt;0,"Critical Fail",
  M84&gt;0,"Important (Coaching)",
  TRUE,"Clean Pass"
)</f>
        <v>Clean Pass</v>
      </c>
      <c r="BJ84" t="str">
        <f t="shared" si="77"/>
        <v>NA</v>
      </c>
    </row>
    <row r="85" spans="1:62" x14ac:dyDescent="0.3">
      <c r="A85">
        <v>502647</v>
      </c>
      <c r="K85" t="str">
        <f t="shared" si="39"/>
        <v>Pass</v>
      </c>
      <c r="L85" s="15">
        <f t="shared" si="40"/>
        <v>0</v>
      </c>
      <c r="M85" s="15">
        <f t="shared" si="41"/>
        <v>0</v>
      </c>
      <c r="Z85" s="15">
        <f t="shared" si="42"/>
        <v>1</v>
      </c>
      <c r="AA85" s="15">
        <f t="shared" si="43"/>
        <v>1</v>
      </c>
      <c r="AB85" s="15">
        <f t="shared" si="44"/>
        <v>1</v>
      </c>
      <c r="AC85" s="15">
        <f t="shared" si="45"/>
        <v>1</v>
      </c>
      <c r="AD85" s="15">
        <f t="shared" si="46"/>
        <v>1</v>
      </c>
      <c r="AE85" s="15">
        <f t="shared" si="47"/>
        <v>1</v>
      </c>
      <c r="AF85" s="15">
        <f t="shared" si="48"/>
        <v>1</v>
      </c>
      <c r="AG85" s="15">
        <f t="shared" si="49"/>
        <v>1</v>
      </c>
      <c r="AH85" s="15">
        <f t="shared" si="50"/>
        <v>1</v>
      </c>
      <c r="AI85" s="15">
        <f t="shared" si="51"/>
        <v>1</v>
      </c>
      <c r="AJ85" s="15">
        <f t="shared" si="52"/>
        <v>1</v>
      </c>
      <c r="AK85" s="15">
        <f t="shared" si="53"/>
        <v>1</v>
      </c>
      <c r="AL85" s="15">
        <f t="shared" si="54"/>
        <v>1</v>
      </c>
      <c r="AM85" s="15">
        <f t="shared" si="55"/>
        <v>1</v>
      </c>
      <c r="AN85" s="15">
        <f t="shared" si="56"/>
        <v>1</v>
      </c>
      <c r="AO85" s="15">
        <f t="shared" si="57"/>
        <v>1</v>
      </c>
      <c r="AP85" s="15">
        <f t="shared" si="58"/>
        <v>1</v>
      </c>
      <c r="AQ85" s="15">
        <f t="shared" si="59"/>
        <v>1</v>
      </c>
      <c r="AR85" s="15">
        <f t="shared" si="60"/>
        <v>1</v>
      </c>
      <c r="AS85" s="15">
        <f t="shared" si="61"/>
        <v>1</v>
      </c>
      <c r="AT85" s="15">
        <f t="shared" si="62"/>
        <v>1</v>
      </c>
      <c r="AU85" s="15">
        <f t="shared" si="63"/>
        <v>1</v>
      </c>
      <c r="AV85" s="15">
        <f t="shared" si="64"/>
        <v>1</v>
      </c>
      <c r="AW85" s="15">
        <f t="shared" si="65"/>
        <v>1</v>
      </c>
      <c r="AX85" s="15">
        <f t="shared" si="66"/>
        <v>1</v>
      </c>
      <c r="AY85" s="15">
        <f t="shared" si="67"/>
        <v>1</v>
      </c>
      <c r="AZ85" s="15">
        <f t="shared" si="68"/>
        <v>1</v>
      </c>
      <c r="BA85" s="15">
        <f t="shared" si="69"/>
        <v>1</v>
      </c>
      <c r="BB85" s="15">
        <f t="shared" si="70"/>
        <v>0</v>
      </c>
      <c r="BC85" s="15" t="str">
        <f t="shared" si="71"/>
        <v/>
      </c>
      <c r="BD85" s="15" t="str">
        <f t="shared" si="72"/>
        <v/>
      </c>
      <c r="BE85" s="11" t="e">
        <f t="shared" si="73"/>
        <v>#VALUE!</v>
      </c>
      <c r="BF85" s="11" t="e">
        <f t="shared" si="74"/>
        <v>#VALUE!</v>
      </c>
      <c r="BG85" s="11" t="e">
        <f t="shared" si="75"/>
        <v>#VALUE!</v>
      </c>
      <c r="BH85" t="str">
        <f t="shared" si="76"/>
        <v/>
      </c>
      <c r="BI85" t="str" cm="1">
        <f t="array" ref="BI85">_xlfn.IFS(
  L85&gt;0,"Critical Fail",
  M85&gt;0,"Important (Coaching)",
  TRUE,"Clean Pass"
)</f>
        <v>Clean Pass</v>
      </c>
      <c r="BJ85" t="str">
        <f t="shared" si="77"/>
        <v>NA</v>
      </c>
    </row>
    <row r="86" spans="1:62" x14ac:dyDescent="0.3">
      <c r="A86">
        <v>614625</v>
      </c>
      <c r="K86" t="str">
        <f t="shared" si="39"/>
        <v>Pass</v>
      </c>
      <c r="L86" s="15">
        <f t="shared" si="40"/>
        <v>0</v>
      </c>
      <c r="M86" s="15">
        <f t="shared" si="41"/>
        <v>0</v>
      </c>
      <c r="Z86" s="15">
        <f t="shared" si="42"/>
        <v>1</v>
      </c>
      <c r="AA86" s="15">
        <f t="shared" si="43"/>
        <v>1</v>
      </c>
      <c r="AB86" s="15">
        <f t="shared" si="44"/>
        <v>1</v>
      </c>
      <c r="AC86" s="15">
        <f t="shared" si="45"/>
        <v>1</v>
      </c>
      <c r="AD86" s="15">
        <f t="shared" si="46"/>
        <v>1</v>
      </c>
      <c r="AE86" s="15">
        <f t="shared" si="47"/>
        <v>1</v>
      </c>
      <c r="AF86" s="15">
        <f t="shared" si="48"/>
        <v>1</v>
      </c>
      <c r="AG86" s="15">
        <f t="shared" si="49"/>
        <v>1</v>
      </c>
      <c r="AH86" s="15">
        <f t="shared" si="50"/>
        <v>1</v>
      </c>
      <c r="AI86" s="15">
        <f t="shared" si="51"/>
        <v>1</v>
      </c>
      <c r="AJ86" s="15">
        <f t="shared" si="52"/>
        <v>1</v>
      </c>
      <c r="AK86" s="15">
        <f t="shared" si="53"/>
        <v>1</v>
      </c>
      <c r="AL86" s="15">
        <f t="shared" si="54"/>
        <v>1</v>
      </c>
      <c r="AM86" s="15">
        <f t="shared" si="55"/>
        <v>1</v>
      </c>
      <c r="AN86" s="15">
        <f t="shared" si="56"/>
        <v>1</v>
      </c>
      <c r="AO86" s="15">
        <f t="shared" si="57"/>
        <v>1</v>
      </c>
      <c r="AP86" s="15">
        <f t="shared" si="58"/>
        <v>1</v>
      </c>
      <c r="AQ86" s="15">
        <f t="shared" si="59"/>
        <v>1</v>
      </c>
      <c r="AR86" s="15">
        <f t="shared" si="60"/>
        <v>1</v>
      </c>
      <c r="AS86" s="15">
        <f t="shared" si="61"/>
        <v>1</v>
      </c>
      <c r="AT86" s="15">
        <f t="shared" si="62"/>
        <v>1</v>
      </c>
      <c r="AU86" s="15">
        <f t="shared" si="63"/>
        <v>1</v>
      </c>
      <c r="AV86" s="15">
        <f t="shared" si="64"/>
        <v>1</v>
      </c>
      <c r="AW86" s="15">
        <f t="shared" si="65"/>
        <v>1</v>
      </c>
      <c r="AX86" s="15">
        <f t="shared" si="66"/>
        <v>1</v>
      </c>
      <c r="AY86" s="15">
        <f t="shared" si="67"/>
        <v>1</v>
      </c>
      <c r="AZ86" s="15">
        <f t="shared" si="68"/>
        <v>1</v>
      </c>
      <c r="BA86" s="15">
        <f t="shared" si="69"/>
        <v>1</v>
      </c>
      <c r="BB86" s="15">
        <f t="shared" si="70"/>
        <v>0</v>
      </c>
      <c r="BC86" s="15" t="str">
        <f t="shared" si="71"/>
        <v/>
      </c>
      <c r="BD86" s="15" t="str">
        <f t="shared" si="72"/>
        <v/>
      </c>
      <c r="BE86" s="11" t="e">
        <f t="shared" si="73"/>
        <v>#VALUE!</v>
      </c>
      <c r="BF86" s="11" t="e">
        <f t="shared" si="74"/>
        <v>#VALUE!</v>
      </c>
      <c r="BG86" s="11" t="e">
        <f t="shared" si="75"/>
        <v>#VALUE!</v>
      </c>
      <c r="BH86" t="str">
        <f t="shared" si="76"/>
        <v/>
      </c>
      <c r="BI86" t="str" cm="1">
        <f t="array" ref="BI86">_xlfn.IFS(
  L86&gt;0,"Critical Fail",
  M86&gt;0,"Important (Coaching)",
  TRUE,"Clean Pass"
)</f>
        <v>Clean Pass</v>
      </c>
      <c r="BJ86" t="str">
        <f t="shared" si="77"/>
        <v>NA</v>
      </c>
    </row>
    <row r="87" spans="1:62" x14ac:dyDescent="0.3">
      <c r="A87">
        <v>385502</v>
      </c>
      <c r="K87" t="str">
        <f t="shared" si="39"/>
        <v>Pass</v>
      </c>
      <c r="L87" s="15">
        <f t="shared" si="40"/>
        <v>0</v>
      </c>
      <c r="M87" s="15">
        <f t="shared" si="41"/>
        <v>0</v>
      </c>
      <c r="Z87" s="15">
        <f t="shared" si="42"/>
        <v>1</v>
      </c>
      <c r="AA87" s="15">
        <f t="shared" si="43"/>
        <v>1</v>
      </c>
      <c r="AB87" s="15">
        <f t="shared" si="44"/>
        <v>1</v>
      </c>
      <c r="AC87" s="15">
        <f t="shared" si="45"/>
        <v>1</v>
      </c>
      <c r="AD87" s="15">
        <f t="shared" si="46"/>
        <v>1</v>
      </c>
      <c r="AE87" s="15">
        <f t="shared" si="47"/>
        <v>1</v>
      </c>
      <c r="AF87" s="15">
        <f t="shared" si="48"/>
        <v>1</v>
      </c>
      <c r="AG87" s="15">
        <f t="shared" si="49"/>
        <v>1</v>
      </c>
      <c r="AH87" s="15">
        <f t="shared" si="50"/>
        <v>1</v>
      </c>
      <c r="AI87" s="15">
        <f t="shared" si="51"/>
        <v>1</v>
      </c>
      <c r="AJ87" s="15">
        <f t="shared" si="52"/>
        <v>1</v>
      </c>
      <c r="AK87" s="15">
        <f t="shared" si="53"/>
        <v>1</v>
      </c>
      <c r="AL87" s="15">
        <f t="shared" si="54"/>
        <v>1</v>
      </c>
      <c r="AM87" s="15">
        <f t="shared" si="55"/>
        <v>1</v>
      </c>
      <c r="AN87" s="15">
        <f t="shared" si="56"/>
        <v>1</v>
      </c>
      <c r="AO87" s="15">
        <f t="shared" si="57"/>
        <v>1</v>
      </c>
      <c r="AP87" s="15">
        <f t="shared" si="58"/>
        <v>1</v>
      </c>
      <c r="AQ87" s="15">
        <f t="shared" si="59"/>
        <v>1</v>
      </c>
      <c r="AR87" s="15">
        <f t="shared" si="60"/>
        <v>1</v>
      </c>
      <c r="AS87" s="15">
        <f t="shared" si="61"/>
        <v>1</v>
      </c>
      <c r="AT87" s="15">
        <f t="shared" si="62"/>
        <v>1</v>
      </c>
      <c r="AU87" s="15">
        <f t="shared" si="63"/>
        <v>1</v>
      </c>
      <c r="AV87" s="15">
        <f t="shared" si="64"/>
        <v>1</v>
      </c>
      <c r="AW87" s="15">
        <f t="shared" si="65"/>
        <v>1</v>
      </c>
      <c r="AX87" s="15">
        <f t="shared" si="66"/>
        <v>1</v>
      </c>
      <c r="AY87" s="15">
        <f t="shared" si="67"/>
        <v>1</v>
      </c>
      <c r="AZ87" s="15">
        <f t="shared" si="68"/>
        <v>1</v>
      </c>
      <c r="BA87" s="15">
        <f t="shared" si="69"/>
        <v>1</v>
      </c>
      <c r="BB87" s="15">
        <f t="shared" si="70"/>
        <v>0</v>
      </c>
      <c r="BC87" s="15" t="str">
        <f t="shared" si="71"/>
        <v/>
      </c>
      <c r="BD87" s="15" t="str">
        <f t="shared" si="72"/>
        <v/>
      </c>
      <c r="BE87" s="11" t="e">
        <f t="shared" si="73"/>
        <v>#VALUE!</v>
      </c>
      <c r="BF87" s="11" t="e">
        <f t="shared" si="74"/>
        <v>#VALUE!</v>
      </c>
      <c r="BG87" s="11" t="e">
        <f t="shared" si="75"/>
        <v>#VALUE!</v>
      </c>
      <c r="BH87" t="str">
        <f t="shared" si="76"/>
        <v/>
      </c>
      <c r="BI87" t="str" cm="1">
        <f t="array" ref="BI87">_xlfn.IFS(
  L87&gt;0,"Critical Fail",
  M87&gt;0,"Important (Coaching)",
  TRUE,"Clean Pass"
)</f>
        <v>Clean Pass</v>
      </c>
      <c r="BJ87" t="str">
        <f t="shared" si="77"/>
        <v>NA</v>
      </c>
    </row>
    <row r="88" spans="1:62" x14ac:dyDescent="0.3">
      <c r="A88">
        <v>952466</v>
      </c>
      <c r="K88" t="str">
        <f t="shared" si="39"/>
        <v>Pass</v>
      </c>
      <c r="L88" s="15">
        <f t="shared" si="40"/>
        <v>0</v>
      </c>
      <c r="M88" s="15">
        <f t="shared" si="41"/>
        <v>0</v>
      </c>
      <c r="Z88" s="15">
        <f t="shared" si="42"/>
        <v>1</v>
      </c>
      <c r="AA88" s="15">
        <f t="shared" si="43"/>
        <v>1</v>
      </c>
      <c r="AB88" s="15">
        <f t="shared" si="44"/>
        <v>1</v>
      </c>
      <c r="AC88" s="15">
        <f t="shared" si="45"/>
        <v>1</v>
      </c>
      <c r="AD88" s="15">
        <f t="shared" si="46"/>
        <v>1</v>
      </c>
      <c r="AE88" s="15">
        <f t="shared" si="47"/>
        <v>1</v>
      </c>
      <c r="AF88" s="15">
        <f t="shared" si="48"/>
        <v>1</v>
      </c>
      <c r="AG88" s="15">
        <f t="shared" si="49"/>
        <v>1</v>
      </c>
      <c r="AH88" s="15">
        <f t="shared" si="50"/>
        <v>1</v>
      </c>
      <c r="AI88" s="15">
        <f t="shared" si="51"/>
        <v>1</v>
      </c>
      <c r="AJ88" s="15">
        <f t="shared" si="52"/>
        <v>1</v>
      </c>
      <c r="AK88" s="15">
        <f t="shared" si="53"/>
        <v>1</v>
      </c>
      <c r="AL88" s="15">
        <f t="shared" si="54"/>
        <v>1</v>
      </c>
      <c r="AM88" s="15">
        <f t="shared" si="55"/>
        <v>1</v>
      </c>
      <c r="AN88" s="15">
        <f t="shared" si="56"/>
        <v>1</v>
      </c>
      <c r="AO88" s="15">
        <f t="shared" si="57"/>
        <v>1</v>
      </c>
      <c r="AP88" s="15">
        <f t="shared" si="58"/>
        <v>1</v>
      </c>
      <c r="AQ88" s="15">
        <f t="shared" si="59"/>
        <v>1</v>
      </c>
      <c r="AR88" s="15">
        <f t="shared" si="60"/>
        <v>1</v>
      </c>
      <c r="AS88" s="15">
        <f t="shared" si="61"/>
        <v>1</v>
      </c>
      <c r="AT88" s="15">
        <f t="shared" si="62"/>
        <v>1</v>
      </c>
      <c r="AU88" s="15">
        <f t="shared" si="63"/>
        <v>1</v>
      </c>
      <c r="AV88" s="15">
        <f t="shared" si="64"/>
        <v>1</v>
      </c>
      <c r="AW88" s="15">
        <f t="shared" si="65"/>
        <v>1</v>
      </c>
      <c r="AX88" s="15">
        <f t="shared" si="66"/>
        <v>1</v>
      </c>
      <c r="AY88" s="15">
        <f t="shared" si="67"/>
        <v>1</v>
      </c>
      <c r="AZ88" s="15">
        <f t="shared" si="68"/>
        <v>1</v>
      </c>
      <c r="BA88" s="15">
        <f t="shared" si="69"/>
        <v>1</v>
      </c>
      <c r="BB88" s="15">
        <f t="shared" si="70"/>
        <v>0</v>
      </c>
      <c r="BC88" s="15" t="str">
        <f t="shared" si="71"/>
        <v/>
      </c>
      <c r="BD88" s="15" t="str">
        <f t="shared" si="72"/>
        <v/>
      </c>
      <c r="BE88" s="11" t="e">
        <f t="shared" si="73"/>
        <v>#VALUE!</v>
      </c>
      <c r="BF88" s="11" t="e">
        <f t="shared" si="74"/>
        <v>#VALUE!</v>
      </c>
      <c r="BG88" s="11" t="e">
        <f t="shared" si="75"/>
        <v>#VALUE!</v>
      </c>
      <c r="BH88" t="str">
        <f t="shared" si="76"/>
        <v/>
      </c>
      <c r="BI88" t="str" cm="1">
        <f t="array" ref="BI88">_xlfn.IFS(
  L88&gt;0,"Critical Fail",
  M88&gt;0,"Important (Coaching)",
  TRUE,"Clean Pass"
)</f>
        <v>Clean Pass</v>
      </c>
      <c r="BJ88" t="str">
        <f t="shared" si="77"/>
        <v>NA</v>
      </c>
    </row>
    <row r="89" spans="1:62" x14ac:dyDescent="0.3">
      <c r="A89">
        <v>922508</v>
      </c>
      <c r="K89" t="str">
        <f t="shared" si="39"/>
        <v>Pass</v>
      </c>
      <c r="L89" s="15">
        <f t="shared" si="40"/>
        <v>0</v>
      </c>
      <c r="M89" s="15">
        <f t="shared" si="41"/>
        <v>0</v>
      </c>
      <c r="Z89" s="15">
        <f t="shared" si="42"/>
        <v>1</v>
      </c>
      <c r="AA89" s="15">
        <f t="shared" si="43"/>
        <v>1</v>
      </c>
      <c r="AB89" s="15">
        <f t="shared" si="44"/>
        <v>1</v>
      </c>
      <c r="AC89" s="15">
        <f t="shared" si="45"/>
        <v>1</v>
      </c>
      <c r="AD89" s="15">
        <f t="shared" si="46"/>
        <v>1</v>
      </c>
      <c r="AE89" s="15">
        <f t="shared" si="47"/>
        <v>1</v>
      </c>
      <c r="AF89" s="15">
        <f t="shared" si="48"/>
        <v>1</v>
      </c>
      <c r="AG89" s="15">
        <f t="shared" si="49"/>
        <v>1</v>
      </c>
      <c r="AH89" s="15">
        <f t="shared" si="50"/>
        <v>1</v>
      </c>
      <c r="AI89" s="15">
        <f t="shared" si="51"/>
        <v>1</v>
      </c>
      <c r="AJ89" s="15">
        <f t="shared" si="52"/>
        <v>1</v>
      </c>
      <c r="AK89" s="15">
        <f t="shared" si="53"/>
        <v>1</v>
      </c>
      <c r="AL89" s="15">
        <f t="shared" si="54"/>
        <v>1</v>
      </c>
      <c r="AM89" s="15">
        <f t="shared" si="55"/>
        <v>1</v>
      </c>
      <c r="AN89" s="15">
        <f t="shared" si="56"/>
        <v>1</v>
      </c>
      <c r="AO89" s="15">
        <f t="shared" si="57"/>
        <v>1</v>
      </c>
      <c r="AP89" s="15">
        <f t="shared" si="58"/>
        <v>1</v>
      </c>
      <c r="AQ89" s="15">
        <f t="shared" si="59"/>
        <v>1</v>
      </c>
      <c r="AR89" s="15">
        <f t="shared" si="60"/>
        <v>1</v>
      </c>
      <c r="AS89" s="15">
        <f t="shared" si="61"/>
        <v>1</v>
      </c>
      <c r="AT89" s="15">
        <f t="shared" si="62"/>
        <v>1</v>
      </c>
      <c r="AU89" s="15">
        <f t="shared" si="63"/>
        <v>1</v>
      </c>
      <c r="AV89" s="15">
        <f t="shared" si="64"/>
        <v>1</v>
      </c>
      <c r="AW89" s="15">
        <f t="shared" si="65"/>
        <v>1</v>
      </c>
      <c r="AX89" s="15">
        <f t="shared" si="66"/>
        <v>1</v>
      </c>
      <c r="AY89" s="15">
        <f t="shared" si="67"/>
        <v>1</v>
      </c>
      <c r="AZ89" s="15">
        <f t="shared" si="68"/>
        <v>1</v>
      </c>
      <c r="BA89" s="15">
        <f t="shared" si="69"/>
        <v>1</v>
      </c>
      <c r="BB89" s="15">
        <f t="shared" si="70"/>
        <v>0</v>
      </c>
      <c r="BC89" s="15" t="str">
        <f t="shared" si="71"/>
        <v/>
      </c>
      <c r="BD89" s="15" t="str">
        <f t="shared" si="72"/>
        <v/>
      </c>
      <c r="BE89" s="11" t="e">
        <f t="shared" si="73"/>
        <v>#VALUE!</v>
      </c>
      <c r="BF89" s="11" t="e">
        <f t="shared" si="74"/>
        <v>#VALUE!</v>
      </c>
      <c r="BG89" s="11" t="e">
        <f t="shared" si="75"/>
        <v>#VALUE!</v>
      </c>
      <c r="BH89" t="str">
        <f t="shared" si="76"/>
        <v/>
      </c>
      <c r="BI89" t="str" cm="1">
        <f t="array" ref="BI89">_xlfn.IFS(
  L89&gt;0,"Critical Fail",
  M89&gt;0,"Important (Coaching)",
  TRUE,"Clean Pass"
)</f>
        <v>Clean Pass</v>
      </c>
      <c r="BJ89" t="str">
        <f t="shared" si="77"/>
        <v>NA</v>
      </c>
    </row>
    <row r="90" spans="1:62" x14ac:dyDescent="0.3">
      <c r="A90">
        <v>992624</v>
      </c>
      <c r="K90" t="str">
        <f t="shared" si="39"/>
        <v>Pass</v>
      </c>
      <c r="L90" s="15">
        <f t="shared" si="40"/>
        <v>0</v>
      </c>
      <c r="M90" s="15">
        <f t="shared" si="41"/>
        <v>0</v>
      </c>
      <c r="Z90" s="15">
        <f t="shared" si="42"/>
        <v>1</v>
      </c>
      <c r="AA90" s="15">
        <f t="shared" si="43"/>
        <v>1</v>
      </c>
      <c r="AB90" s="15">
        <f t="shared" si="44"/>
        <v>1</v>
      </c>
      <c r="AC90" s="15">
        <f t="shared" si="45"/>
        <v>1</v>
      </c>
      <c r="AD90" s="15">
        <f t="shared" si="46"/>
        <v>1</v>
      </c>
      <c r="AE90" s="15">
        <f t="shared" si="47"/>
        <v>1</v>
      </c>
      <c r="AF90" s="15">
        <f t="shared" si="48"/>
        <v>1</v>
      </c>
      <c r="AG90" s="15">
        <f t="shared" si="49"/>
        <v>1</v>
      </c>
      <c r="AH90" s="15">
        <f t="shared" si="50"/>
        <v>1</v>
      </c>
      <c r="AI90" s="15">
        <f t="shared" si="51"/>
        <v>1</v>
      </c>
      <c r="AJ90" s="15">
        <f t="shared" si="52"/>
        <v>1</v>
      </c>
      <c r="AK90" s="15">
        <f t="shared" si="53"/>
        <v>1</v>
      </c>
      <c r="AL90" s="15">
        <f t="shared" si="54"/>
        <v>1</v>
      </c>
      <c r="AM90" s="15">
        <f t="shared" si="55"/>
        <v>1</v>
      </c>
      <c r="AN90" s="15">
        <f t="shared" si="56"/>
        <v>1</v>
      </c>
      <c r="AO90" s="15">
        <f t="shared" si="57"/>
        <v>1</v>
      </c>
      <c r="AP90" s="15">
        <f t="shared" si="58"/>
        <v>1</v>
      </c>
      <c r="AQ90" s="15">
        <f t="shared" si="59"/>
        <v>1</v>
      </c>
      <c r="AR90" s="15">
        <f t="shared" si="60"/>
        <v>1</v>
      </c>
      <c r="AS90" s="15">
        <f t="shared" si="61"/>
        <v>1</v>
      </c>
      <c r="AT90" s="15">
        <f t="shared" si="62"/>
        <v>1</v>
      </c>
      <c r="AU90" s="15">
        <f t="shared" si="63"/>
        <v>1</v>
      </c>
      <c r="AV90" s="15">
        <f t="shared" si="64"/>
        <v>1</v>
      </c>
      <c r="AW90" s="15">
        <f t="shared" si="65"/>
        <v>1</v>
      </c>
      <c r="AX90" s="15">
        <f t="shared" si="66"/>
        <v>1</v>
      </c>
      <c r="AY90" s="15">
        <f t="shared" si="67"/>
        <v>1</v>
      </c>
      <c r="AZ90" s="15">
        <f t="shared" si="68"/>
        <v>1</v>
      </c>
      <c r="BA90" s="15">
        <f t="shared" si="69"/>
        <v>1</v>
      </c>
      <c r="BB90" s="15">
        <f t="shared" si="70"/>
        <v>0</v>
      </c>
      <c r="BC90" s="15" t="str">
        <f t="shared" si="71"/>
        <v/>
      </c>
      <c r="BD90" s="15" t="str">
        <f t="shared" si="72"/>
        <v/>
      </c>
      <c r="BE90" s="11" t="e">
        <f t="shared" si="73"/>
        <v>#VALUE!</v>
      </c>
      <c r="BF90" s="11" t="e">
        <f t="shared" si="74"/>
        <v>#VALUE!</v>
      </c>
      <c r="BG90" s="11" t="e">
        <f t="shared" si="75"/>
        <v>#VALUE!</v>
      </c>
      <c r="BH90" t="str">
        <f t="shared" si="76"/>
        <v/>
      </c>
      <c r="BI90" t="str" cm="1">
        <f t="array" ref="BI90">_xlfn.IFS(
  L90&gt;0,"Critical Fail",
  M90&gt;0,"Important (Coaching)",
  TRUE,"Clean Pass"
)</f>
        <v>Clean Pass</v>
      </c>
      <c r="BJ90" t="str">
        <f t="shared" si="77"/>
        <v>NA</v>
      </c>
    </row>
    <row r="91" spans="1:62" x14ac:dyDescent="0.3">
      <c r="A91">
        <v>767714</v>
      </c>
      <c r="K91" t="str">
        <f t="shared" si="39"/>
        <v>Pass</v>
      </c>
      <c r="L91" s="15">
        <f t="shared" si="40"/>
        <v>0</v>
      </c>
      <c r="M91" s="15">
        <f t="shared" si="41"/>
        <v>0</v>
      </c>
      <c r="Z91" s="15">
        <f t="shared" si="42"/>
        <v>1</v>
      </c>
      <c r="AA91" s="15">
        <f t="shared" si="43"/>
        <v>1</v>
      </c>
      <c r="AB91" s="15">
        <f t="shared" si="44"/>
        <v>1</v>
      </c>
      <c r="AC91" s="15">
        <f t="shared" si="45"/>
        <v>1</v>
      </c>
      <c r="AD91" s="15">
        <f t="shared" si="46"/>
        <v>1</v>
      </c>
      <c r="AE91" s="15">
        <f t="shared" si="47"/>
        <v>1</v>
      </c>
      <c r="AF91" s="15">
        <f t="shared" si="48"/>
        <v>1</v>
      </c>
      <c r="AG91" s="15">
        <f t="shared" si="49"/>
        <v>1</v>
      </c>
      <c r="AH91" s="15">
        <f t="shared" si="50"/>
        <v>1</v>
      </c>
      <c r="AI91" s="15">
        <f t="shared" si="51"/>
        <v>1</v>
      </c>
      <c r="AJ91" s="15">
        <f t="shared" si="52"/>
        <v>1</v>
      </c>
      <c r="AK91" s="15">
        <f t="shared" si="53"/>
        <v>1</v>
      </c>
      <c r="AL91" s="15">
        <f t="shared" si="54"/>
        <v>1</v>
      </c>
      <c r="AM91" s="15">
        <f t="shared" si="55"/>
        <v>1</v>
      </c>
      <c r="AN91" s="15">
        <f t="shared" si="56"/>
        <v>1</v>
      </c>
      <c r="AO91" s="15">
        <f t="shared" si="57"/>
        <v>1</v>
      </c>
      <c r="AP91" s="15">
        <f t="shared" si="58"/>
        <v>1</v>
      </c>
      <c r="AQ91" s="15">
        <f t="shared" si="59"/>
        <v>1</v>
      </c>
      <c r="AR91" s="15">
        <f t="shared" si="60"/>
        <v>1</v>
      </c>
      <c r="AS91" s="15">
        <f t="shared" si="61"/>
        <v>1</v>
      </c>
      <c r="AT91" s="15">
        <f t="shared" si="62"/>
        <v>1</v>
      </c>
      <c r="AU91" s="15">
        <f t="shared" si="63"/>
        <v>1</v>
      </c>
      <c r="AV91" s="15">
        <f t="shared" si="64"/>
        <v>1</v>
      </c>
      <c r="AW91" s="15">
        <f t="shared" si="65"/>
        <v>1</v>
      </c>
      <c r="AX91" s="15">
        <f t="shared" si="66"/>
        <v>1</v>
      </c>
      <c r="AY91" s="15">
        <f t="shared" si="67"/>
        <v>1</v>
      </c>
      <c r="AZ91" s="15">
        <f t="shared" si="68"/>
        <v>1</v>
      </c>
      <c r="BA91" s="15">
        <f t="shared" si="69"/>
        <v>1</v>
      </c>
      <c r="BB91" s="15">
        <f t="shared" si="70"/>
        <v>0</v>
      </c>
      <c r="BC91" s="15" t="str">
        <f t="shared" si="71"/>
        <v/>
      </c>
      <c r="BD91" s="15" t="str">
        <f t="shared" si="72"/>
        <v/>
      </c>
      <c r="BE91" s="11" t="e">
        <f t="shared" si="73"/>
        <v>#VALUE!</v>
      </c>
      <c r="BF91" s="11" t="e">
        <f t="shared" si="74"/>
        <v>#VALUE!</v>
      </c>
      <c r="BG91" s="11" t="e">
        <f t="shared" si="75"/>
        <v>#VALUE!</v>
      </c>
      <c r="BH91" t="str">
        <f t="shared" si="76"/>
        <v/>
      </c>
      <c r="BI91" t="str" cm="1">
        <f t="array" ref="BI91">_xlfn.IFS(
  L91&gt;0,"Critical Fail",
  M91&gt;0,"Important (Coaching)",
  TRUE,"Clean Pass"
)</f>
        <v>Clean Pass</v>
      </c>
      <c r="BJ91" t="str">
        <f t="shared" si="77"/>
        <v>NA</v>
      </c>
    </row>
    <row r="92" spans="1:62" x14ac:dyDescent="0.3">
      <c r="A92">
        <v>931243</v>
      </c>
      <c r="K92" t="str">
        <f t="shared" si="39"/>
        <v>Pass</v>
      </c>
      <c r="L92" s="15">
        <f t="shared" si="40"/>
        <v>0</v>
      </c>
      <c r="M92" s="15">
        <f t="shared" si="41"/>
        <v>0</v>
      </c>
      <c r="Z92" s="15">
        <f t="shared" si="42"/>
        <v>1</v>
      </c>
      <c r="AA92" s="15">
        <f t="shared" si="43"/>
        <v>1</v>
      </c>
      <c r="AB92" s="15">
        <f t="shared" si="44"/>
        <v>1</v>
      </c>
      <c r="AC92" s="15">
        <f t="shared" si="45"/>
        <v>1</v>
      </c>
      <c r="AD92" s="15">
        <f t="shared" si="46"/>
        <v>1</v>
      </c>
      <c r="AE92" s="15">
        <f t="shared" si="47"/>
        <v>1</v>
      </c>
      <c r="AF92" s="15">
        <f t="shared" si="48"/>
        <v>1</v>
      </c>
      <c r="AG92" s="15">
        <f t="shared" si="49"/>
        <v>1</v>
      </c>
      <c r="AH92" s="15">
        <f t="shared" si="50"/>
        <v>1</v>
      </c>
      <c r="AI92" s="15">
        <f t="shared" si="51"/>
        <v>1</v>
      </c>
      <c r="AJ92" s="15">
        <f t="shared" si="52"/>
        <v>1</v>
      </c>
      <c r="AK92" s="15">
        <f t="shared" si="53"/>
        <v>1</v>
      </c>
      <c r="AL92" s="15">
        <f t="shared" si="54"/>
        <v>1</v>
      </c>
      <c r="AM92" s="15">
        <f t="shared" si="55"/>
        <v>1</v>
      </c>
      <c r="AN92" s="15">
        <f t="shared" si="56"/>
        <v>1</v>
      </c>
      <c r="AO92" s="15">
        <f t="shared" si="57"/>
        <v>1</v>
      </c>
      <c r="AP92" s="15">
        <f t="shared" si="58"/>
        <v>1</v>
      </c>
      <c r="AQ92" s="15">
        <f t="shared" si="59"/>
        <v>1</v>
      </c>
      <c r="AR92" s="15">
        <f t="shared" si="60"/>
        <v>1</v>
      </c>
      <c r="AS92" s="15">
        <f t="shared" si="61"/>
        <v>1</v>
      </c>
      <c r="AT92" s="15">
        <f t="shared" si="62"/>
        <v>1</v>
      </c>
      <c r="AU92" s="15">
        <f t="shared" si="63"/>
        <v>1</v>
      </c>
      <c r="AV92" s="15">
        <f t="shared" si="64"/>
        <v>1</v>
      </c>
      <c r="AW92" s="15">
        <f t="shared" si="65"/>
        <v>1</v>
      </c>
      <c r="AX92" s="15">
        <f t="shared" si="66"/>
        <v>1</v>
      </c>
      <c r="AY92" s="15">
        <f t="shared" si="67"/>
        <v>1</v>
      </c>
      <c r="AZ92" s="15">
        <f t="shared" si="68"/>
        <v>1</v>
      </c>
      <c r="BA92" s="15">
        <f t="shared" si="69"/>
        <v>1</v>
      </c>
      <c r="BB92" s="15">
        <f t="shared" si="70"/>
        <v>0</v>
      </c>
      <c r="BC92" s="15" t="str">
        <f t="shared" si="71"/>
        <v/>
      </c>
      <c r="BD92" s="15" t="str">
        <f t="shared" si="72"/>
        <v/>
      </c>
      <c r="BE92" s="11" t="e">
        <f t="shared" si="73"/>
        <v>#VALUE!</v>
      </c>
      <c r="BF92" s="11" t="e">
        <f t="shared" si="74"/>
        <v>#VALUE!</v>
      </c>
      <c r="BG92" s="11" t="e">
        <f t="shared" si="75"/>
        <v>#VALUE!</v>
      </c>
      <c r="BH92" t="str">
        <f t="shared" si="76"/>
        <v/>
      </c>
      <c r="BI92" t="str" cm="1">
        <f t="array" ref="BI92">_xlfn.IFS(
  L92&gt;0,"Critical Fail",
  M92&gt;0,"Important (Coaching)",
  TRUE,"Clean Pass"
)</f>
        <v>Clean Pass</v>
      </c>
      <c r="BJ92" t="str">
        <f t="shared" si="77"/>
        <v>NA</v>
      </c>
    </row>
    <row r="93" spans="1:62" x14ac:dyDescent="0.3">
      <c r="A93">
        <v>199442</v>
      </c>
      <c r="K93" t="str">
        <f t="shared" si="39"/>
        <v>Pass</v>
      </c>
      <c r="L93" s="15">
        <f t="shared" si="40"/>
        <v>0</v>
      </c>
      <c r="M93" s="15">
        <f t="shared" si="41"/>
        <v>0</v>
      </c>
      <c r="Z93" s="15">
        <f t="shared" si="42"/>
        <v>1</v>
      </c>
      <c r="AA93" s="15">
        <f t="shared" si="43"/>
        <v>1</v>
      </c>
      <c r="AB93" s="15">
        <f t="shared" si="44"/>
        <v>1</v>
      </c>
      <c r="AC93" s="15">
        <f t="shared" si="45"/>
        <v>1</v>
      </c>
      <c r="AD93" s="15">
        <f t="shared" si="46"/>
        <v>1</v>
      </c>
      <c r="AE93" s="15">
        <f t="shared" si="47"/>
        <v>1</v>
      </c>
      <c r="AF93" s="15">
        <f t="shared" si="48"/>
        <v>1</v>
      </c>
      <c r="AG93" s="15">
        <f t="shared" si="49"/>
        <v>1</v>
      </c>
      <c r="AH93" s="15">
        <f t="shared" si="50"/>
        <v>1</v>
      </c>
      <c r="AI93" s="15">
        <f t="shared" si="51"/>
        <v>1</v>
      </c>
      <c r="AJ93" s="15">
        <f t="shared" si="52"/>
        <v>1</v>
      </c>
      <c r="AK93" s="15">
        <f t="shared" si="53"/>
        <v>1</v>
      </c>
      <c r="AL93" s="15">
        <f t="shared" si="54"/>
        <v>1</v>
      </c>
      <c r="AM93" s="15">
        <f t="shared" si="55"/>
        <v>1</v>
      </c>
      <c r="AN93" s="15">
        <f t="shared" si="56"/>
        <v>1</v>
      </c>
      <c r="AO93" s="15">
        <f t="shared" si="57"/>
        <v>1</v>
      </c>
      <c r="AP93" s="15">
        <f t="shared" si="58"/>
        <v>1</v>
      </c>
      <c r="AQ93" s="15">
        <f t="shared" si="59"/>
        <v>1</v>
      </c>
      <c r="AR93" s="15">
        <f t="shared" si="60"/>
        <v>1</v>
      </c>
      <c r="AS93" s="15">
        <f t="shared" si="61"/>
        <v>1</v>
      </c>
      <c r="AT93" s="15">
        <f t="shared" si="62"/>
        <v>1</v>
      </c>
      <c r="AU93" s="15">
        <f t="shared" si="63"/>
        <v>1</v>
      </c>
      <c r="AV93" s="15">
        <f t="shared" si="64"/>
        <v>1</v>
      </c>
      <c r="AW93" s="15">
        <f t="shared" si="65"/>
        <v>1</v>
      </c>
      <c r="AX93" s="15">
        <f t="shared" si="66"/>
        <v>1</v>
      </c>
      <c r="AY93" s="15">
        <f t="shared" si="67"/>
        <v>1</v>
      </c>
      <c r="AZ93" s="15">
        <f t="shared" si="68"/>
        <v>1</v>
      </c>
      <c r="BA93" s="15">
        <f t="shared" si="69"/>
        <v>1</v>
      </c>
      <c r="BB93" s="15">
        <f t="shared" si="70"/>
        <v>0</v>
      </c>
      <c r="BC93" s="15" t="str">
        <f t="shared" si="71"/>
        <v/>
      </c>
      <c r="BD93" s="15" t="str">
        <f t="shared" si="72"/>
        <v/>
      </c>
      <c r="BE93" s="11" t="e">
        <f t="shared" si="73"/>
        <v>#VALUE!</v>
      </c>
      <c r="BF93" s="11" t="e">
        <f t="shared" si="74"/>
        <v>#VALUE!</v>
      </c>
      <c r="BG93" s="11" t="e">
        <f t="shared" si="75"/>
        <v>#VALUE!</v>
      </c>
      <c r="BH93" t="str">
        <f t="shared" si="76"/>
        <v/>
      </c>
      <c r="BI93" t="str" cm="1">
        <f t="array" ref="BI93">_xlfn.IFS(
  L93&gt;0,"Critical Fail",
  M93&gt;0,"Important (Coaching)",
  TRUE,"Clean Pass"
)</f>
        <v>Clean Pass</v>
      </c>
      <c r="BJ93" t="str">
        <f t="shared" si="77"/>
        <v>NA</v>
      </c>
    </row>
    <row r="94" spans="1:62" x14ac:dyDescent="0.3">
      <c r="A94">
        <v>200956</v>
      </c>
      <c r="K94" t="str">
        <f t="shared" si="39"/>
        <v>Pass</v>
      </c>
      <c r="L94" s="15">
        <f t="shared" si="40"/>
        <v>0</v>
      </c>
      <c r="M94" s="15">
        <f t="shared" si="41"/>
        <v>0</v>
      </c>
      <c r="Z94" s="15">
        <f t="shared" si="42"/>
        <v>1</v>
      </c>
      <c r="AA94" s="15">
        <f t="shared" si="43"/>
        <v>1</v>
      </c>
      <c r="AB94" s="15">
        <f t="shared" si="44"/>
        <v>1</v>
      </c>
      <c r="AC94" s="15">
        <f t="shared" si="45"/>
        <v>1</v>
      </c>
      <c r="AD94" s="15">
        <f t="shared" si="46"/>
        <v>1</v>
      </c>
      <c r="AE94" s="15">
        <f t="shared" si="47"/>
        <v>1</v>
      </c>
      <c r="AF94" s="15">
        <f t="shared" si="48"/>
        <v>1</v>
      </c>
      <c r="AG94" s="15">
        <f t="shared" si="49"/>
        <v>1</v>
      </c>
      <c r="AH94" s="15">
        <f t="shared" si="50"/>
        <v>1</v>
      </c>
      <c r="AI94" s="15">
        <f t="shared" si="51"/>
        <v>1</v>
      </c>
      <c r="AJ94" s="15">
        <f t="shared" si="52"/>
        <v>1</v>
      </c>
      <c r="AK94" s="15">
        <f t="shared" si="53"/>
        <v>1</v>
      </c>
      <c r="AL94" s="15">
        <f t="shared" si="54"/>
        <v>1</v>
      </c>
      <c r="AM94" s="15">
        <f t="shared" si="55"/>
        <v>1</v>
      </c>
      <c r="AN94" s="15">
        <f t="shared" si="56"/>
        <v>1</v>
      </c>
      <c r="AO94" s="15">
        <f t="shared" si="57"/>
        <v>1</v>
      </c>
      <c r="AP94" s="15">
        <f t="shared" si="58"/>
        <v>1</v>
      </c>
      <c r="AQ94" s="15">
        <f t="shared" si="59"/>
        <v>1</v>
      </c>
      <c r="AR94" s="15">
        <f t="shared" si="60"/>
        <v>1</v>
      </c>
      <c r="AS94" s="15">
        <f t="shared" si="61"/>
        <v>1</v>
      </c>
      <c r="AT94" s="15">
        <f t="shared" si="62"/>
        <v>1</v>
      </c>
      <c r="AU94" s="15">
        <f t="shared" si="63"/>
        <v>1</v>
      </c>
      <c r="AV94" s="15">
        <f t="shared" si="64"/>
        <v>1</v>
      </c>
      <c r="AW94" s="15">
        <f t="shared" si="65"/>
        <v>1</v>
      </c>
      <c r="AX94" s="15">
        <f t="shared" si="66"/>
        <v>1</v>
      </c>
      <c r="AY94" s="15">
        <f t="shared" si="67"/>
        <v>1</v>
      </c>
      <c r="AZ94" s="15">
        <f t="shared" si="68"/>
        <v>1</v>
      </c>
      <c r="BA94" s="15">
        <f t="shared" si="69"/>
        <v>1</v>
      </c>
      <c r="BB94" s="15">
        <f t="shared" si="70"/>
        <v>0</v>
      </c>
      <c r="BC94" s="15" t="str">
        <f t="shared" si="71"/>
        <v/>
      </c>
      <c r="BD94" s="15" t="str">
        <f t="shared" si="72"/>
        <v/>
      </c>
      <c r="BE94" s="11" t="e">
        <f t="shared" si="73"/>
        <v>#VALUE!</v>
      </c>
      <c r="BF94" s="11" t="e">
        <f t="shared" si="74"/>
        <v>#VALUE!</v>
      </c>
      <c r="BG94" s="11" t="e">
        <f t="shared" si="75"/>
        <v>#VALUE!</v>
      </c>
      <c r="BH94" t="str">
        <f t="shared" si="76"/>
        <v/>
      </c>
      <c r="BI94" t="str" cm="1">
        <f t="array" ref="BI94">_xlfn.IFS(
  L94&gt;0,"Critical Fail",
  M94&gt;0,"Important (Coaching)",
  TRUE,"Clean Pass"
)</f>
        <v>Clean Pass</v>
      </c>
      <c r="BJ94" t="str">
        <f t="shared" si="77"/>
        <v>NA</v>
      </c>
    </row>
    <row r="95" spans="1:62" x14ac:dyDescent="0.3">
      <c r="A95">
        <v>912084</v>
      </c>
      <c r="K95" t="str">
        <f t="shared" si="39"/>
        <v>Pass</v>
      </c>
      <c r="L95" s="15">
        <f t="shared" si="40"/>
        <v>0</v>
      </c>
      <c r="M95" s="15">
        <f t="shared" si="41"/>
        <v>0</v>
      </c>
      <c r="Z95" s="15">
        <f t="shared" si="42"/>
        <v>1</v>
      </c>
      <c r="AA95" s="15">
        <f t="shared" si="43"/>
        <v>1</v>
      </c>
      <c r="AB95" s="15">
        <f t="shared" si="44"/>
        <v>1</v>
      </c>
      <c r="AC95" s="15">
        <f t="shared" si="45"/>
        <v>1</v>
      </c>
      <c r="AD95" s="15">
        <f t="shared" si="46"/>
        <v>1</v>
      </c>
      <c r="AE95" s="15">
        <f t="shared" si="47"/>
        <v>1</v>
      </c>
      <c r="AF95" s="15">
        <f t="shared" si="48"/>
        <v>1</v>
      </c>
      <c r="AG95" s="15">
        <f t="shared" si="49"/>
        <v>1</v>
      </c>
      <c r="AH95" s="15">
        <f t="shared" si="50"/>
        <v>1</v>
      </c>
      <c r="AI95" s="15">
        <f t="shared" si="51"/>
        <v>1</v>
      </c>
      <c r="AJ95" s="15">
        <f t="shared" si="52"/>
        <v>1</v>
      </c>
      <c r="AK95" s="15">
        <f t="shared" si="53"/>
        <v>1</v>
      </c>
      <c r="AL95" s="15">
        <f t="shared" si="54"/>
        <v>1</v>
      </c>
      <c r="AM95" s="15">
        <f t="shared" si="55"/>
        <v>1</v>
      </c>
      <c r="AN95" s="15">
        <f t="shared" si="56"/>
        <v>1</v>
      </c>
      <c r="AO95" s="15">
        <f t="shared" si="57"/>
        <v>1</v>
      </c>
      <c r="AP95" s="15">
        <f t="shared" si="58"/>
        <v>1</v>
      </c>
      <c r="AQ95" s="15">
        <f t="shared" si="59"/>
        <v>1</v>
      </c>
      <c r="AR95" s="15">
        <f t="shared" si="60"/>
        <v>1</v>
      </c>
      <c r="AS95" s="15">
        <f t="shared" si="61"/>
        <v>1</v>
      </c>
      <c r="AT95" s="15">
        <f t="shared" si="62"/>
        <v>1</v>
      </c>
      <c r="AU95" s="15">
        <f t="shared" si="63"/>
        <v>1</v>
      </c>
      <c r="AV95" s="15">
        <f t="shared" si="64"/>
        <v>1</v>
      </c>
      <c r="AW95" s="15">
        <f t="shared" si="65"/>
        <v>1</v>
      </c>
      <c r="AX95" s="15">
        <f t="shared" si="66"/>
        <v>1</v>
      </c>
      <c r="AY95" s="15">
        <f t="shared" si="67"/>
        <v>1</v>
      </c>
      <c r="AZ95" s="15">
        <f t="shared" si="68"/>
        <v>1</v>
      </c>
      <c r="BA95" s="15">
        <f t="shared" si="69"/>
        <v>1</v>
      </c>
      <c r="BB95" s="15">
        <f t="shared" si="70"/>
        <v>0</v>
      </c>
      <c r="BC95" s="15" t="str">
        <f t="shared" si="71"/>
        <v/>
      </c>
      <c r="BD95" s="15" t="str">
        <f t="shared" si="72"/>
        <v/>
      </c>
      <c r="BE95" s="11" t="e">
        <f t="shared" si="73"/>
        <v>#VALUE!</v>
      </c>
      <c r="BF95" s="11" t="e">
        <f t="shared" si="74"/>
        <v>#VALUE!</v>
      </c>
      <c r="BG95" s="11" t="e">
        <f t="shared" si="75"/>
        <v>#VALUE!</v>
      </c>
      <c r="BH95" t="str">
        <f t="shared" si="76"/>
        <v/>
      </c>
      <c r="BI95" t="str" cm="1">
        <f t="array" ref="BI95">_xlfn.IFS(
  L95&gt;0,"Critical Fail",
  M95&gt;0,"Important (Coaching)",
  TRUE,"Clean Pass"
)</f>
        <v>Clean Pass</v>
      </c>
      <c r="BJ95" t="str">
        <f t="shared" si="77"/>
        <v>NA</v>
      </c>
    </row>
    <row r="96" spans="1:62" x14ac:dyDescent="0.3">
      <c r="A96">
        <v>633366</v>
      </c>
      <c r="K96" t="str">
        <f t="shared" si="39"/>
        <v>Pass</v>
      </c>
      <c r="L96" s="15">
        <f t="shared" si="40"/>
        <v>0</v>
      </c>
      <c r="M96" s="15">
        <f t="shared" si="41"/>
        <v>0</v>
      </c>
      <c r="Z96" s="15">
        <f t="shared" si="42"/>
        <v>1</v>
      </c>
      <c r="AA96" s="15">
        <f t="shared" si="43"/>
        <v>1</v>
      </c>
      <c r="AB96" s="15">
        <f t="shared" si="44"/>
        <v>1</v>
      </c>
      <c r="AC96" s="15">
        <f t="shared" si="45"/>
        <v>1</v>
      </c>
      <c r="AD96" s="15">
        <f t="shared" si="46"/>
        <v>1</v>
      </c>
      <c r="AE96" s="15">
        <f t="shared" si="47"/>
        <v>1</v>
      </c>
      <c r="AF96" s="15">
        <f t="shared" si="48"/>
        <v>1</v>
      </c>
      <c r="AG96" s="15">
        <f t="shared" si="49"/>
        <v>1</v>
      </c>
      <c r="AH96" s="15">
        <f t="shared" si="50"/>
        <v>1</v>
      </c>
      <c r="AI96" s="15">
        <f t="shared" si="51"/>
        <v>1</v>
      </c>
      <c r="AJ96" s="15">
        <f t="shared" si="52"/>
        <v>1</v>
      </c>
      <c r="AK96" s="15">
        <f t="shared" si="53"/>
        <v>1</v>
      </c>
      <c r="AL96" s="15">
        <f t="shared" si="54"/>
        <v>1</v>
      </c>
      <c r="AM96" s="15">
        <f t="shared" si="55"/>
        <v>1</v>
      </c>
      <c r="AN96" s="15">
        <f t="shared" si="56"/>
        <v>1</v>
      </c>
      <c r="AO96" s="15">
        <f t="shared" si="57"/>
        <v>1</v>
      </c>
      <c r="AP96" s="15">
        <f t="shared" si="58"/>
        <v>1</v>
      </c>
      <c r="AQ96" s="15">
        <f t="shared" si="59"/>
        <v>1</v>
      </c>
      <c r="AR96" s="15">
        <f t="shared" si="60"/>
        <v>1</v>
      </c>
      <c r="AS96" s="15">
        <f t="shared" si="61"/>
        <v>1</v>
      </c>
      <c r="AT96" s="15">
        <f t="shared" si="62"/>
        <v>1</v>
      </c>
      <c r="AU96" s="15">
        <f t="shared" si="63"/>
        <v>1</v>
      </c>
      <c r="AV96" s="15">
        <f t="shared" si="64"/>
        <v>1</v>
      </c>
      <c r="AW96" s="15">
        <f t="shared" si="65"/>
        <v>1</v>
      </c>
      <c r="AX96" s="15">
        <f t="shared" si="66"/>
        <v>1</v>
      </c>
      <c r="AY96" s="15">
        <f t="shared" si="67"/>
        <v>1</v>
      </c>
      <c r="AZ96" s="15">
        <f t="shared" si="68"/>
        <v>1</v>
      </c>
      <c r="BA96" s="15">
        <f t="shared" si="69"/>
        <v>1</v>
      </c>
      <c r="BB96" s="15">
        <f t="shared" si="70"/>
        <v>0</v>
      </c>
      <c r="BC96" s="15" t="str">
        <f t="shared" si="71"/>
        <v/>
      </c>
      <c r="BD96" s="15" t="str">
        <f t="shared" si="72"/>
        <v/>
      </c>
      <c r="BE96" s="11" t="e">
        <f t="shared" si="73"/>
        <v>#VALUE!</v>
      </c>
      <c r="BF96" s="11" t="e">
        <f t="shared" si="74"/>
        <v>#VALUE!</v>
      </c>
      <c r="BG96" s="11" t="e">
        <f t="shared" si="75"/>
        <v>#VALUE!</v>
      </c>
      <c r="BH96" t="str">
        <f t="shared" si="76"/>
        <v/>
      </c>
      <c r="BI96" t="str" cm="1">
        <f t="array" ref="BI96">_xlfn.IFS(
  L96&gt;0,"Critical Fail",
  M96&gt;0,"Important (Coaching)",
  TRUE,"Clean Pass"
)</f>
        <v>Clean Pass</v>
      </c>
      <c r="BJ96" t="str">
        <f t="shared" si="77"/>
        <v>NA</v>
      </c>
    </row>
    <row r="97" spans="1:62" x14ac:dyDescent="0.3">
      <c r="A97">
        <v>665737</v>
      </c>
      <c r="K97" t="str">
        <f t="shared" si="39"/>
        <v>Pass</v>
      </c>
      <c r="L97" s="15">
        <f t="shared" si="40"/>
        <v>0</v>
      </c>
      <c r="M97" s="15">
        <f t="shared" si="41"/>
        <v>0</v>
      </c>
      <c r="Z97" s="15">
        <f t="shared" si="42"/>
        <v>1</v>
      </c>
      <c r="AA97" s="15">
        <f t="shared" si="43"/>
        <v>1</v>
      </c>
      <c r="AB97" s="15">
        <f t="shared" si="44"/>
        <v>1</v>
      </c>
      <c r="AC97" s="15">
        <f t="shared" si="45"/>
        <v>1</v>
      </c>
      <c r="AD97" s="15">
        <f t="shared" si="46"/>
        <v>1</v>
      </c>
      <c r="AE97" s="15">
        <f t="shared" si="47"/>
        <v>1</v>
      </c>
      <c r="AF97" s="15">
        <f t="shared" si="48"/>
        <v>1</v>
      </c>
      <c r="AG97" s="15">
        <f t="shared" si="49"/>
        <v>1</v>
      </c>
      <c r="AH97" s="15">
        <f t="shared" si="50"/>
        <v>1</v>
      </c>
      <c r="AI97" s="15">
        <f t="shared" si="51"/>
        <v>1</v>
      </c>
      <c r="AJ97" s="15">
        <f t="shared" si="52"/>
        <v>1</v>
      </c>
      <c r="AK97" s="15">
        <f t="shared" si="53"/>
        <v>1</v>
      </c>
      <c r="AL97" s="15">
        <f t="shared" si="54"/>
        <v>1</v>
      </c>
      <c r="AM97" s="15">
        <f t="shared" si="55"/>
        <v>1</v>
      </c>
      <c r="AN97" s="15">
        <f t="shared" si="56"/>
        <v>1</v>
      </c>
      <c r="AO97" s="15">
        <f t="shared" si="57"/>
        <v>1</v>
      </c>
      <c r="AP97" s="15">
        <f t="shared" si="58"/>
        <v>1</v>
      </c>
      <c r="AQ97" s="15">
        <f t="shared" si="59"/>
        <v>1</v>
      </c>
      <c r="AR97" s="15">
        <f t="shared" si="60"/>
        <v>1</v>
      </c>
      <c r="AS97" s="15">
        <f t="shared" si="61"/>
        <v>1</v>
      </c>
      <c r="AT97" s="15">
        <f t="shared" si="62"/>
        <v>1</v>
      </c>
      <c r="AU97" s="15">
        <f t="shared" si="63"/>
        <v>1</v>
      </c>
      <c r="AV97" s="15">
        <f t="shared" si="64"/>
        <v>1</v>
      </c>
      <c r="AW97" s="15">
        <f t="shared" si="65"/>
        <v>1</v>
      </c>
      <c r="AX97" s="15">
        <f t="shared" si="66"/>
        <v>1</v>
      </c>
      <c r="AY97" s="15">
        <f t="shared" si="67"/>
        <v>1</v>
      </c>
      <c r="AZ97" s="15">
        <f t="shared" si="68"/>
        <v>1</v>
      </c>
      <c r="BA97" s="15">
        <f t="shared" si="69"/>
        <v>1</v>
      </c>
      <c r="BB97" s="15">
        <f t="shared" si="70"/>
        <v>0</v>
      </c>
      <c r="BC97" s="15" t="str">
        <f t="shared" si="71"/>
        <v/>
      </c>
      <c r="BD97" s="15" t="str">
        <f t="shared" si="72"/>
        <v/>
      </c>
      <c r="BE97" s="11" t="e">
        <f t="shared" si="73"/>
        <v>#VALUE!</v>
      </c>
      <c r="BF97" s="11" t="e">
        <f t="shared" si="74"/>
        <v>#VALUE!</v>
      </c>
      <c r="BG97" s="11" t="e">
        <f t="shared" si="75"/>
        <v>#VALUE!</v>
      </c>
      <c r="BH97" t="str">
        <f t="shared" si="76"/>
        <v/>
      </c>
      <c r="BI97" t="str" cm="1">
        <f t="array" ref="BI97">_xlfn.IFS(
  L97&gt;0,"Critical Fail",
  M97&gt;0,"Important (Coaching)",
  TRUE,"Clean Pass"
)</f>
        <v>Clean Pass</v>
      </c>
      <c r="BJ97" t="str">
        <f t="shared" si="77"/>
        <v>NA</v>
      </c>
    </row>
    <row r="98" spans="1:62" x14ac:dyDescent="0.3">
      <c r="A98">
        <v>594839</v>
      </c>
      <c r="K98" t="str">
        <f t="shared" si="39"/>
        <v>Pass</v>
      </c>
      <c r="L98" s="15">
        <f t="shared" si="40"/>
        <v>0</v>
      </c>
      <c r="M98" s="15">
        <f t="shared" si="41"/>
        <v>0</v>
      </c>
      <c r="Z98" s="15">
        <f t="shared" si="42"/>
        <v>1</v>
      </c>
      <c r="AA98" s="15">
        <f t="shared" si="43"/>
        <v>1</v>
      </c>
      <c r="AB98" s="15">
        <f t="shared" si="44"/>
        <v>1</v>
      </c>
      <c r="AC98" s="15">
        <f t="shared" si="45"/>
        <v>1</v>
      </c>
      <c r="AD98" s="15">
        <f t="shared" si="46"/>
        <v>1</v>
      </c>
      <c r="AE98" s="15">
        <f t="shared" si="47"/>
        <v>1</v>
      </c>
      <c r="AF98" s="15">
        <f t="shared" si="48"/>
        <v>1</v>
      </c>
      <c r="AG98" s="15">
        <f t="shared" si="49"/>
        <v>1</v>
      </c>
      <c r="AH98" s="15">
        <f t="shared" si="50"/>
        <v>1</v>
      </c>
      <c r="AI98" s="15">
        <f t="shared" si="51"/>
        <v>1</v>
      </c>
      <c r="AJ98" s="15">
        <f t="shared" si="52"/>
        <v>1</v>
      </c>
      <c r="AK98" s="15">
        <f t="shared" si="53"/>
        <v>1</v>
      </c>
      <c r="AL98" s="15">
        <f t="shared" si="54"/>
        <v>1</v>
      </c>
      <c r="AM98" s="15">
        <f t="shared" si="55"/>
        <v>1</v>
      </c>
      <c r="AN98" s="15">
        <f t="shared" si="56"/>
        <v>1</v>
      </c>
      <c r="AO98" s="15">
        <f t="shared" si="57"/>
        <v>1</v>
      </c>
      <c r="AP98" s="15">
        <f t="shared" si="58"/>
        <v>1</v>
      </c>
      <c r="AQ98" s="15">
        <f t="shared" si="59"/>
        <v>1</v>
      </c>
      <c r="AR98" s="15">
        <f t="shared" si="60"/>
        <v>1</v>
      </c>
      <c r="AS98" s="15">
        <f t="shared" si="61"/>
        <v>1</v>
      </c>
      <c r="AT98" s="15">
        <f t="shared" si="62"/>
        <v>1</v>
      </c>
      <c r="AU98" s="15">
        <f t="shared" si="63"/>
        <v>1</v>
      </c>
      <c r="AV98" s="15">
        <f t="shared" si="64"/>
        <v>1</v>
      </c>
      <c r="AW98" s="15">
        <f t="shared" si="65"/>
        <v>1</v>
      </c>
      <c r="AX98" s="15">
        <f t="shared" si="66"/>
        <v>1</v>
      </c>
      <c r="AY98" s="15">
        <f t="shared" si="67"/>
        <v>1</v>
      </c>
      <c r="AZ98" s="15">
        <f t="shared" si="68"/>
        <v>1</v>
      </c>
      <c r="BA98" s="15">
        <f t="shared" si="69"/>
        <v>1</v>
      </c>
      <c r="BB98" s="15">
        <f t="shared" si="70"/>
        <v>0</v>
      </c>
      <c r="BC98" s="15" t="str">
        <f t="shared" si="71"/>
        <v/>
      </c>
      <c r="BD98" s="15" t="str">
        <f t="shared" si="72"/>
        <v/>
      </c>
      <c r="BE98" s="11" t="e">
        <f t="shared" si="73"/>
        <v>#VALUE!</v>
      </c>
      <c r="BF98" s="11" t="e">
        <f t="shared" si="74"/>
        <v>#VALUE!</v>
      </c>
      <c r="BG98" s="11" t="e">
        <f t="shared" si="75"/>
        <v>#VALUE!</v>
      </c>
      <c r="BH98" t="str">
        <f t="shared" si="76"/>
        <v/>
      </c>
      <c r="BI98" t="str" cm="1">
        <f t="array" ref="BI98">_xlfn.IFS(
  L98&gt;0,"Critical Fail",
  M98&gt;0,"Important (Coaching)",
  TRUE,"Clean Pass"
)</f>
        <v>Clean Pass</v>
      </c>
      <c r="BJ98" t="str">
        <f t="shared" si="77"/>
        <v>NA</v>
      </c>
    </row>
    <row r="99" spans="1:62" x14ac:dyDescent="0.3">
      <c r="A99">
        <v>241841</v>
      </c>
      <c r="K99" t="str">
        <f t="shared" si="39"/>
        <v>Pass</v>
      </c>
      <c r="L99" s="15">
        <f t="shared" si="40"/>
        <v>0</v>
      </c>
      <c r="M99" s="15">
        <f t="shared" si="41"/>
        <v>0</v>
      </c>
      <c r="Z99" s="15">
        <f t="shared" si="42"/>
        <v>1</v>
      </c>
      <c r="AA99" s="15">
        <f t="shared" si="43"/>
        <v>1</v>
      </c>
      <c r="AB99" s="15">
        <f t="shared" si="44"/>
        <v>1</v>
      </c>
      <c r="AC99" s="15">
        <f t="shared" si="45"/>
        <v>1</v>
      </c>
      <c r="AD99" s="15">
        <f t="shared" si="46"/>
        <v>1</v>
      </c>
      <c r="AE99" s="15">
        <f t="shared" si="47"/>
        <v>1</v>
      </c>
      <c r="AF99" s="15">
        <f t="shared" si="48"/>
        <v>1</v>
      </c>
      <c r="AG99" s="15">
        <f t="shared" si="49"/>
        <v>1</v>
      </c>
      <c r="AH99" s="15">
        <f t="shared" si="50"/>
        <v>1</v>
      </c>
      <c r="AI99" s="15">
        <f t="shared" si="51"/>
        <v>1</v>
      </c>
      <c r="AJ99" s="15">
        <f t="shared" si="52"/>
        <v>1</v>
      </c>
      <c r="AK99" s="15">
        <f t="shared" si="53"/>
        <v>1</v>
      </c>
      <c r="AL99" s="15">
        <f t="shared" si="54"/>
        <v>1</v>
      </c>
      <c r="AM99" s="15">
        <f t="shared" si="55"/>
        <v>1</v>
      </c>
      <c r="AN99" s="15">
        <f t="shared" si="56"/>
        <v>1</v>
      </c>
      <c r="AO99" s="15">
        <f t="shared" si="57"/>
        <v>1</v>
      </c>
      <c r="AP99" s="15">
        <f t="shared" si="58"/>
        <v>1</v>
      </c>
      <c r="AQ99" s="15">
        <f t="shared" si="59"/>
        <v>1</v>
      </c>
      <c r="AR99" s="15">
        <f t="shared" si="60"/>
        <v>1</v>
      </c>
      <c r="AS99" s="15">
        <f t="shared" si="61"/>
        <v>1</v>
      </c>
      <c r="AT99" s="15">
        <f t="shared" si="62"/>
        <v>1</v>
      </c>
      <c r="AU99" s="15">
        <f t="shared" si="63"/>
        <v>1</v>
      </c>
      <c r="AV99" s="15">
        <f t="shared" si="64"/>
        <v>1</v>
      </c>
      <c r="AW99" s="15">
        <f t="shared" si="65"/>
        <v>1</v>
      </c>
      <c r="AX99" s="15">
        <f t="shared" si="66"/>
        <v>1</v>
      </c>
      <c r="AY99" s="15">
        <f t="shared" si="67"/>
        <v>1</v>
      </c>
      <c r="AZ99" s="15">
        <f t="shared" si="68"/>
        <v>1</v>
      </c>
      <c r="BA99" s="15">
        <f t="shared" si="69"/>
        <v>1</v>
      </c>
      <c r="BB99" s="15">
        <f t="shared" si="70"/>
        <v>0</v>
      </c>
      <c r="BC99" s="15" t="str">
        <f t="shared" si="71"/>
        <v/>
      </c>
      <c r="BD99" s="15" t="str">
        <f t="shared" si="72"/>
        <v/>
      </c>
      <c r="BE99" s="11" t="e">
        <f t="shared" si="73"/>
        <v>#VALUE!</v>
      </c>
      <c r="BF99" s="11" t="e">
        <f t="shared" si="74"/>
        <v>#VALUE!</v>
      </c>
      <c r="BG99" s="11" t="e">
        <f t="shared" si="75"/>
        <v>#VALUE!</v>
      </c>
      <c r="BH99" t="str">
        <f t="shared" si="76"/>
        <v/>
      </c>
      <c r="BI99" t="str" cm="1">
        <f t="array" ref="BI99">_xlfn.IFS(
  L99&gt;0,"Critical Fail",
  M99&gt;0,"Important (Coaching)",
  TRUE,"Clean Pass"
)</f>
        <v>Clean Pass</v>
      </c>
      <c r="BJ99" t="str">
        <f t="shared" si="77"/>
        <v>NA</v>
      </c>
    </row>
    <row r="100" spans="1:62" x14ac:dyDescent="0.3">
      <c r="A100">
        <v>576642</v>
      </c>
      <c r="K100" t="str">
        <f t="shared" si="39"/>
        <v>Pass</v>
      </c>
      <c r="L100" s="15">
        <f t="shared" si="40"/>
        <v>0</v>
      </c>
      <c r="M100" s="15">
        <f t="shared" si="41"/>
        <v>0</v>
      </c>
      <c r="Z100" s="15">
        <f t="shared" si="42"/>
        <v>1</v>
      </c>
      <c r="AA100" s="15">
        <f t="shared" si="43"/>
        <v>1</v>
      </c>
      <c r="AB100" s="15">
        <f t="shared" si="44"/>
        <v>1</v>
      </c>
      <c r="AC100" s="15">
        <f t="shared" si="45"/>
        <v>1</v>
      </c>
      <c r="AD100" s="15">
        <f t="shared" si="46"/>
        <v>1</v>
      </c>
      <c r="AE100" s="15">
        <f t="shared" si="47"/>
        <v>1</v>
      </c>
      <c r="AF100" s="15">
        <f t="shared" si="48"/>
        <v>1</v>
      </c>
      <c r="AG100" s="15">
        <f t="shared" si="49"/>
        <v>1</v>
      </c>
      <c r="AH100" s="15">
        <f t="shared" si="50"/>
        <v>1</v>
      </c>
      <c r="AI100" s="15">
        <f t="shared" si="51"/>
        <v>1</v>
      </c>
      <c r="AJ100" s="15">
        <f t="shared" si="52"/>
        <v>1</v>
      </c>
      <c r="AK100" s="15">
        <f t="shared" si="53"/>
        <v>1</v>
      </c>
      <c r="AL100" s="15">
        <f t="shared" si="54"/>
        <v>1</v>
      </c>
      <c r="AM100" s="15">
        <f t="shared" si="55"/>
        <v>1</v>
      </c>
      <c r="AN100" s="15">
        <f t="shared" si="56"/>
        <v>1</v>
      </c>
      <c r="AO100" s="15">
        <f t="shared" si="57"/>
        <v>1</v>
      </c>
      <c r="AP100" s="15">
        <f t="shared" si="58"/>
        <v>1</v>
      </c>
      <c r="AQ100" s="15">
        <f t="shared" si="59"/>
        <v>1</v>
      </c>
      <c r="AR100" s="15">
        <f t="shared" si="60"/>
        <v>1</v>
      </c>
      <c r="AS100" s="15">
        <f t="shared" si="61"/>
        <v>1</v>
      </c>
      <c r="AT100" s="15">
        <f t="shared" si="62"/>
        <v>1</v>
      </c>
      <c r="AU100" s="15">
        <f t="shared" si="63"/>
        <v>1</v>
      </c>
      <c r="AV100" s="15">
        <f t="shared" si="64"/>
        <v>1</v>
      </c>
      <c r="AW100" s="15">
        <f t="shared" si="65"/>
        <v>1</v>
      </c>
      <c r="AX100" s="15">
        <f t="shared" si="66"/>
        <v>1</v>
      </c>
      <c r="AY100" s="15">
        <f t="shared" si="67"/>
        <v>1</v>
      </c>
      <c r="AZ100" s="15">
        <f t="shared" si="68"/>
        <v>1</v>
      </c>
      <c r="BA100" s="15">
        <f t="shared" si="69"/>
        <v>1</v>
      </c>
      <c r="BB100" s="15">
        <f t="shared" si="70"/>
        <v>0</v>
      </c>
      <c r="BC100" s="15" t="str">
        <f t="shared" si="71"/>
        <v/>
      </c>
      <c r="BD100" s="15" t="str">
        <f t="shared" si="72"/>
        <v/>
      </c>
      <c r="BE100" s="11" t="e">
        <f t="shared" si="73"/>
        <v>#VALUE!</v>
      </c>
      <c r="BF100" s="11" t="e">
        <f t="shared" si="74"/>
        <v>#VALUE!</v>
      </c>
      <c r="BG100" s="11" t="e">
        <f t="shared" si="75"/>
        <v>#VALUE!</v>
      </c>
      <c r="BH100" t="str">
        <f t="shared" si="76"/>
        <v/>
      </c>
      <c r="BI100" t="str" cm="1">
        <f t="array" ref="BI100">_xlfn.IFS(
  L100&gt;0,"Critical Fail",
  M100&gt;0,"Important (Coaching)",
  TRUE,"Clean Pass"
)</f>
        <v>Clean Pass</v>
      </c>
      <c r="BJ100" t="str">
        <f t="shared" si="77"/>
        <v>NA</v>
      </c>
    </row>
    <row r="101" spans="1:62" x14ac:dyDescent="0.3">
      <c r="A101">
        <v>209594</v>
      </c>
      <c r="K101" t="str">
        <f t="shared" si="39"/>
        <v>Pass</v>
      </c>
      <c r="L101" s="15">
        <f t="shared" si="40"/>
        <v>0</v>
      </c>
      <c r="M101" s="15">
        <f t="shared" si="41"/>
        <v>0</v>
      </c>
      <c r="Z101" s="15">
        <f t="shared" si="42"/>
        <v>1</v>
      </c>
      <c r="AA101" s="15">
        <f t="shared" si="43"/>
        <v>1</v>
      </c>
      <c r="AB101" s="15">
        <f t="shared" si="44"/>
        <v>1</v>
      </c>
      <c r="AC101" s="15">
        <f t="shared" si="45"/>
        <v>1</v>
      </c>
      <c r="AD101" s="15">
        <f t="shared" si="46"/>
        <v>1</v>
      </c>
      <c r="AE101" s="15">
        <f t="shared" si="47"/>
        <v>1</v>
      </c>
      <c r="AF101" s="15">
        <f t="shared" si="48"/>
        <v>1</v>
      </c>
      <c r="AG101" s="15">
        <f t="shared" si="49"/>
        <v>1</v>
      </c>
      <c r="AH101" s="15">
        <f t="shared" si="50"/>
        <v>1</v>
      </c>
      <c r="AI101" s="15">
        <f t="shared" si="51"/>
        <v>1</v>
      </c>
      <c r="AJ101" s="15">
        <f t="shared" si="52"/>
        <v>1</v>
      </c>
      <c r="AK101" s="15">
        <f t="shared" si="53"/>
        <v>1</v>
      </c>
      <c r="AL101" s="15">
        <f t="shared" si="54"/>
        <v>1</v>
      </c>
      <c r="AM101" s="15">
        <f t="shared" si="55"/>
        <v>1</v>
      </c>
      <c r="AN101" s="15">
        <f t="shared" si="56"/>
        <v>1</v>
      </c>
      <c r="AO101" s="15">
        <f t="shared" si="57"/>
        <v>1</v>
      </c>
      <c r="AP101" s="15">
        <f t="shared" si="58"/>
        <v>1</v>
      </c>
      <c r="AQ101" s="15">
        <f t="shared" si="59"/>
        <v>1</v>
      </c>
      <c r="AR101" s="15">
        <f t="shared" si="60"/>
        <v>1</v>
      </c>
      <c r="AS101" s="15">
        <f t="shared" si="61"/>
        <v>1</v>
      </c>
      <c r="AT101" s="15">
        <f t="shared" si="62"/>
        <v>1</v>
      </c>
      <c r="AU101" s="15">
        <f t="shared" si="63"/>
        <v>1</v>
      </c>
      <c r="AV101" s="15">
        <f t="shared" si="64"/>
        <v>1</v>
      </c>
      <c r="AW101" s="15">
        <f t="shared" si="65"/>
        <v>1</v>
      </c>
      <c r="AX101" s="15">
        <f t="shared" si="66"/>
        <v>1</v>
      </c>
      <c r="AY101" s="15">
        <f t="shared" si="67"/>
        <v>1</v>
      </c>
      <c r="AZ101" s="15">
        <f t="shared" si="68"/>
        <v>1</v>
      </c>
      <c r="BA101" s="15">
        <f t="shared" si="69"/>
        <v>1</v>
      </c>
      <c r="BB101" s="15">
        <f t="shared" si="70"/>
        <v>0</v>
      </c>
      <c r="BC101" s="15" t="str">
        <f t="shared" si="71"/>
        <v/>
      </c>
      <c r="BD101" s="15" t="str">
        <f t="shared" si="72"/>
        <v/>
      </c>
      <c r="BE101" s="11" t="e">
        <f t="shared" si="73"/>
        <v>#VALUE!</v>
      </c>
      <c r="BF101" s="11" t="e">
        <f t="shared" si="74"/>
        <v>#VALUE!</v>
      </c>
      <c r="BG101" s="11" t="e">
        <f t="shared" si="75"/>
        <v>#VALUE!</v>
      </c>
      <c r="BH101" t="str">
        <f t="shared" si="76"/>
        <v/>
      </c>
      <c r="BI101" t="str" cm="1">
        <f t="array" ref="BI101">_xlfn.IFS(
  L101&gt;0,"Critical Fail",
  M101&gt;0,"Important (Coaching)",
  TRUE,"Clean Pass"
)</f>
        <v>Clean Pass</v>
      </c>
      <c r="BJ101" t="str">
        <f t="shared" si="77"/>
        <v>NA</v>
      </c>
    </row>
    <row r="102" spans="1:62" x14ac:dyDescent="0.3">
      <c r="A102">
        <v>242319</v>
      </c>
      <c r="K102" t="str">
        <f t="shared" si="39"/>
        <v>Pass</v>
      </c>
      <c r="L102" s="15">
        <f t="shared" si="40"/>
        <v>0</v>
      </c>
      <c r="M102" s="15">
        <f t="shared" si="41"/>
        <v>0</v>
      </c>
      <c r="Z102" s="15">
        <f t="shared" si="42"/>
        <v>1</v>
      </c>
      <c r="AA102" s="15">
        <f t="shared" si="43"/>
        <v>1</v>
      </c>
      <c r="AB102" s="15">
        <f t="shared" si="44"/>
        <v>1</v>
      </c>
      <c r="AC102" s="15">
        <f t="shared" si="45"/>
        <v>1</v>
      </c>
      <c r="AD102" s="15">
        <f t="shared" si="46"/>
        <v>1</v>
      </c>
      <c r="AE102" s="15">
        <f t="shared" si="47"/>
        <v>1</v>
      </c>
      <c r="AF102" s="15">
        <f t="shared" si="48"/>
        <v>1</v>
      </c>
      <c r="AG102" s="15">
        <f t="shared" si="49"/>
        <v>1</v>
      </c>
      <c r="AH102" s="15">
        <f t="shared" si="50"/>
        <v>1</v>
      </c>
      <c r="AI102" s="15">
        <f t="shared" si="51"/>
        <v>1</v>
      </c>
      <c r="AJ102" s="15">
        <f t="shared" si="52"/>
        <v>1</v>
      </c>
      <c r="AK102" s="15">
        <f t="shared" si="53"/>
        <v>1</v>
      </c>
      <c r="AL102" s="15">
        <f t="shared" si="54"/>
        <v>1</v>
      </c>
      <c r="AM102" s="15">
        <f t="shared" si="55"/>
        <v>1</v>
      </c>
      <c r="AN102" s="15">
        <f t="shared" si="56"/>
        <v>1</v>
      </c>
      <c r="AO102" s="15">
        <f t="shared" si="57"/>
        <v>1</v>
      </c>
      <c r="AP102" s="15">
        <f t="shared" si="58"/>
        <v>1</v>
      </c>
      <c r="AQ102" s="15">
        <f t="shared" si="59"/>
        <v>1</v>
      </c>
      <c r="AR102" s="15">
        <f t="shared" si="60"/>
        <v>1</v>
      </c>
      <c r="AS102" s="15">
        <f t="shared" si="61"/>
        <v>1</v>
      </c>
      <c r="AT102" s="15">
        <f t="shared" si="62"/>
        <v>1</v>
      </c>
      <c r="AU102" s="15">
        <f t="shared" si="63"/>
        <v>1</v>
      </c>
      <c r="AV102" s="15">
        <f t="shared" si="64"/>
        <v>1</v>
      </c>
      <c r="AW102" s="15">
        <f t="shared" si="65"/>
        <v>1</v>
      </c>
      <c r="AX102" s="15">
        <f t="shared" si="66"/>
        <v>1</v>
      </c>
      <c r="AY102" s="15">
        <f t="shared" si="67"/>
        <v>1</v>
      </c>
      <c r="AZ102" s="15">
        <f t="shared" si="68"/>
        <v>1</v>
      </c>
      <c r="BA102" s="15">
        <f t="shared" si="69"/>
        <v>1</v>
      </c>
      <c r="BB102" s="15">
        <f t="shared" si="70"/>
        <v>0</v>
      </c>
      <c r="BC102" s="15" t="str">
        <f t="shared" si="71"/>
        <v/>
      </c>
      <c r="BD102" s="15" t="str">
        <f t="shared" si="72"/>
        <v/>
      </c>
      <c r="BE102" s="11" t="e">
        <f t="shared" si="73"/>
        <v>#VALUE!</v>
      </c>
      <c r="BF102" s="11" t="e">
        <f t="shared" si="74"/>
        <v>#VALUE!</v>
      </c>
      <c r="BG102" s="11" t="e">
        <f t="shared" si="75"/>
        <v>#VALUE!</v>
      </c>
      <c r="BH102" t="str">
        <f t="shared" si="76"/>
        <v/>
      </c>
      <c r="BI102" t="str" cm="1">
        <f t="array" ref="BI102">_xlfn.IFS(
  L102&gt;0,"Critical Fail",
  M102&gt;0,"Important (Coaching)",
  TRUE,"Clean Pass"
)</f>
        <v>Clean Pass</v>
      </c>
      <c r="BJ102" t="str">
        <f t="shared" si="77"/>
        <v>NA</v>
      </c>
    </row>
    <row r="103" spans="1:62" x14ac:dyDescent="0.3">
      <c r="A103">
        <v>875081</v>
      </c>
      <c r="K103" t="str">
        <f t="shared" si="39"/>
        <v>Pass</v>
      </c>
      <c r="L103" s="15">
        <f t="shared" si="40"/>
        <v>0</v>
      </c>
      <c r="M103" s="15">
        <f t="shared" si="41"/>
        <v>0</v>
      </c>
      <c r="Z103" s="15">
        <f t="shared" si="42"/>
        <v>1</v>
      </c>
      <c r="AA103" s="15">
        <f t="shared" si="43"/>
        <v>1</v>
      </c>
      <c r="AB103" s="15">
        <f t="shared" si="44"/>
        <v>1</v>
      </c>
      <c r="AC103" s="15">
        <f t="shared" si="45"/>
        <v>1</v>
      </c>
      <c r="AD103" s="15">
        <f t="shared" si="46"/>
        <v>1</v>
      </c>
      <c r="AE103" s="15">
        <f t="shared" si="47"/>
        <v>1</v>
      </c>
      <c r="AF103" s="15">
        <f t="shared" si="48"/>
        <v>1</v>
      </c>
      <c r="AG103" s="15">
        <f t="shared" si="49"/>
        <v>1</v>
      </c>
      <c r="AH103" s="15">
        <f t="shared" si="50"/>
        <v>1</v>
      </c>
      <c r="AI103" s="15">
        <f t="shared" si="51"/>
        <v>1</v>
      </c>
      <c r="AJ103" s="15">
        <f t="shared" si="52"/>
        <v>1</v>
      </c>
      <c r="AK103" s="15">
        <f t="shared" si="53"/>
        <v>1</v>
      </c>
      <c r="AL103" s="15">
        <f t="shared" si="54"/>
        <v>1</v>
      </c>
      <c r="AM103" s="15">
        <f t="shared" si="55"/>
        <v>1</v>
      </c>
      <c r="AN103" s="15">
        <f t="shared" si="56"/>
        <v>1</v>
      </c>
      <c r="AO103" s="15">
        <f t="shared" si="57"/>
        <v>1</v>
      </c>
      <c r="AP103" s="15">
        <f t="shared" si="58"/>
        <v>1</v>
      </c>
      <c r="AQ103" s="15">
        <f t="shared" si="59"/>
        <v>1</v>
      </c>
      <c r="AR103" s="15">
        <f t="shared" si="60"/>
        <v>1</v>
      </c>
      <c r="AS103" s="15">
        <f t="shared" si="61"/>
        <v>1</v>
      </c>
      <c r="AT103" s="15">
        <f t="shared" si="62"/>
        <v>1</v>
      </c>
      <c r="AU103" s="15">
        <f t="shared" si="63"/>
        <v>1</v>
      </c>
      <c r="AV103" s="15">
        <f t="shared" si="64"/>
        <v>1</v>
      </c>
      <c r="AW103" s="15">
        <f t="shared" si="65"/>
        <v>1</v>
      </c>
      <c r="AX103" s="15">
        <f t="shared" si="66"/>
        <v>1</v>
      </c>
      <c r="AY103" s="15">
        <f t="shared" si="67"/>
        <v>1</v>
      </c>
      <c r="AZ103" s="15">
        <f t="shared" si="68"/>
        <v>1</v>
      </c>
      <c r="BA103" s="15">
        <f t="shared" si="69"/>
        <v>1</v>
      </c>
      <c r="BB103" s="15">
        <f t="shared" si="70"/>
        <v>0</v>
      </c>
      <c r="BC103" s="15" t="str">
        <f t="shared" si="71"/>
        <v/>
      </c>
      <c r="BD103" s="15" t="str">
        <f t="shared" si="72"/>
        <v/>
      </c>
      <c r="BE103" s="11" t="e">
        <f t="shared" si="73"/>
        <v>#VALUE!</v>
      </c>
      <c r="BF103" s="11" t="e">
        <f t="shared" si="74"/>
        <v>#VALUE!</v>
      </c>
      <c r="BG103" s="11" t="e">
        <f t="shared" si="75"/>
        <v>#VALUE!</v>
      </c>
      <c r="BH103" t="str">
        <f t="shared" si="76"/>
        <v/>
      </c>
      <c r="BI103" t="str" cm="1">
        <f t="array" ref="BI103">_xlfn.IFS(
  L103&gt;0,"Critical Fail",
  M103&gt;0,"Important (Coaching)",
  TRUE,"Clean Pass"
)</f>
        <v>Clean Pass</v>
      </c>
      <c r="BJ103" t="str">
        <f t="shared" si="77"/>
        <v>NA</v>
      </c>
    </row>
    <row r="104" spans="1:62" x14ac:dyDescent="0.3">
      <c r="A104">
        <v>380324</v>
      </c>
      <c r="K104" t="str">
        <f t="shared" si="39"/>
        <v>Pass</v>
      </c>
      <c r="L104" s="15">
        <f t="shared" si="40"/>
        <v>0</v>
      </c>
      <c r="M104" s="15">
        <f t="shared" si="41"/>
        <v>0</v>
      </c>
      <c r="Z104" s="15">
        <f t="shared" si="42"/>
        <v>1</v>
      </c>
      <c r="AA104" s="15">
        <f t="shared" si="43"/>
        <v>1</v>
      </c>
      <c r="AB104" s="15">
        <f t="shared" si="44"/>
        <v>1</v>
      </c>
      <c r="AC104" s="15">
        <f t="shared" si="45"/>
        <v>1</v>
      </c>
      <c r="AD104" s="15">
        <f t="shared" si="46"/>
        <v>1</v>
      </c>
      <c r="AE104" s="15">
        <f t="shared" si="47"/>
        <v>1</v>
      </c>
      <c r="AF104" s="15">
        <f t="shared" si="48"/>
        <v>1</v>
      </c>
      <c r="AG104" s="15">
        <f t="shared" si="49"/>
        <v>1</v>
      </c>
      <c r="AH104" s="15">
        <f t="shared" si="50"/>
        <v>1</v>
      </c>
      <c r="AI104" s="15">
        <f t="shared" si="51"/>
        <v>1</v>
      </c>
      <c r="AJ104" s="15">
        <f t="shared" si="52"/>
        <v>1</v>
      </c>
      <c r="AK104" s="15">
        <f t="shared" si="53"/>
        <v>1</v>
      </c>
      <c r="AL104" s="15">
        <f t="shared" si="54"/>
        <v>1</v>
      </c>
      <c r="AM104" s="15">
        <f t="shared" si="55"/>
        <v>1</v>
      </c>
      <c r="AN104" s="15">
        <f t="shared" si="56"/>
        <v>1</v>
      </c>
      <c r="AO104" s="15">
        <f t="shared" si="57"/>
        <v>1</v>
      </c>
      <c r="AP104" s="15">
        <f t="shared" si="58"/>
        <v>1</v>
      </c>
      <c r="AQ104" s="15">
        <f t="shared" si="59"/>
        <v>1</v>
      </c>
      <c r="AR104" s="15">
        <f t="shared" si="60"/>
        <v>1</v>
      </c>
      <c r="AS104" s="15">
        <f t="shared" si="61"/>
        <v>1</v>
      </c>
      <c r="AT104" s="15">
        <f t="shared" si="62"/>
        <v>1</v>
      </c>
      <c r="AU104" s="15">
        <f t="shared" si="63"/>
        <v>1</v>
      </c>
      <c r="AV104" s="15">
        <f t="shared" si="64"/>
        <v>1</v>
      </c>
      <c r="AW104" s="15">
        <f t="shared" si="65"/>
        <v>1</v>
      </c>
      <c r="AX104" s="15">
        <f t="shared" si="66"/>
        <v>1</v>
      </c>
      <c r="AY104" s="15">
        <f t="shared" si="67"/>
        <v>1</v>
      </c>
      <c r="AZ104" s="15">
        <f t="shared" si="68"/>
        <v>1</v>
      </c>
      <c r="BA104" s="15">
        <f t="shared" si="69"/>
        <v>1</v>
      </c>
      <c r="BB104" s="15">
        <f t="shared" si="70"/>
        <v>0</v>
      </c>
      <c r="BC104" s="15" t="str">
        <f t="shared" si="71"/>
        <v/>
      </c>
      <c r="BD104" s="15" t="str">
        <f t="shared" si="72"/>
        <v/>
      </c>
      <c r="BE104" s="11" t="e">
        <f t="shared" si="73"/>
        <v>#VALUE!</v>
      </c>
      <c r="BF104" s="11" t="e">
        <f t="shared" si="74"/>
        <v>#VALUE!</v>
      </c>
      <c r="BG104" s="11" t="e">
        <f t="shared" si="75"/>
        <v>#VALUE!</v>
      </c>
      <c r="BH104" t="str">
        <f t="shared" si="76"/>
        <v/>
      </c>
      <c r="BI104" t="str" cm="1">
        <f t="array" ref="BI104">_xlfn.IFS(
  L104&gt;0,"Critical Fail",
  M104&gt;0,"Important (Coaching)",
  TRUE,"Clean Pass"
)</f>
        <v>Clean Pass</v>
      </c>
      <c r="BJ104" t="str">
        <f t="shared" si="77"/>
        <v>NA</v>
      </c>
    </row>
    <row r="105" spans="1:62" x14ac:dyDescent="0.3">
      <c r="A105">
        <v>902976</v>
      </c>
      <c r="K105" t="str">
        <f t="shared" si="39"/>
        <v>Pass</v>
      </c>
      <c r="L105" s="15">
        <f t="shared" si="40"/>
        <v>0</v>
      </c>
      <c r="M105" s="15">
        <f t="shared" si="41"/>
        <v>0</v>
      </c>
      <c r="Z105" s="15">
        <f t="shared" si="42"/>
        <v>1</v>
      </c>
      <c r="AA105" s="15">
        <f t="shared" si="43"/>
        <v>1</v>
      </c>
      <c r="AB105" s="15">
        <f t="shared" si="44"/>
        <v>1</v>
      </c>
      <c r="AC105" s="15">
        <f t="shared" si="45"/>
        <v>1</v>
      </c>
      <c r="AD105" s="15">
        <f t="shared" si="46"/>
        <v>1</v>
      </c>
      <c r="AE105" s="15">
        <f t="shared" si="47"/>
        <v>1</v>
      </c>
      <c r="AF105" s="15">
        <f t="shared" si="48"/>
        <v>1</v>
      </c>
      <c r="AG105" s="15">
        <f t="shared" si="49"/>
        <v>1</v>
      </c>
      <c r="AH105" s="15">
        <f t="shared" si="50"/>
        <v>1</v>
      </c>
      <c r="AI105" s="15">
        <f t="shared" si="51"/>
        <v>1</v>
      </c>
      <c r="AJ105" s="15">
        <f t="shared" si="52"/>
        <v>1</v>
      </c>
      <c r="AK105" s="15">
        <f t="shared" si="53"/>
        <v>1</v>
      </c>
      <c r="AL105" s="15">
        <f t="shared" si="54"/>
        <v>1</v>
      </c>
      <c r="AM105" s="15">
        <f t="shared" si="55"/>
        <v>1</v>
      </c>
      <c r="AN105" s="15">
        <f t="shared" si="56"/>
        <v>1</v>
      </c>
      <c r="AO105" s="15">
        <f t="shared" si="57"/>
        <v>1</v>
      </c>
      <c r="AP105" s="15">
        <f t="shared" si="58"/>
        <v>1</v>
      </c>
      <c r="AQ105" s="15">
        <f t="shared" si="59"/>
        <v>1</v>
      </c>
      <c r="AR105" s="15">
        <f t="shared" si="60"/>
        <v>1</v>
      </c>
      <c r="AS105" s="15">
        <f t="shared" si="61"/>
        <v>1</v>
      </c>
      <c r="AT105" s="15">
        <f t="shared" si="62"/>
        <v>1</v>
      </c>
      <c r="AU105" s="15">
        <f t="shared" si="63"/>
        <v>1</v>
      </c>
      <c r="AV105" s="15">
        <f t="shared" si="64"/>
        <v>1</v>
      </c>
      <c r="AW105" s="15">
        <f t="shared" si="65"/>
        <v>1</v>
      </c>
      <c r="AX105" s="15">
        <f t="shared" si="66"/>
        <v>1</v>
      </c>
      <c r="AY105" s="15">
        <f t="shared" si="67"/>
        <v>1</v>
      </c>
      <c r="AZ105" s="15">
        <f t="shared" si="68"/>
        <v>1</v>
      </c>
      <c r="BA105" s="15">
        <f t="shared" si="69"/>
        <v>1</v>
      </c>
      <c r="BB105" s="15">
        <f t="shared" si="70"/>
        <v>0</v>
      </c>
      <c r="BC105" s="15" t="str">
        <f t="shared" si="71"/>
        <v/>
      </c>
      <c r="BD105" s="15" t="str">
        <f t="shared" si="72"/>
        <v/>
      </c>
      <c r="BE105" s="11" t="e">
        <f t="shared" si="73"/>
        <v>#VALUE!</v>
      </c>
      <c r="BF105" s="11" t="e">
        <f t="shared" si="74"/>
        <v>#VALUE!</v>
      </c>
      <c r="BG105" s="11" t="e">
        <f t="shared" si="75"/>
        <v>#VALUE!</v>
      </c>
      <c r="BH105" t="str">
        <f t="shared" si="76"/>
        <v/>
      </c>
      <c r="BI105" t="str" cm="1">
        <f t="array" ref="BI105">_xlfn.IFS(
  L105&gt;0,"Critical Fail",
  M105&gt;0,"Important (Coaching)",
  TRUE,"Clean Pass"
)</f>
        <v>Clean Pass</v>
      </c>
      <c r="BJ105" t="str">
        <f t="shared" si="77"/>
        <v>NA</v>
      </c>
    </row>
    <row r="106" spans="1:62" x14ac:dyDescent="0.3">
      <c r="A106">
        <v>792311</v>
      </c>
      <c r="K106" t="str">
        <f t="shared" si="39"/>
        <v>Pass</v>
      </c>
      <c r="L106" s="15">
        <f t="shared" si="40"/>
        <v>0</v>
      </c>
      <c r="M106" s="15">
        <f t="shared" si="41"/>
        <v>0</v>
      </c>
      <c r="Z106" s="15">
        <f t="shared" si="42"/>
        <v>1</v>
      </c>
      <c r="AA106" s="15">
        <f t="shared" si="43"/>
        <v>1</v>
      </c>
      <c r="AB106" s="15">
        <f t="shared" si="44"/>
        <v>1</v>
      </c>
      <c r="AC106" s="15">
        <f t="shared" si="45"/>
        <v>1</v>
      </c>
      <c r="AD106" s="15">
        <f t="shared" si="46"/>
        <v>1</v>
      </c>
      <c r="AE106" s="15">
        <f t="shared" si="47"/>
        <v>1</v>
      </c>
      <c r="AF106" s="15">
        <f t="shared" si="48"/>
        <v>1</v>
      </c>
      <c r="AG106" s="15">
        <f t="shared" si="49"/>
        <v>1</v>
      </c>
      <c r="AH106" s="15">
        <f t="shared" si="50"/>
        <v>1</v>
      </c>
      <c r="AI106" s="15">
        <f t="shared" si="51"/>
        <v>1</v>
      </c>
      <c r="AJ106" s="15">
        <f t="shared" si="52"/>
        <v>1</v>
      </c>
      <c r="AK106" s="15">
        <f t="shared" si="53"/>
        <v>1</v>
      </c>
      <c r="AL106" s="15">
        <f t="shared" si="54"/>
        <v>1</v>
      </c>
      <c r="AM106" s="15">
        <f t="shared" si="55"/>
        <v>1</v>
      </c>
      <c r="AN106" s="15">
        <f t="shared" si="56"/>
        <v>1</v>
      </c>
      <c r="AO106" s="15">
        <f t="shared" si="57"/>
        <v>1</v>
      </c>
      <c r="AP106" s="15">
        <f t="shared" si="58"/>
        <v>1</v>
      </c>
      <c r="AQ106" s="15">
        <f t="shared" si="59"/>
        <v>1</v>
      </c>
      <c r="AR106" s="15">
        <f t="shared" si="60"/>
        <v>1</v>
      </c>
      <c r="AS106" s="15">
        <f t="shared" si="61"/>
        <v>1</v>
      </c>
      <c r="AT106" s="15">
        <f t="shared" si="62"/>
        <v>1</v>
      </c>
      <c r="AU106" s="15">
        <f t="shared" si="63"/>
        <v>1</v>
      </c>
      <c r="AV106" s="15">
        <f t="shared" si="64"/>
        <v>1</v>
      </c>
      <c r="AW106" s="15">
        <f t="shared" si="65"/>
        <v>1</v>
      </c>
      <c r="AX106" s="15">
        <f t="shared" si="66"/>
        <v>1</v>
      </c>
      <c r="AY106" s="15">
        <f t="shared" si="67"/>
        <v>1</v>
      </c>
      <c r="AZ106" s="15">
        <f t="shared" si="68"/>
        <v>1</v>
      </c>
      <c r="BA106" s="15">
        <f t="shared" si="69"/>
        <v>1</v>
      </c>
      <c r="BB106" s="15">
        <f t="shared" si="70"/>
        <v>0</v>
      </c>
      <c r="BC106" s="15" t="str">
        <f t="shared" si="71"/>
        <v/>
      </c>
      <c r="BD106" s="15" t="str">
        <f t="shared" si="72"/>
        <v/>
      </c>
      <c r="BE106" s="11" t="e">
        <f t="shared" si="73"/>
        <v>#VALUE!</v>
      </c>
      <c r="BF106" s="11" t="e">
        <f t="shared" si="74"/>
        <v>#VALUE!</v>
      </c>
      <c r="BG106" s="11" t="e">
        <f t="shared" si="75"/>
        <v>#VALUE!</v>
      </c>
      <c r="BH106" t="str">
        <f t="shared" si="76"/>
        <v/>
      </c>
      <c r="BI106" t="str" cm="1">
        <f t="array" ref="BI106">_xlfn.IFS(
  L106&gt;0,"Critical Fail",
  M106&gt;0,"Important (Coaching)",
  TRUE,"Clean Pass"
)</f>
        <v>Clean Pass</v>
      </c>
      <c r="BJ106" t="str">
        <f t="shared" si="77"/>
        <v>NA</v>
      </c>
    </row>
    <row r="107" spans="1:62" x14ac:dyDescent="0.3">
      <c r="A107">
        <v>530998</v>
      </c>
      <c r="K107" t="str">
        <f t="shared" si="39"/>
        <v>Pass</v>
      </c>
      <c r="L107" s="15">
        <f t="shared" si="40"/>
        <v>0</v>
      </c>
      <c r="M107" s="15">
        <f t="shared" si="41"/>
        <v>0</v>
      </c>
      <c r="Z107" s="15">
        <f t="shared" si="42"/>
        <v>1</v>
      </c>
      <c r="AA107" s="15">
        <f t="shared" si="43"/>
        <v>1</v>
      </c>
      <c r="AB107" s="15">
        <f t="shared" si="44"/>
        <v>1</v>
      </c>
      <c r="AC107" s="15">
        <f t="shared" si="45"/>
        <v>1</v>
      </c>
      <c r="AD107" s="15">
        <f t="shared" si="46"/>
        <v>1</v>
      </c>
      <c r="AE107" s="15">
        <f t="shared" si="47"/>
        <v>1</v>
      </c>
      <c r="AF107" s="15">
        <f t="shared" si="48"/>
        <v>1</v>
      </c>
      <c r="AG107" s="15">
        <f t="shared" si="49"/>
        <v>1</v>
      </c>
      <c r="AH107" s="15">
        <f t="shared" si="50"/>
        <v>1</v>
      </c>
      <c r="AI107" s="15">
        <f t="shared" si="51"/>
        <v>1</v>
      </c>
      <c r="AJ107" s="15">
        <f t="shared" si="52"/>
        <v>1</v>
      </c>
      <c r="AK107" s="15">
        <f t="shared" si="53"/>
        <v>1</v>
      </c>
      <c r="AL107" s="15">
        <f t="shared" si="54"/>
        <v>1</v>
      </c>
      <c r="AM107" s="15">
        <f t="shared" si="55"/>
        <v>1</v>
      </c>
      <c r="AN107" s="15">
        <f t="shared" si="56"/>
        <v>1</v>
      </c>
      <c r="AO107" s="15">
        <f t="shared" si="57"/>
        <v>1</v>
      </c>
      <c r="AP107" s="15">
        <f t="shared" si="58"/>
        <v>1</v>
      </c>
      <c r="AQ107" s="15">
        <f t="shared" si="59"/>
        <v>1</v>
      </c>
      <c r="AR107" s="15">
        <f t="shared" si="60"/>
        <v>1</v>
      </c>
      <c r="AS107" s="15">
        <f t="shared" si="61"/>
        <v>1</v>
      </c>
      <c r="AT107" s="15">
        <f t="shared" si="62"/>
        <v>1</v>
      </c>
      <c r="AU107" s="15">
        <f t="shared" si="63"/>
        <v>1</v>
      </c>
      <c r="AV107" s="15">
        <f t="shared" si="64"/>
        <v>1</v>
      </c>
      <c r="AW107" s="15">
        <f t="shared" si="65"/>
        <v>1</v>
      </c>
      <c r="AX107" s="15">
        <f t="shared" si="66"/>
        <v>1</v>
      </c>
      <c r="AY107" s="15">
        <f t="shared" si="67"/>
        <v>1</v>
      </c>
      <c r="AZ107" s="15">
        <f t="shared" si="68"/>
        <v>1</v>
      </c>
      <c r="BA107" s="15">
        <f t="shared" si="69"/>
        <v>1</v>
      </c>
      <c r="BB107" s="15">
        <f t="shared" si="70"/>
        <v>0</v>
      </c>
      <c r="BC107" s="15" t="str">
        <f t="shared" si="71"/>
        <v/>
      </c>
      <c r="BD107" s="15" t="str">
        <f t="shared" si="72"/>
        <v/>
      </c>
      <c r="BE107" s="11" t="e">
        <f t="shared" si="73"/>
        <v>#VALUE!</v>
      </c>
      <c r="BF107" s="11" t="e">
        <f t="shared" si="74"/>
        <v>#VALUE!</v>
      </c>
      <c r="BG107" s="11" t="e">
        <f t="shared" si="75"/>
        <v>#VALUE!</v>
      </c>
      <c r="BH107" t="str">
        <f t="shared" si="76"/>
        <v/>
      </c>
      <c r="BI107" t="str" cm="1">
        <f t="array" ref="BI107">_xlfn.IFS(
  L107&gt;0,"Critical Fail",
  M107&gt;0,"Important (Coaching)",
  TRUE,"Clean Pass"
)</f>
        <v>Clean Pass</v>
      </c>
      <c r="BJ107" t="str">
        <f t="shared" si="77"/>
        <v>NA</v>
      </c>
    </row>
    <row r="108" spans="1:62" x14ac:dyDescent="0.3">
      <c r="A108">
        <v>187320</v>
      </c>
      <c r="K108" t="str">
        <f t="shared" si="39"/>
        <v>Pass</v>
      </c>
      <c r="L108" s="15">
        <f t="shared" si="40"/>
        <v>0</v>
      </c>
      <c r="M108" s="15">
        <f t="shared" si="41"/>
        <v>0</v>
      </c>
      <c r="Z108" s="15">
        <f t="shared" si="42"/>
        <v>1</v>
      </c>
      <c r="AA108" s="15">
        <f t="shared" si="43"/>
        <v>1</v>
      </c>
      <c r="AB108" s="15">
        <f t="shared" si="44"/>
        <v>1</v>
      </c>
      <c r="AC108" s="15">
        <f t="shared" si="45"/>
        <v>1</v>
      </c>
      <c r="AD108" s="15">
        <f t="shared" si="46"/>
        <v>1</v>
      </c>
      <c r="AE108" s="15">
        <f t="shared" si="47"/>
        <v>1</v>
      </c>
      <c r="AF108" s="15">
        <f t="shared" si="48"/>
        <v>1</v>
      </c>
      <c r="AG108" s="15">
        <f t="shared" si="49"/>
        <v>1</v>
      </c>
      <c r="AH108" s="15">
        <f t="shared" si="50"/>
        <v>1</v>
      </c>
      <c r="AI108" s="15">
        <f t="shared" si="51"/>
        <v>1</v>
      </c>
      <c r="AJ108" s="15">
        <f t="shared" si="52"/>
        <v>1</v>
      </c>
      <c r="AK108" s="15">
        <f t="shared" si="53"/>
        <v>1</v>
      </c>
      <c r="AL108" s="15">
        <f t="shared" si="54"/>
        <v>1</v>
      </c>
      <c r="AM108" s="15">
        <f t="shared" si="55"/>
        <v>1</v>
      </c>
      <c r="AN108" s="15">
        <f t="shared" si="56"/>
        <v>1</v>
      </c>
      <c r="AO108" s="15">
        <f t="shared" si="57"/>
        <v>1</v>
      </c>
      <c r="AP108" s="15">
        <f t="shared" si="58"/>
        <v>1</v>
      </c>
      <c r="AQ108" s="15">
        <f t="shared" si="59"/>
        <v>1</v>
      </c>
      <c r="AR108" s="15">
        <f t="shared" si="60"/>
        <v>1</v>
      </c>
      <c r="AS108" s="15">
        <f t="shared" si="61"/>
        <v>1</v>
      </c>
      <c r="AT108" s="15">
        <f t="shared" si="62"/>
        <v>1</v>
      </c>
      <c r="AU108" s="15">
        <f t="shared" si="63"/>
        <v>1</v>
      </c>
      <c r="AV108" s="15">
        <f t="shared" si="64"/>
        <v>1</v>
      </c>
      <c r="AW108" s="15">
        <f t="shared" si="65"/>
        <v>1</v>
      </c>
      <c r="AX108" s="15">
        <f t="shared" si="66"/>
        <v>1</v>
      </c>
      <c r="AY108" s="15">
        <f t="shared" si="67"/>
        <v>1</v>
      </c>
      <c r="AZ108" s="15">
        <f t="shared" si="68"/>
        <v>1</v>
      </c>
      <c r="BA108" s="15">
        <f t="shared" si="69"/>
        <v>1</v>
      </c>
      <c r="BB108" s="15">
        <f t="shared" si="70"/>
        <v>0</v>
      </c>
      <c r="BC108" s="15" t="str">
        <f t="shared" si="71"/>
        <v/>
      </c>
      <c r="BD108" s="15" t="str">
        <f t="shared" si="72"/>
        <v/>
      </c>
      <c r="BE108" s="11" t="e">
        <f t="shared" si="73"/>
        <v>#VALUE!</v>
      </c>
      <c r="BF108" s="11" t="e">
        <f t="shared" si="74"/>
        <v>#VALUE!</v>
      </c>
      <c r="BG108" s="11" t="e">
        <f t="shared" si="75"/>
        <v>#VALUE!</v>
      </c>
      <c r="BH108" t="str">
        <f t="shared" si="76"/>
        <v/>
      </c>
      <c r="BI108" t="str" cm="1">
        <f t="array" ref="BI108">_xlfn.IFS(
  L108&gt;0,"Critical Fail",
  M108&gt;0,"Important (Coaching)",
  TRUE,"Clean Pass"
)</f>
        <v>Clean Pass</v>
      </c>
      <c r="BJ108" t="str">
        <f t="shared" si="77"/>
        <v>NA</v>
      </c>
    </row>
    <row r="109" spans="1:62" x14ac:dyDescent="0.3">
      <c r="A109">
        <v>142593</v>
      </c>
      <c r="K109" t="str">
        <f t="shared" si="39"/>
        <v>Pass</v>
      </c>
      <c r="L109" s="15">
        <f t="shared" si="40"/>
        <v>0</v>
      </c>
      <c r="M109" s="15">
        <f t="shared" si="41"/>
        <v>0</v>
      </c>
      <c r="Z109" s="15">
        <f t="shared" si="42"/>
        <v>1</v>
      </c>
      <c r="AA109" s="15">
        <f t="shared" si="43"/>
        <v>1</v>
      </c>
      <c r="AB109" s="15">
        <f t="shared" si="44"/>
        <v>1</v>
      </c>
      <c r="AC109" s="15">
        <f t="shared" si="45"/>
        <v>1</v>
      </c>
      <c r="AD109" s="15">
        <f t="shared" si="46"/>
        <v>1</v>
      </c>
      <c r="AE109" s="15">
        <f t="shared" si="47"/>
        <v>1</v>
      </c>
      <c r="AF109" s="15">
        <f t="shared" si="48"/>
        <v>1</v>
      </c>
      <c r="AG109" s="15">
        <f t="shared" si="49"/>
        <v>1</v>
      </c>
      <c r="AH109" s="15">
        <f t="shared" si="50"/>
        <v>1</v>
      </c>
      <c r="AI109" s="15">
        <f t="shared" si="51"/>
        <v>1</v>
      </c>
      <c r="AJ109" s="15">
        <f t="shared" si="52"/>
        <v>1</v>
      </c>
      <c r="AK109" s="15">
        <f t="shared" si="53"/>
        <v>1</v>
      </c>
      <c r="AL109" s="15">
        <f t="shared" si="54"/>
        <v>1</v>
      </c>
      <c r="AM109" s="15">
        <f t="shared" si="55"/>
        <v>1</v>
      </c>
      <c r="AN109" s="15">
        <f t="shared" si="56"/>
        <v>1</v>
      </c>
      <c r="AO109" s="15">
        <f t="shared" si="57"/>
        <v>1</v>
      </c>
      <c r="AP109" s="15">
        <f t="shared" si="58"/>
        <v>1</v>
      </c>
      <c r="AQ109" s="15">
        <f t="shared" si="59"/>
        <v>1</v>
      </c>
      <c r="AR109" s="15">
        <f t="shared" si="60"/>
        <v>1</v>
      </c>
      <c r="AS109" s="15">
        <f t="shared" si="61"/>
        <v>1</v>
      </c>
      <c r="AT109" s="15">
        <f t="shared" si="62"/>
        <v>1</v>
      </c>
      <c r="AU109" s="15">
        <f t="shared" si="63"/>
        <v>1</v>
      </c>
      <c r="AV109" s="15">
        <f t="shared" si="64"/>
        <v>1</v>
      </c>
      <c r="AW109" s="15">
        <f t="shared" si="65"/>
        <v>1</v>
      </c>
      <c r="AX109" s="15">
        <f t="shared" si="66"/>
        <v>1</v>
      </c>
      <c r="AY109" s="15">
        <f t="shared" si="67"/>
        <v>1</v>
      </c>
      <c r="AZ109" s="15">
        <f t="shared" si="68"/>
        <v>1</v>
      </c>
      <c r="BA109" s="15">
        <f t="shared" si="69"/>
        <v>1</v>
      </c>
      <c r="BB109" s="15">
        <f t="shared" si="70"/>
        <v>0</v>
      </c>
      <c r="BC109" s="15" t="str">
        <f t="shared" si="71"/>
        <v/>
      </c>
      <c r="BD109" s="15" t="str">
        <f t="shared" si="72"/>
        <v/>
      </c>
      <c r="BE109" s="11" t="e">
        <f t="shared" si="73"/>
        <v>#VALUE!</v>
      </c>
      <c r="BF109" s="11" t="e">
        <f t="shared" si="74"/>
        <v>#VALUE!</v>
      </c>
      <c r="BG109" s="11" t="e">
        <f t="shared" si="75"/>
        <v>#VALUE!</v>
      </c>
      <c r="BH109" t="str">
        <f t="shared" si="76"/>
        <v/>
      </c>
      <c r="BI109" t="str" cm="1">
        <f t="array" ref="BI109">_xlfn.IFS(
  L109&gt;0,"Critical Fail",
  M109&gt;0,"Important (Coaching)",
  TRUE,"Clean Pass"
)</f>
        <v>Clean Pass</v>
      </c>
      <c r="BJ109" t="str">
        <f t="shared" si="77"/>
        <v>NA</v>
      </c>
    </row>
    <row r="110" spans="1:62" x14ac:dyDescent="0.3">
      <c r="A110">
        <v>293190</v>
      </c>
      <c r="K110" t="str">
        <f t="shared" si="39"/>
        <v>Pass</v>
      </c>
      <c r="L110" s="15">
        <f t="shared" si="40"/>
        <v>0</v>
      </c>
      <c r="M110" s="15">
        <f t="shared" si="41"/>
        <v>0</v>
      </c>
      <c r="Z110" s="15">
        <f t="shared" si="42"/>
        <v>1</v>
      </c>
      <c r="AA110" s="15">
        <f t="shared" si="43"/>
        <v>1</v>
      </c>
      <c r="AB110" s="15">
        <f t="shared" si="44"/>
        <v>1</v>
      </c>
      <c r="AC110" s="15">
        <f t="shared" si="45"/>
        <v>1</v>
      </c>
      <c r="AD110" s="15">
        <f t="shared" si="46"/>
        <v>1</v>
      </c>
      <c r="AE110" s="15">
        <f t="shared" si="47"/>
        <v>1</v>
      </c>
      <c r="AF110" s="15">
        <f t="shared" si="48"/>
        <v>1</v>
      </c>
      <c r="AG110" s="15">
        <f t="shared" si="49"/>
        <v>1</v>
      </c>
      <c r="AH110" s="15">
        <f t="shared" si="50"/>
        <v>1</v>
      </c>
      <c r="AI110" s="15">
        <f t="shared" si="51"/>
        <v>1</v>
      </c>
      <c r="AJ110" s="15">
        <f t="shared" si="52"/>
        <v>1</v>
      </c>
      <c r="AK110" s="15">
        <f t="shared" si="53"/>
        <v>1</v>
      </c>
      <c r="AL110" s="15">
        <f t="shared" si="54"/>
        <v>1</v>
      </c>
      <c r="AM110" s="15">
        <f t="shared" si="55"/>
        <v>1</v>
      </c>
      <c r="AN110" s="15">
        <f t="shared" si="56"/>
        <v>1</v>
      </c>
      <c r="AO110" s="15">
        <f t="shared" si="57"/>
        <v>1</v>
      </c>
      <c r="AP110" s="15">
        <f t="shared" si="58"/>
        <v>1</v>
      </c>
      <c r="AQ110" s="15">
        <f t="shared" si="59"/>
        <v>1</v>
      </c>
      <c r="AR110" s="15">
        <f t="shared" si="60"/>
        <v>1</v>
      </c>
      <c r="AS110" s="15">
        <f t="shared" si="61"/>
        <v>1</v>
      </c>
      <c r="AT110" s="15">
        <f t="shared" si="62"/>
        <v>1</v>
      </c>
      <c r="AU110" s="15">
        <f t="shared" si="63"/>
        <v>1</v>
      </c>
      <c r="AV110" s="15">
        <f t="shared" si="64"/>
        <v>1</v>
      </c>
      <c r="AW110" s="15">
        <f t="shared" si="65"/>
        <v>1</v>
      </c>
      <c r="AX110" s="15">
        <f t="shared" si="66"/>
        <v>1</v>
      </c>
      <c r="AY110" s="15">
        <f t="shared" si="67"/>
        <v>1</v>
      </c>
      <c r="AZ110" s="15">
        <f t="shared" si="68"/>
        <v>1</v>
      </c>
      <c r="BA110" s="15">
        <f t="shared" si="69"/>
        <v>1</v>
      </c>
      <c r="BB110" s="15">
        <f t="shared" si="70"/>
        <v>0</v>
      </c>
      <c r="BC110" s="15" t="str">
        <f t="shared" si="71"/>
        <v/>
      </c>
      <c r="BD110" s="15" t="str">
        <f t="shared" si="72"/>
        <v/>
      </c>
      <c r="BE110" s="11" t="e">
        <f t="shared" si="73"/>
        <v>#VALUE!</v>
      </c>
      <c r="BF110" s="11" t="e">
        <f t="shared" si="74"/>
        <v>#VALUE!</v>
      </c>
      <c r="BG110" s="11" t="e">
        <f t="shared" si="75"/>
        <v>#VALUE!</v>
      </c>
      <c r="BH110" t="str">
        <f t="shared" si="76"/>
        <v/>
      </c>
      <c r="BI110" t="str" cm="1">
        <f t="array" ref="BI110">_xlfn.IFS(
  L110&gt;0,"Critical Fail",
  M110&gt;0,"Important (Coaching)",
  TRUE,"Clean Pass"
)</f>
        <v>Clean Pass</v>
      </c>
      <c r="BJ110" t="str">
        <f t="shared" si="77"/>
        <v>NA</v>
      </c>
    </row>
    <row r="111" spans="1:62" x14ac:dyDescent="0.3">
      <c r="A111">
        <v>222005</v>
      </c>
      <c r="K111" t="str">
        <f t="shared" si="39"/>
        <v>Pass</v>
      </c>
      <c r="L111" s="15">
        <f t="shared" si="40"/>
        <v>0</v>
      </c>
      <c r="M111" s="15">
        <f t="shared" si="41"/>
        <v>0</v>
      </c>
      <c r="Z111" s="15">
        <f t="shared" si="42"/>
        <v>1</v>
      </c>
      <c r="AA111" s="15">
        <f t="shared" si="43"/>
        <v>1</v>
      </c>
      <c r="AB111" s="15">
        <f t="shared" si="44"/>
        <v>1</v>
      </c>
      <c r="AC111" s="15">
        <f t="shared" si="45"/>
        <v>1</v>
      </c>
      <c r="AD111" s="15">
        <f t="shared" si="46"/>
        <v>1</v>
      </c>
      <c r="AE111" s="15">
        <f t="shared" si="47"/>
        <v>1</v>
      </c>
      <c r="AF111" s="15">
        <f t="shared" si="48"/>
        <v>1</v>
      </c>
      <c r="AG111" s="15">
        <f t="shared" si="49"/>
        <v>1</v>
      </c>
      <c r="AH111" s="15">
        <f t="shared" si="50"/>
        <v>1</v>
      </c>
      <c r="AI111" s="15">
        <f t="shared" si="51"/>
        <v>1</v>
      </c>
      <c r="AJ111" s="15">
        <f t="shared" si="52"/>
        <v>1</v>
      </c>
      <c r="AK111" s="15">
        <f t="shared" si="53"/>
        <v>1</v>
      </c>
      <c r="AL111" s="15">
        <f t="shared" si="54"/>
        <v>1</v>
      </c>
      <c r="AM111" s="15">
        <f t="shared" si="55"/>
        <v>1</v>
      </c>
      <c r="AN111" s="15">
        <f t="shared" si="56"/>
        <v>1</v>
      </c>
      <c r="AO111" s="15">
        <f t="shared" si="57"/>
        <v>1</v>
      </c>
      <c r="AP111" s="15">
        <f t="shared" si="58"/>
        <v>1</v>
      </c>
      <c r="AQ111" s="15">
        <f t="shared" si="59"/>
        <v>1</v>
      </c>
      <c r="AR111" s="15">
        <f t="shared" si="60"/>
        <v>1</v>
      </c>
      <c r="AS111" s="15">
        <f t="shared" si="61"/>
        <v>1</v>
      </c>
      <c r="AT111" s="15">
        <f t="shared" si="62"/>
        <v>1</v>
      </c>
      <c r="AU111" s="15">
        <f t="shared" si="63"/>
        <v>1</v>
      </c>
      <c r="AV111" s="15">
        <f t="shared" si="64"/>
        <v>1</v>
      </c>
      <c r="AW111" s="15">
        <f t="shared" si="65"/>
        <v>1</v>
      </c>
      <c r="AX111" s="15">
        <f t="shared" si="66"/>
        <v>1</v>
      </c>
      <c r="AY111" s="15">
        <f t="shared" si="67"/>
        <v>1</v>
      </c>
      <c r="AZ111" s="15">
        <f t="shared" si="68"/>
        <v>1</v>
      </c>
      <c r="BA111" s="15">
        <f t="shared" si="69"/>
        <v>1</v>
      </c>
      <c r="BB111" s="15">
        <f t="shared" si="70"/>
        <v>0</v>
      </c>
      <c r="BC111" s="15" t="str">
        <f t="shared" si="71"/>
        <v/>
      </c>
      <c r="BD111" s="15" t="str">
        <f t="shared" si="72"/>
        <v/>
      </c>
      <c r="BE111" s="11" t="e">
        <f t="shared" si="73"/>
        <v>#VALUE!</v>
      </c>
      <c r="BF111" s="11" t="e">
        <f t="shared" si="74"/>
        <v>#VALUE!</v>
      </c>
      <c r="BG111" s="11" t="e">
        <f t="shared" si="75"/>
        <v>#VALUE!</v>
      </c>
      <c r="BH111" t="str">
        <f t="shared" si="76"/>
        <v/>
      </c>
      <c r="BI111" t="str" cm="1">
        <f t="array" ref="BI111">_xlfn.IFS(
  L111&gt;0,"Critical Fail",
  M111&gt;0,"Important (Coaching)",
  TRUE,"Clean Pass"
)</f>
        <v>Clean Pass</v>
      </c>
      <c r="BJ111" t="str">
        <f t="shared" si="77"/>
        <v>NA</v>
      </c>
    </row>
    <row r="112" spans="1:62" x14ac:dyDescent="0.3">
      <c r="A112">
        <v>404636</v>
      </c>
      <c r="K112" t="str">
        <f t="shared" si="39"/>
        <v>Pass</v>
      </c>
      <c r="L112" s="15">
        <f t="shared" si="40"/>
        <v>0</v>
      </c>
      <c r="M112" s="15">
        <f t="shared" si="41"/>
        <v>0</v>
      </c>
      <c r="Z112" s="15">
        <f t="shared" si="42"/>
        <v>1</v>
      </c>
      <c r="AA112" s="15">
        <f t="shared" si="43"/>
        <v>1</v>
      </c>
      <c r="AB112" s="15">
        <f t="shared" si="44"/>
        <v>1</v>
      </c>
      <c r="AC112" s="15">
        <f t="shared" si="45"/>
        <v>1</v>
      </c>
      <c r="AD112" s="15">
        <f t="shared" si="46"/>
        <v>1</v>
      </c>
      <c r="AE112" s="15">
        <f t="shared" si="47"/>
        <v>1</v>
      </c>
      <c r="AF112" s="15">
        <f t="shared" si="48"/>
        <v>1</v>
      </c>
      <c r="AG112" s="15">
        <f t="shared" si="49"/>
        <v>1</v>
      </c>
      <c r="AH112" s="15">
        <f t="shared" si="50"/>
        <v>1</v>
      </c>
      <c r="AI112" s="15">
        <f t="shared" si="51"/>
        <v>1</v>
      </c>
      <c r="AJ112" s="15">
        <f t="shared" si="52"/>
        <v>1</v>
      </c>
      <c r="AK112" s="15">
        <f t="shared" si="53"/>
        <v>1</v>
      </c>
      <c r="AL112" s="15">
        <f t="shared" si="54"/>
        <v>1</v>
      </c>
      <c r="AM112" s="15">
        <f t="shared" si="55"/>
        <v>1</v>
      </c>
      <c r="AN112" s="15">
        <f t="shared" si="56"/>
        <v>1</v>
      </c>
      <c r="AO112" s="15">
        <f t="shared" si="57"/>
        <v>1</v>
      </c>
      <c r="AP112" s="15">
        <f t="shared" si="58"/>
        <v>1</v>
      </c>
      <c r="AQ112" s="15">
        <f t="shared" si="59"/>
        <v>1</v>
      </c>
      <c r="AR112" s="15">
        <f t="shared" si="60"/>
        <v>1</v>
      </c>
      <c r="AS112" s="15">
        <f t="shared" si="61"/>
        <v>1</v>
      </c>
      <c r="AT112" s="15">
        <f t="shared" si="62"/>
        <v>1</v>
      </c>
      <c r="AU112" s="15">
        <f t="shared" si="63"/>
        <v>1</v>
      </c>
      <c r="AV112" s="15">
        <f t="shared" si="64"/>
        <v>1</v>
      </c>
      <c r="AW112" s="15">
        <f t="shared" si="65"/>
        <v>1</v>
      </c>
      <c r="AX112" s="15">
        <f t="shared" si="66"/>
        <v>1</v>
      </c>
      <c r="AY112" s="15">
        <f t="shared" si="67"/>
        <v>1</v>
      </c>
      <c r="AZ112" s="15">
        <f t="shared" si="68"/>
        <v>1</v>
      </c>
      <c r="BA112" s="15">
        <f t="shared" si="69"/>
        <v>1</v>
      </c>
      <c r="BB112" s="15">
        <f t="shared" si="70"/>
        <v>0</v>
      </c>
      <c r="BC112" s="15" t="str">
        <f t="shared" si="71"/>
        <v/>
      </c>
      <c r="BD112" s="15" t="str">
        <f t="shared" si="72"/>
        <v/>
      </c>
      <c r="BE112" s="11" t="e">
        <f t="shared" si="73"/>
        <v>#VALUE!</v>
      </c>
      <c r="BF112" s="11" t="e">
        <f t="shared" si="74"/>
        <v>#VALUE!</v>
      </c>
      <c r="BG112" s="11" t="e">
        <f t="shared" si="75"/>
        <v>#VALUE!</v>
      </c>
      <c r="BH112" t="str">
        <f t="shared" si="76"/>
        <v/>
      </c>
      <c r="BI112" t="str" cm="1">
        <f t="array" ref="BI112">_xlfn.IFS(
  L112&gt;0,"Critical Fail",
  M112&gt;0,"Important (Coaching)",
  TRUE,"Clean Pass"
)</f>
        <v>Clean Pass</v>
      </c>
      <c r="BJ112" t="str">
        <f t="shared" si="77"/>
        <v>NA</v>
      </c>
    </row>
    <row r="113" spans="1:62" x14ac:dyDescent="0.3">
      <c r="A113">
        <v>762333</v>
      </c>
      <c r="K113" t="str">
        <f t="shared" si="39"/>
        <v>Pass</v>
      </c>
      <c r="L113" s="15">
        <f t="shared" si="40"/>
        <v>0</v>
      </c>
      <c r="M113" s="15">
        <f t="shared" si="41"/>
        <v>0</v>
      </c>
      <c r="Z113" s="15">
        <f t="shared" si="42"/>
        <v>1</v>
      </c>
      <c r="AA113" s="15">
        <f t="shared" si="43"/>
        <v>1</v>
      </c>
      <c r="AB113" s="15">
        <f t="shared" si="44"/>
        <v>1</v>
      </c>
      <c r="AC113" s="15">
        <f t="shared" si="45"/>
        <v>1</v>
      </c>
      <c r="AD113" s="15">
        <f t="shared" si="46"/>
        <v>1</v>
      </c>
      <c r="AE113" s="15">
        <f t="shared" si="47"/>
        <v>1</v>
      </c>
      <c r="AF113" s="15">
        <f t="shared" si="48"/>
        <v>1</v>
      </c>
      <c r="AG113" s="15">
        <f t="shared" si="49"/>
        <v>1</v>
      </c>
      <c r="AH113" s="15">
        <f t="shared" si="50"/>
        <v>1</v>
      </c>
      <c r="AI113" s="15">
        <f t="shared" si="51"/>
        <v>1</v>
      </c>
      <c r="AJ113" s="15">
        <f t="shared" si="52"/>
        <v>1</v>
      </c>
      <c r="AK113" s="15">
        <f t="shared" si="53"/>
        <v>1</v>
      </c>
      <c r="AL113" s="15">
        <f t="shared" si="54"/>
        <v>1</v>
      </c>
      <c r="AM113" s="15">
        <f t="shared" si="55"/>
        <v>1</v>
      </c>
      <c r="AN113" s="15">
        <f t="shared" si="56"/>
        <v>1</v>
      </c>
      <c r="AO113" s="15">
        <f t="shared" si="57"/>
        <v>1</v>
      </c>
      <c r="AP113" s="15">
        <f t="shared" si="58"/>
        <v>1</v>
      </c>
      <c r="AQ113" s="15">
        <f t="shared" si="59"/>
        <v>1</v>
      </c>
      <c r="AR113" s="15">
        <f t="shared" si="60"/>
        <v>1</v>
      </c>
      <c r="AS113" s="15">
        <f t="shared" si="61"/>
        <v>1</v>
      </c>
      <c r="AT113" s="15">
        <f t="shared" si="62"/>
        <v>1</v>
      </c>
      <c r="AU113" s="15">
        <f t="shared" si="63"/>
        <v>1</v>
      </c>
      <c r="AV113" s="15">
        <f t="shared" si="64"/>
        <v>1</v>
      </c>
      <c r="AW113" s="15">
        <f t="shared" si="65"/>
        <v>1</v>
      </c>
      <c r="AX113" s="15">
        <f t="shared" si="66"/>
        <v>1</v>
      </c>
      <c r="AY113" s="15">
        <f t="shared" si="67"/>
        <v>1</v>
      </c>
      <c r="AZ113" s="15">
        <f t="shared" si="68"/>
        <v>1</v>
      </c>
      <c r="BA113" s="15">
        <f t="shared" si="69"/>
        <v>1</v>
      </c>
      <c r="BB113" s="15">
        <f t="shared" si="70"/>
        <v>0</v>
      </c>
      <c r="BC113" s="15" t="str">
        <f t="shared" si="71"/>
        <v/>
      </c>
      <c r="BD113" s="15" t="str">
        <f t="shared" si="72"/>
        <v/>
      </c>
      <c r="BE113" s="11" t="e">
        <f t="shared" si="73"/>
        <v>#VALUE!</v>
      </c>
      <c r="BF113" s="11" t="e">
        <f t="shared" si="74"/>
        <v>#VALUE!</v>
      </c>
      <c r="BG113" s="11" t="e">
        <f t="shared" si="75"/>
        <v>#VALUE!</v>
      </c>
      <c r="BH113" t="str">
        <f t="shared" si="76"/>
        <v/>
      </c>
      <c r="BI113" t="str" cm="1">
        <f t="array" ref="BI113">_xlfn.IFS(
  L113&gt;0,"Critical Fail",
  M113&gt;0,"Important (Coaching)",
  TRUE,"Clean Pass"
)</f>
        <v>Clean Pass</v>
      </c>
      <c r="BJ113" t="str">
        <f t="shared" si="77"/>
        <v>NA</v>
      </c>
    </row>
    <row r="114" spans="1:62" x14ac:dyDescent="0.3">
      <c r="A114">
        <v>958491</v>
      </c>
      <c r="K114" t="str">
        <f t="shared" si="39"/>
        <v>Pass</v>
      </c>
      <c r="L114" s="15">
        <f t="shared" si="40"/>
        <v>0</v>
      </c>
      <c r="M114" s="15">
        <f t="shared" si="41"/>
        <v>0</v>
      </c>
      <c r="Z114" s="15">
        <f t="shared" si="42"/>
        <v>1</v>
      </c>
      <c r="AA114" s="15">
        <f t="shared" si="43"/>
        <v>1</v>
      </c>
      <c r="AB114" s="15">
        <f t="shared" si="44"/>
        <v>1</v>
      </c>
      <c r="AC114" s="15">
        <f t="shared" si="45"/>
        <v>1</v>
      </c>
      <c r="AD114" s="15">
        <f t="shared" si="46"/>
        <v>1</v>
      </c>
      <c r="AE114" s="15">
        <f t="shared" si="47"/>
        <v>1</v>
      </c>
      <c r="AF114" s="15">
        <f t="shared" si="48"/>
        <v>1</v>
      </c>
      <c r="AG114" s="15">
        <f t="shared" si="49"/>
        <v>1</v>
      </c>
      <c r="AH114" s="15">
        <f t="shared" si="50"/>
        <v>1</v>
      </c>
      <c r="AI114" s="15">
        <f t="shared" si="51"/>
        <v>1</v>
      </c>
      <c r="AJ114" s="15">
        <f t="shared" si="52"/>
        <v>1</v>
      </c>
      <c r="AK114" s="15">
        <f t="shared" si="53"/>
        <v>1</v>
      </c>
      <c r="AL114" s="15">
        <f t="shared" si="54"/>
        <v>1</v>
      </c>
      <c r="AM114" s="15">
        <f t="shared" si="55"/>
        <v>1</v>
      </c>
      <c r="AN114" s="15">
        <f t="shared" si="56"/>
        <v>1</v>
      </c>
      <c r="AO114" s="15">
        <f t="shared" si="57"/>
        <v>1</v>
      </c>
      <c r="AP114" s="15">
        <f t="shared" si="58"/>
        <v>1</v>
      </c>
      <c r="AQ114" s="15">
        <f t="shared" si="59"/>
        <v>1</v>
      </c>
      <c r="AR114" s="15">
        <f t="shared" si="60"/>
        <v>1</v>
      </c>
      <c r="AS114" s="15">
        <f t="shared" si="61"/>
        <v>1</v>
      </c>
      <c r="AT114" s="15">
        <f t="shared" si="62"/>
        <v>1</v>
      </c>
      <c r="AU114" s="15">
        <f t="shared" si="63"/>
        <v>1</v>
      </c>
      <c r="AV114" s="15">
        <f t="shared" si="64"/>
        <v>1</v>
      </c>
      <c r="AW114" s="15">
        <f t="shared" si="65"/>
        <v>1</v>
      </c>
      <c r="AX114" s="15">
        <f t="shared" si="66"/>
        <v>1</v>
      </c>
      <c r="AY114" s="15">
        <f t="shared" si="67"/>
        <v>1</v>
      </c>
      <c r="AZ114" s="15">
        <f t="shared" si="68"/>
        <v>1</v>
      </c>
      <c r="BA114" s="15">
        <f t="shared" si="69"/>
        <v>1</v>
      </c>
      <c r="BB114" s="15">
        <f t="shared" si="70"/>
        <v>0</v>
      </c>
      <c r="BC114" s="15" t="str">
        <f t="shared" si="71"/>
        <v/>
      </c>
      <c r="BD114" s="15" t="str">
        <f t="shared" si="72"/>
        <v/>
      </c>
      <c r="BE114" s="11" t="e">
        <f t="shared" si="73"/>
        <v>#VALUE!</v>
      </c>
      <c r="BF114" s="11" t="e">
        <f t="shared" si="74"/>
        <v>#VALUE!</v>
      </c>
      <c r="BG114" s="11" t="e">
        <f t="shared" si="75"/>
        <v>#VALUE!</v>
      </c>
      <c r="BH114" t="str">
        <f t="shared" si="76"/>
        <v/>
      </c>
      <c r="BI114" t="str" cm="1">
        <f t="array" ref="BI114">_xlfn.IFS(
  L114&gt;0,"Critical Fail",
  M114&gt;0,"Important (Coaching)",
  TRUE,"Clean Pass"
)</f>
        <v>Clean Pass</v>
      </c>
      <c r="BJ114" t="str">
        <f t="shared" si="77"/>
        <v>NA</v>
      </c>
    </row>
    <row r="115" spans="1:62" x14ac:dyDescent="0.3">
      <c r="A115">
        <v>720227</v>
      </c>
      <c r="K115" t="str">
        <f t="shared" si="39"/>
        <v>Pass</v>
      </c>
      <c r="L115" s="15">
        <f t="shared" si="40"/>
        <v>0</v>
      </c>
      <c r="M115" s="15">
        <f t="shared" si="41"/>
        <v>0</v>
      </c>
      <c r="Z115" s="15">
        <f t="shared" si="42"/>
        <v>1</v>
      </c>
      <c r="AA115" s="15">
        <f t="shared" si="43"/>
        <v>1</v>
      </c>
      <c r="AB115" s="15">
        <f t="shared" si="44"/>
        <v>1</v>
      </c>
      <c r="AC115" s="15">
        <f t="shared" si="45"/>
        <v>1</v>
      </c>
      <c r="AD115" s="15">
        <f t="shared" si="46"/>
        <v>1</v>
      </c>
      <c r="AE115" s="15">
        <f t="shared" si="47"/>
        <v>1</v>
      </c>
      <c r="AF115" s="15">
        <f t="shared" si="48"/>
        <v>1</v>
      </c>
      <c r="AG115" s="15">
        <f t="shared" si="49"/>
        <v>1</v>
      </c>
      <c r="AH115" s="15">
        <f t="shared" si="50"/>
        <v>1</v>
      </c>
      <c r="AI115" s="15">
        <f t="shared" si="51"/>
        <v>1</v>
      </c>
      <c r="AJ115" s="15">
        <f t="shared" si="52"/>
        <v>1</v>
      </c>
      <c r="AK115" s="15">
        <f t="shared" si="53"/>
        <v>1</v>
      </c>
      <c r="AL115" s="15">
        <f t="shared" si="54"/>
        <v>1</v>
      </c>
      <c r="AM115" s="15">
        <f t="shared" si="55"/>
        <v>1</v>
      </c>
      <c r="AN115" s="15">
        <f t="shared" si="56"/>
        <v>1</v>
      </c>
      <c r="AO115" s="15">
        <f t="shared" si="57"/>
        <v>1</v>
      </c>
      <c r="AP115" s="15">
        <f t="shared" si="58"/>
        <v>1</v>
      </c>
      <c r="AQ115" s="15">
        <f t="shared" si="59"/>
        <v>1</v>
      </c>
      <c r="AR115" s="15">
        <f t="shared" si="60"/>
        <v>1</v>
      </c>
      <c r="AS115" s="15">
        <f t="shared" si="61"/>
        <v>1</v>
      </c>
      <c r="AT115" s="15">
        <f t="shared" si="62"/>
        <v>1</v>
      </c>
      <c r="AU115" s="15">
        <f t="shared" si="63"/>
        <v>1</v>
      </c>
      <c r="AV115" s="15">
        <f t="shared" si="64"/>
        <v>1</v>
      </c>
      <c r="AW115" s="15">
        <f t="shared" si="65"/>
        <v>1</v>
      </c>
      <c r="AX115" s="15">
        <f t="shared" si="66"/>
        <v>1</v>
      </c>
      <c r="AY115" s="15">
        <f t="shared" si="67"/>
        <v>1</v>
      </c>
      <c r="AZ115" s="15">
        <f t="shared" si="68"/>
        <v>1</v>
      </c>
      <c r="BA115" s="15">
        <f t="shared" si="69"/>
        <v>1</v>
      </c>
      <c r="BB115" s="15">
        <f t="shared" si="70"/>
        <v>0</v>
      </c>
      <c r="BC115" s="15" t="str">
        <f t="shared" si="71"/>
        <v/>
      </c>
      <c r="BD115" s="15" t="str">
        <f t="shared" si="72"/>
        <v/>
      </c>
      <c r="BE115" s="11" t="e">
        <f t="shared" si="73"/>
        <v>#VALUE!</v>
      </c>
      <c r="BF115" s="11" t="e">
        <f t="shared" si="74"/>
        <v>#VALUE!</v>
      </c>
      <c r="BG115" s="11" t="e">
        <f t="shared" si="75"/>
        <v>#VALUE!</v>
      </c>
      <c r="BH115" t="str">
        <f t="shared" si="76"/>
        <v/>
      </c>
      <c r="BI115" t="str" cm="1">
        <f t="array" ref="BI115">_xlfn.IFS(
  L115&gt;0,"Critical Fail",
  M115&gt;0,"Important (Coaching)",
  TRUE,"Clean Pass"
)</f>
        <v>Clean Pass</v>
      </c>
      <c r="BJ115" t="str">
        <f t="shared" si="77"/>
        <v>NA</v>
      </c>
    </row>
    <row r="116" spans="1:62" x14ac:dyDescent="0.3">
      <c r="A116">
        <v>767787</v>
      </c>
      <c r="K116" t="str">
        <f t="shared" si="39"/>
        <v>Pass</v>
      </c>
      <c r="L116" s="15">
        <f t="shared" si="40"/>
        <v>0</v>
      </c>
      <c r="M116" s="15">
        <f t="shared" si="41"/>
        <v>0</v>
      </c>
      <c r="Z116" s="15">
        <f t="shared" si="42"/>
        <v>1</v>
      </c>
      <c r="AA116" s="15">
        <f t="shared" si="43"/>
        <v>1</v>
      </c>
      <c r="AB116" s="15">
        <f t="shared" si="44"/>
        <v>1</v>
      </c>
      <c r="AC116" s="15">
        <f t="shared" si="45"/>
        <v>1</v>
      </c>
      <c r="AD116" s="15">
        <f t="shared" si="46"/>
        <v>1</v>
      </c>
      <c r="AE116" s="15">
        <f t="shared" si="47"/>
        <v>1</v>
      </c>
      <c r="AF116" s="15">
        <f t="shared" si="48"/>
        <v>1</v>
      </c>
      <c r="AG116" s="15">
        <f t="shared" si="49"/>
        <v>1</v>
      </c>
      <c r="AH116" s="15">
        <f t="shared" si="50"/>
        <v>1</v>
      </c>
      <c r="AI116" s="15">
        <f t="shared" si="51"/>
        <v>1</v>
      </c>
      <c r="AJ116" s="15">
        <f t="shared" si="52"/>
        <v>1</v>
      </c>
      <c r="AK116" s="15">
        <f t="shared" si="53"/>
        <v>1</v>
      </c>
      <c r="AL116" s="15">
        <f t="shared" si="54"/>
        <v>1</v>
      </c>
      <c r="AM116" s="15">
        <f t="shared" si="55"/>
        <v>1</v>
      </c>
      <c r="AN116" s="15">
        <f t="shared" si="56"/>
        <v>1</v>
      </c>
      <c r="AO116" s="15">
        <f t="shared" si="57"/>
        <v>1</v>
      </c>
      <c r="AP116" s="15">
        <f t="shared" si="58"/>
        <v>1</v>
      </c>
      <c r="AQ116" s="15">
        <f t="shared" si="59"/>
        <v>1</v>
      </c>
      <c r="AR116" s="15">
        <f t="shared" si="60"/>
        <v>1</v>
      </c>
      <c r="AS116" s="15">
        <f t="shared" si="61"/>
        <v>1</v>
      </c>
      <c r="AT116" s="15">
        <f t="shared" si="62"/>
        <v>1</v>
      </c>
      <c r="AU116" s="15">
        <f t="shared" si="63"/>
        <v>1</v>
      </c>
      <c r="AV116" s="15">
        <f t="shared" si="64"/>
        <v>1</v>
      </c>
      <c r="AW116" s="15">
        <f t="shared" si="65"/>
        <v>1</v>
      </c>
      <c r="AX116" s="15">
        <f t="shared" si="66"/>
        <v>1</v>
      </c>
      <c r="AY116" s="15">
        <f t="shared" si="67"/>
        <v>1</v>
      </c>
      <c r="AZ116" s="15">
        <f t="shared" si="68"/>
        <v>1</v>
      </c>
      <c r="BA116" s="15">
        <f t="shared" si="69"/>
        <v>1</v>
      </c>
      <c r="BB116" s="15">
        <f t="shared" si="70"/>
        <v>0</v>
      </c>
      <c r="BC116" s="15" t="str">
        <f t="shared" si="71"/>
        <v/>
      </c>
      <c r="BD116" s="15" t="str">
        <f t="shared" si="72"/>
        <v/>
      </c>
      <c r="BE116" s="11" t="e">
        <f t="shared" si="73"/>
        <v>#VALUE!</v>
      </c>
      <c r="BF116" s="11" t="e">
        <f t="shared" si="74"/>
        <v>#VALUE!</v>
      </c>
      <c r="BG116" s="11" t="e">
        <f t="shared" si="75"/>
        <v>#VALUE!</v>
      </c>
      <c r="BH116" t="str">
        <f t="shared" si="76"/>
        <v/>
      </c>
      <c r="BI116" t="str" cm="1">
        <f t="array" ref="BI116">_xlfn.IFS(
  L116&gt;0,"Critical Fail",
  M116&gt;0,"Important (Coaching)",
  TRUE,"Clean Pass"
)</f>
        <v>Clean Pass</v>
      </c>
      <c r="BJ116" t="str">
        <f t="shared" si="77"/>
        <v>NA</v>
      </c>
    </row>
    <row r="117" spans="1:62" x14ac:dyDescent="0.3">
      <c r="A117">
        <v>359543</v>
      </c>
      <c r="K117" t="str">
        <f t="shared" si="39"/>
        <v>Pass</v>
      </c>
      <c r="L117" s="15">
        <f t="shared" si="40"/>
        <v>0</v>
      </c>
      <c r="M117" s="15">
        <f t="shared" si="41"/>
        <v>0</v>
      </c>
      <c r="Z117" s="15">
        <f t="shared" si="42"/>
        <v>1</v>
      </c>
      <c r="AA117" s="15">
        <f t="shared" si="43"/>
        <v>1</v>
      </c>
      <c r="AB117" s="15">
        <f t="shared" si="44"/>
        <v>1</v>
      </c>
      <c r="AC117" s="15">
        <f t="shared" si="45"/>
        <v>1</v>
      </c>
      <c r="AD117" s="15">
        <f t="shared" si="46"/>
        <v>1</v>
      </c>
      <c r="AE117" s="15">
        <f t="shared" si="47"/>
        <v>1</v>
      </c>
      <c r="AF117" s="15">
        <f t="shared" si="48"/>
        <v>1</v>
      </c>
      <c r="AG117" s="15">
        <f t="shared" si="49"/>
        <v>1</v>
      </c>
      <c r="AH117" s="15">
        <f t="shared" si="50"/>
        <v>1</v>
      </c>
      <c r="AI117" s="15">
        <f t="shared" si="51"/>
        <v>1</v>
      </c>
      <c r="AJ117" s="15">
        <f t="shared" si="52"/>
        <v>1</v>
      </c>
      <c r="AK117" s="15">
        <f t="shared" si="53"/>
        <v>1</v>
      </c>
      <c r="AL117" s="15">
        <f t="shared" si="54"/>
        <v>1</v>
      </c>
      <c r="AM117" s="15">
        <f t="shared" si="55"/>
        <v>1</v>
      </c>
      <c r="AN117" s="15">
        <f t="shared" si="56"/>
        <v>1</v>
      </c>
      <c r="AO117" s="15">
        <f t="shared" si="57"/>
        <v>1</v>
      </c>
      <c r="AP117" s="15">
        <f t="shared" si="58"/>
        <v>1</v>
      </c>
      <c r="AQ117" s="15">
        <f t="shared" si="59"/>
        <v>1</v>
      </c>
      <c r="AR117" s="15">
        <f t="shared" si="60"/>
        <v>1</v>
      </c>
      <c r="AS117" s="15">
        <f t="shared" si="61"/>
        <v>1</v>
      </c>
      <c r="AT117" s="15">
        <f t="shared" si="62"/>
        <v>1</v>
      </c>
      <c r="AU117" s="15">
        <f t="shared" si="63"/>
        <v>1</v>
      </c>
      <c r="AV117" s="15">
        <f t="shared" si="64"/>
        <v>1</v>
      </c>
      <c r="AW117" s="15">
        <f t="shared" si="65"/>
        <v>1</v>
      </c>
      <c r="AX117" s="15">
        <f t="shared" si="66"/>
        <v>1</v>
      </c>
      <c r="AY117" s="15">
        <f t="shared" si="67"/>
        <v>1</v>
      </c>
      <c r="AZ117" s="15">
        <f t="shared" si="68"/>
        <v>1</v>
      </c>
      <c r="BA117" s="15">
        <f t="shared" si="69"/>
        <v>1</v>
      </c>
      <c r="BB117" s="15">
        <f t="shared" si="70"/>
        <v>0</v>
      </c>
      <c r="BC117" s="15" t="str">
        <f t="shared" si="71"/>
        <v/>
      </c>
      <c r="BD117" s="15" t="str">
        <f t="shared" si="72"/>
        <v/>
      </c>
      <c r="BE117" s="11" t="e">
        <f t="shared" si="73"/>
        <v>#VALUE!</v>
      </c>
      <c r="BF117" s="11" t="e">
        <f t="shared" si="74"/>
        <v>#VALUE!</v>
      </c>
      <c r="BG117" s="11" t="e">
        <f t="shared" si="75"/>
        <v>#VALUE!</v>
      </c>
      <c r="BH117" t="str">
        <f t="shared" si="76"/>
        <v/>
      </c>
      <c r="BI117" t="str" cm="1">
        <f t="array" ref="BI117">_xlfn.IFS(
  L117&gt;0,"Critical Fail",
  M117&gt;0,"Important (Coaching)",
  TRUE,"Clean Pass"
)</f>
        <v>Clean Pass</v>
      </c>
      <c r="BJ117" t="str">
        <f t="shared" si="77"/>
        <v>NA</v>
      </c>
    </row>
    <row r="118" spans="1:62" x14ac:dyDescent="0.3">
      <c r="A118">
        <v>574034</v>
      </c>
      <c r="K118" t="str">
        <f t="shared" si="39"/>
        <v>Pass</v>
      </c>
      <c r="L118" s="15">
        <f t="shared" si="40"/>
        <v>0</v>
      </c>
      <c r="M118" s="15">
        <f t="shared" si="41"/>
        <v>0</v>
      </c>
      <c r="Z118" s="15">
        <f t="shared" si="42"/>
        <v>1</v>
      </c>
      <c r="AA118" s="15">
        <f t="shared" si="43"/>
        <v>1</v>
      </c>
      <c r="AB118" s="15">
        <f t="shared" si="44"/>
        <v>1</v>
      </c>
      <c r="AC118" s="15">
        <f t="shared" si="45"/>
        <v>1</v>
      </c>
      <c r="AD118" s="15">
        <f t="shared" si="46"/>
        <v>1</v>
      </c>
      <c r="AE118" s="15">
        <f t="shared" si="47"/>
        <v>1</v>
      </c>
      <c r="AF118" s="15">
        <f t="shared" si="48"/>
        <v>1</v>
      </c>
      <c r="AG118" s="15">
        <f t="shared" si="49"/>
        <v>1</v>
      </c>
      <c r="AH118" s="15">
        <f t="shared" si="50"/>
        <v>1</v>
      </c>
      <c r="AI118" s="15">
        <f t="shared" si="51"/>
        <v>1</v>
      </c>
      <c r="AJ118" s="15">
        <f t="shared" si="52"/>
        <v>1</v>
      </c>
      <c r="AK118" s="15">
        <f t="shared" si="53"/>
        <v>1</v>
      </c>
      <c r="AL118" s="15">
        <f t="shared" si="54"/>
        <v>1</v>
      </c>
      <c r="AM118" s="15">
        <f t="shared" si="55"/>
        <v>1</v>
      </c>
      <c r="AN118" s="15">
        <f t="shared" si="56"/>
        <v>1</v>
      </c>
      <c r="AO118" s="15">
        <f t="shared" si="57"/>
        <v>1</v>
      </c>
      <c r="AP118" s="15">
        <f t="shared" si="58"/>
        <v>1</v>
      </c>
      <c r="AQ118" s="15">
        <f t="shared" si="59"/>
        <v>1</v>
      </c>
      <c r="AR118" s="15">
        <f t="shared" si="60"/>
        <v>1</v>
      </c>
      <c r="AS118" s="15">
        <f t="shared" si="61"/>
        <v>1</v>
      </c>
      <c r="AT118" s="15">
        <f t="shared" si="62"/>
        <v>1</v>
      </c>
      <c r="AU118" s="15">
        <f t="shared" si="63"/>
        <v>1</v>
      </c>
      <c r="AV118" s="15">
        <f t="shared" si="64"/>
        <v>1</v>
      </c>
      <c r="AW118" s="15">
        <f t="shared" si="65"/>
        <v>1</v>
      </c>
      <c r="AX118" s="15">
        <f t="shared" si="66"/>
        <v>1</v>
      </c>
      <c r="AY118" s="15">
        <f t="shared" si="67"/>
        <v>1</v>
      </c>
      <c r="AZ118" s="15">
        <f t="shared" si="68"/>
        <v>1</v>
      </c>
      <c r="BA118" s="15">
        <f t="shared" si="69"/>
        <v>1</v>
      </c>
      <c r="BB118" s="15">
        <f t="shared" si="70"/>
        <v>0</v>
      </c>
      <c r="BC118" s="15" t="str">
        <f t="shared" si="71"/>
        <v/>
      </c>
      <c r="BD118" s="15" t="str">
        <f t="shared" si="72"/>
        <v/>
      </c>
      <c r="BE118" s="11" t="e">
        <f t="shared" si="73"/>
        <v>#VALUE!</v>
      </c>
      <c r="BF118" s="11" t="e">
        <f t="shared" si="74"/>
        <v>#VALUE!</v>
      </c>
      <c r="BG118" s="11" t="e">
        <f t="shared" si="75"/>
        <v>#VALUE!</v>
      </c>
      <c r="BH118" t="str">
        <f t="shared" si="76"/>
        <v/>
      </c>
      <c r="BI118" t="str" cm="1">
        <f t="array" ref="BI118">_xlfn.IFS(
  L118&gt;0,"Critical Fail",
  M118&gt;0,"Important (Coaching)",
  TRUE,"Clean Pass"
)</f>
        <v>Clean Pass</v>
      </c>
      <c r="BJ118" t="str">
        <f t="shared" si="77"/>
        <v>NA</v>
      </c>
    </row>
    <row r="119" spans="1:62" x14ac:dyDescent="0.3">
      <c r="A119">
        <v>818003</v>
      </c>
      <c r="K119" t="str">
        <f t="shared" si="39"/>
        <v>Pass</v>
      </c>
      <c r="L119" s="15">
        <f t="shared" si="40"/>
        <v>0</v>
      </c>
      <c r="M119" s="15">
        <f t="shared" si="41"/>
        <v>0</v>
      </c>
      <c r="Z119" s="15">
        <f t="shared" si="42"/>
        <v>1</v>
      </c>
      <c r="AA119" s="15">
        <f t="shared" si="43"/>
        <v>1</v>
      </c>
      <c r="AB119" s="15">
        <f t="shared" si="44"/>
        <v>1</v>
      </c>
      <c r="AC119" s="15">
        <f t="shared" si="45"/>
        <v>1</v>
      </c>
      <c r="AD119" s="15">
        <f t="shared" si="46"/>
        <v>1</v>
      </c>
      <c r="AE119" s="15">
        <f t="shared" si="47"/>
        <v>1</v>
      </c>
      <c r="AF119" s="15">
        <f t="shared" si="48"/>
        <v>1</v>
      </c>
      <c r="AG119" s="15">
        <f t="shared" si="49"/>
        <v>1</v>
      </c>
      <c r="AH119" s="15">
        <f t="shared" si="50"/>
        <v>1</v>
      </c>
      <c r="AI119" s="15">
        <f t="shared" si="51"/>
        <v>1</v>
      </c>
      <c r="AJ119" s="15">
        <f t="shared" si="52"/>
        <v>1</v>
      </c>
      <c r="AK119" s="15">
        <f t="shared" si="53"/>
        <v>1</v>
      </c>
      <c r="AL119" s="15">
        <f t="shared" si="54"/>
        <v>1</v>
      </c>
      <c r="AM119" s="15">
        <f t="shared" si="55"/>
        <v>1</v>
      </c>
      <c r="AN119" s="15">
        <f t="shared" si="56"/>
        <v>1</v>
      </c>
      <c r="AO119" s="15">
        <f t="shared" si="57"/>
        <v>1</v>
      </c>
      <c r="AP119" s="15">
        <f t="shared" si="58"/>
        <v>1</v>
      </c>
      <c r="AQ119" s="15">
        <f t="shared" si="59"/>
        <v>1</v>
      </c>
      <c r="AR119" s="15">
        <f t="shared" si="60"/>
        <v>1</v>
      </c>
      <c r="AS119" s="15">
        <f t="shared" si="61"/>
        <v>1</v>
      </c>
      <c r="AT119" s="15">
        <f t="shared" si="62"/>
        <v>1</v>
      </c>
      <c r="AU119" s="15">
        <f t="shared" si="63"/>
        <v>1</v>
      </c>
      <c r="AV119" s="15">
        <f t="shared" si="64"/>
        <v>1</v>
      </c>
      <c r="AW119" s="15">
        <f t="shared" si="65"/>
        <v>1</v>
      </c>
      <c r="AX119" s="15">
        <f t="shared" si="66"/>
        <v>1</v>
      </c>
      <c r="AY119" s="15">
        <f t="shared" si="67"/>
        <v>1</v>
      </c>
      <c r="AZ119" s="15">
        <f t="shared" si="68"/>
        <v>1</v>
      </c>
      <c r="BA119" s="15">
        <f t="shared" si="69"/>
        <v>1</v>
      </c>
      <c r="BB119" s="15">
        <f t="shared" si="70"/>
        <v>0</v>
      </c>
      <c r="BC119" s="15" t="str">
        <f t="shared" si="71"/>
        <v/>
      </c>
      <c r="BD119" s="15" t="str">
        <f t="shared" si="72"/>
        <v/>
      </c>
      <c r="BE119" s="11" t="e">
        <f t="shared" si="73"/>
        <v>#VALUE!</v>
      </c>
      <c r="BF119" s="11" t="e">
        <f t="shared" si="74"/>
        <v>#VALUE!</v>
      </c>
      <c r="BG119" s="11" t="e">
        <f t="shared" si="75"/>
        <v>#VALUE!</v>
      </c>
      <c r="BH119" t="str">
        <f t="shared" si="76"/>
        <v/>
      </c>
      <c r="BI119" t="str" cm="1">
        <f t="array" ref="BI119">_xlfn.IFS(
  L119&gt;0,"Critical Fail",
  M119&gt;0,"Important (Coaching)",
  TRUE,"Clean Pass"
)</f>
        <v>Clean Pass</v>
      </c>
      <c r="BJ119" t="str">
        <f t="shared" si="77"/>
        <v>NA</v>
      </c>
    </row>
    <row r="120" spans="1:62" x14ac:dyDescent="0.3">
      <c r="A120">
        <v>193989</v>
      </c>
      <c r="K120" t="str">
        <f t="shared" si="39"/>
        <v>Pass</v>
      </c>
      <c r="L120" s="15">
        <f t="shared" si="40"/>
        <v>0</v>
      </c>
      <c r="M120" s="15">
        <f t="shared" si="41"/>
        <v>0</v>
      </c>
      <c r="Z120" s="15">
        <f t="shared" si="42"/>
        <v>1</v>
      </c>
      <c r="AA120" s="15">
        <f t="shared" si="43"/>
        <v>1</v>
      </c>
      <c r="AB120" s="15">
        <f t="shared" si="44"/>
        <v>1</v>
      </c>
      <c r="AC120" s="15">
        <f t="shared" si="45"/>
        <v>1</v>
      </c>
      <c r="AD120" s="15">
        <f t="shared" si="46"/>
        <v>1</v>
      </c>
      <c r="AE120" s="15">
        <f t="shared" si="47"/>
        <v>1</v>
      </c>
      <c r="AF120" s="15">
        <f t="shared" si="48"/>
        <v>1</v>
      </c>
      <c r="AG120" s="15">
        <f t="shared" si="49"/>
        <v>1</v>
      </c>
      <c r="AH120" s="15">
        <f t="shared" si="50"/>
        <v>1</v>
      </c>
      <c r="AI120" s="15">
        <f t="shared" si="51"/>
        <v>1</v>
      </c>
      <c r="AJ120" s="15">
        <f t="shared" si="52"/>
        <v>1</v>
      </c>
      <c r="AK120" s="15">
        <f t="shared" si="53"/>
        <v>1</v>
      </c>
      <c r="AL120" s="15">
        <f t="shared" si="54"/>
        <v>1</v>
      </c>
      <c r="AM120" s="15">
        <f t="shared" si="55"/>
        <v>1</v>
      </c>
      <c r="AN120" s="15">
        <f t="shared" si="56"/>
        <v>1</v>
      </c>
      <c r="AO120" s="15">
        <f t="shared" si="57"/>
        <v>1</v>
      </c>
      <c r="AP120" s="15">
        <f t="shared" si="58"/>
        <v>1</v>
      </c>
      <c r="AQ120" s="15">
        <f t="shared" si="59"/>
        <v>1</v>
      </c>
      <c r="AR120" s="15">
        <f t="shared" si="60"/>
        <v>1</v>
      </c>
      <c r="AS120" s="15">
        <f t="shared" si="61"/>
        <v>1</v>
      </c>
      <c r="AT120" s="15">
        <f t="shared" si="62"/>
        <v>1</v>
      </c>
      <c r="AU120" s="15">
        <f t="shared" si="63"/>
        <v>1</v>
      </c>
      <c r="AV120" s="15">
        <f t="shared" si="64"/>
        <v>1</v>
      </c>
      <c r="AW120" s="15">
        <f t="shared" si="65"/>
        <v>1</v>
      </c>
      <c r="AX120" s="15">
        <f t="shared" si="66"/>
        <v>1</v>
      </c>
      <c r="AY120" s="15">
        <f t="shared" si="67"/>
        <v>1</v>
      </c>
      <c r="AZ120" s="15">
        <f t="shared" si="68"/>
        <v>1</v>
      </c>
      <c r="BA120" s="15">
        <f t="shared" si="69"/>
        <v>1</v>
      </c>
      <c r="BB120" s="15">
        <f t="shared" si="70"/>
        <v>0</v>
      </c>
      <c r="BC120" s="15" t="str">
        <f t="shared" si="71"/>
        <v/>
      </c>
      <c r="BD120" s="15" t="str">
        <f t="shared" si="72"/>
        <v/>
      </c>
      <c r="BE120" s="11" t="e">
        <f t="shared" si="73"/>
        <v>#VALUE!</v>
      </c>
      <c r="BF120" s="11" t="e">
        <f t="shared" si="74"/>
        <v>#VALUE!</v>
      </c>
      <c r="BG120" s="11" t="e">
        <f t="shared" si="75"/>
        <v>#VALUE!</v>
      </c>
      <c r="BH120" t="str">
        <f t="shared" si="76"/>
        <v/>
      </c>
      <c r="BI120" t="str" cm="1">
        <f t="array" ref="BI120">_xlfn.IFS(
  L120&gt;0,"Critical Fail",
  M120&gt;0,"Important (Coaching)",
  TRUE,"Clean Pass"
)</f>
        <v>Clean Pass</v>
      </c>
      <c r="BJ120" t="str">
        <f t="shared" si="77"/>
        <v>NA</v>
      </c>
    </row>
    <row r="121" spans="1:62" x14ac:dyDescent="0.3">
      <c r="A121">
        <v>265245</v>
      </c>
      <c r="K121" t="str">
        <f t="shared" si="39"/>
        <v>Pass</v>
      </c>
      <c r="L121" s="15">
        <f t="shared" si="40"/>
        <v>0</v>
      </c>
      <c r="M121" s="15">
        <f t="shared" si="41"/>
        <v>0</v>
      </c>
      <c r="Z121" s="15">
        <f t="shared" si="42"/>
        <v>1</v>
      </c>
      <c r="AA121" s="15">
        <f t="shared" si="43"/>
        <v>1</v>
      </c>
      <c r="AB121" s="15">
        <f t="shared" si="44"/>
        <v>1</v>
      </c>
      <c r="AC121" s="15">
        <f t="shared" si="45"/>
        <v>1</v>
      </c>
      <c r="AD121" s="15">
        <f t="shared" si="46"/>
        <v>1</v>
      </c>
      <c r="AE121" s="15">
        <f t="shared" si="47"/>
        <v>1</v>
      </c>
      <c r="AF121" s="15">
        <f t="shared" si="48"/>
        <v>1</v>
      </c>
      <c r="AG121" s="15">
        <f t="shared" si="49"/>
        <v>1</v>
      </c>
      <c r="AH121" s="15">
        <f t="shared" si="50"/>
        <v>1</v>
      </c>
      <c r="AI121" s="15">
        <f t="shared" si="51"/>
        <v>1</v>
      </c>
      <c r="AJ121" s="15">
        <f t="shared" si="52"/>
        <v>1</v>
      </c>
      <c r="AK121" s="15">
        <f t="shared" si="53"/>
        <v>1</v>
      </c>
      <c r="AL121" s="15">
        <f t="shared" si="54"/>
        <v>1</v>
      </c>
      <c r="AM121" s="15">
        <f t="shared" si="55"/>
        <v>1</v>
      </c>
      <c r="AN121" s="15">
        <f t="shared" si="56"/>
        <v>1</v>
      </c>
      <c r="AO121" s="15">
        <f t="shared" si="57"/>
        <v>1</v>
      </c>
      <c r="AP121" s="15">
        <f t="shared" si="58"/>
        <v>1</v>
      </c>
      <c r="AQ121" s="15">
        <f t="shared" si="59"/>
        <v>1</v>
      </c>
      <c r="AR121" s="15">
        <f t="shared" si="60"/>
        <v>1</v>
      </c>
      <c r="AS121" s="15">
        <f t="shared" si="61"/>
        <v>1</v>
      </c>
      <c r="AT121" s="15">
        <f t="shared" si="62"/>
        <v>1</v>
      </c>
      <c r="AU121" s="15">
        <f t="shared" si="63"/>
        <v>1</v>
      </c>
      <c r="AV121" s="15">
        <f t="shared" si="64"/>
        <v>1</v>
      </c>
      <c r="AW121" s="15">
        <f t="shared" si="65"/>
        <v>1</v>
      </c>
      <c r="AX121" s="15">
        <f t="shared" si="66"/>
        <v>1</v>
      </c>
      <c r="AY121" s="15">
        <f t="shared" si="67"/>
        <v>1</v>
      </c>
      <c r="AZ121" s="15">
        <f t="shared" si="68"/>
        <v>1</v>
      </c>
      <c r="BA121" s="15">
        <f t="shared" si="69"/>
        <v>1</v>
      </c>
      <c r="BB121" s="15">
        <f t="shared" si="70"/>
        <v>0</v>
      </c>
      <c r="BC121" s="15" t="str">
        <f t="shared" si="71"/>
        <v/>
      </c>
      <c r="BD121" s="15" t="str">
        <f t="shared" si="72"/>
        <v/>
      </c>
      <c r="BE121" s="11" t="e">
        <f t="shared" si="73"/>
        <v>#VALUE!</v>
      </c>
      <c r="BF121" s="11" t="e">
        <f t="shared" si="74"/>
        <v>#VALUE!</v>
      </c>
      <c r="BG121" s="11" t="e">
        <f t="shared" si="75"/>
        <v>#VALUE!</v>
      </c>
      <c r="BH121" t="str">
        <f t="shared" si="76"/>
        <v/>
      </c>
      <c r="BI121" t="str" cm="1">
        <f t="array" ref="BI121">_xlfn.IFS(
  L121&gt;0,"Critical Fail",
  M121&gt;0,"Important (Coaching)",
  TRUE,"Clean Pass"
)</f>
        <v>Clean Pass</v>
      </c>
      <c r="BJ121" t="str">
        <f t="shared" si="77"/>
        <v>NA</v>
      </c>
    </row>
    <row r="122" spans="1:62" x14ac:dyDescent="0.3">
      <c r="A122">
        <v>291422</v>
      </c>
      <c r="K122" t="str">
        <f t="shared" si="39"/>
        <v>Pass</v>
      </c>
      <c r="L122" s="15">
        <f t="shared" si="40"/>
        <v>0</v>
      </c>
      <c r="M122" s="15">
        <f t="shared" si="41"/>
        <v>0</v>
      </c>
      <c r="Z122" s="15">
        <f t="shared" si="42"/>
        <v>1</v>
      </c>
      <c r="AA122" s="15">
        <f t="shared" si="43"/>
        <v>1</v>
      </c>
      <c r="AB122" s="15">
        <f t="shared" si="44"/>
        <v>1</v>
      </c>
      <c r="AC122" s="15">
        <f t="shared" si="45"/>
        <v>1</v>
      </c>
      <c r="AD122" s="15">
        <f t="shared" si="46"/>
        <v>1</v>
      </c>
      <c r="AE122" s="15">
        <f t="shared" si="47"/>
        <v>1</v>
      </c>
      <c r="AF122" s="15">
        <f t="shared" si="48"/>
        <v>1</v>
      </c>
      <c r="AG122" s="15">
        <f t="shared" si="49"/>
        <v>1</v>
      </c>
      <c r="AH122" s="15">
        <f t="shared" si="50"/>
        <v>1</v>
      </c>
      <c r="AI122" s="15">
        <f t="shared" si="51"/>
        <v>1</v>
      </c>
      <c r="AJ122" s="15">
        <f t="shared" si="52"/>
        <v>1</v>
      </c>
      <c r="AK122" s="15">
        <f t="shared" si="53"/>
        <v>1</v>
      </c>
      <c r="AL122" s="15">
        <f t="shared" si="54"/>
        <v>1</v>
      </c>
      <c r="AM122" s="15">
        <f t="shared" si="55"/>
        <v>1</v>
      </c>
      <c r="AN122" s="15">
        <f t="shared" si="56"/>
        <v>1</v>
      </c>
      <c r="AO122" s="15">
        <f t="shared" si="57"/>
        <v>1</v>
      </c>
      <c r="AP122" s="15">
        <f t="shared" si="58"/>
        <v>1</v>
      </c>
      <c r="AQ122" s="15">
        <f t="shared" si="59"/>
        <v>1</v>
      </c>
      <c r="AR122" s="15">
        <f t="shared" si="60"/>
        <v>1</v>
      </c>
      <c r="AS122" s="15">
        <f t="shared" si="61"/>
        <v>1</v>
      </c>
      <c r="AT122" s="15">
        <f t="shared" si="62"/>
        <v>1</v>
      </c>
      <c r="AU122" s="15">
        <f t="shared" si="63"/>
        <v>1</v>
      </c>
      <c r="AV122" s="15">
        <f t="shared" si="64"/>
        <v>1</v>
      </c>
      <c r="AW122" s="15">
        <f t="shared" si="65"/>
        <v>1</v>
      </c>
      <c r="AX122" s="15">
        <f t="shared" si="66"/>
        <v>1</v>
      </c>
      <c r="AY122" s="15">
        <f t="shared" si="67"/>
        <v>1</v>
      </c>
      <c r="AZ122" s="15">
        <f t="shared" si="68"/>
        <v>1</v>
      </c>
      <c r="BA122" s="15">
        <f t="shared" si="69"/>
        <v>1</v>
      </c>
      <c r="BB122" s="15">
        <f t="shared" si="70"/>
        <v>0</v>
      </c>
      <c r="BC122" s="15" t="str">
        <f t="shared" si="71"/>
        <v/>
      </c>
      <c r="BD122" s="15" t="str">
        <f t="shared" si="72"/>
        <v/>
      </c>
      <c r="BE122" s="11" t="e">
        <f t="shared" si="73"/>
        <v>#VALUE!</v>
      </c>
      <c r="BF122" s="11" t="e">
        <f t="shared" si="74"/>
        <v>#VALUE!</v>
      </c>
      <c r="BG122" s="11" t="e">
        <f t="shared" si="75"/>
        <v>#VALUE!</v>
      </c>
      <c r="BH122" t="str">
        <f t="shared" si="76"/>
        <v/>
      </c>
      <c r="BI122" t="str" cm="1">
        <f t="array" ref="BI122">_xlfn.IFS(
  L122&gt;0,"Critical Fail",
  M122&gt;0,"Important (Coaching)",
  TRUE,"Clean Pass"
)</f>
        <v>Clean Pass</v>
      </c>
      <c r="BJ122" t="str">
        <f t="shared" si="77"/>
        <v>NA</v>
      </c>
    </row>
    <row r="123" spans="1:62" x14ac:dyDescent="0.3">
      <c r="A123">
        <v>785155</v>
      </c>
      <c r="K123" t="str">
        <f t="shared" si="39"/>
        <v>Pass</v>
      </c>
      <c r="L123" s="15">
        <f t="shared" si="40"/>
        <v>0</v>
      </c>
      <c r="M123" s="15">
        <f t="shared" si="41"/>
        <v>0</v>
      </c>
      <c r="Z123" s="15">
        <f t="shared" si="42"/>
        <v>1</v>
      </c>
      <c r="AA123" s="15">
        <f t="shared" si="43"/>
        <v>1</v>
      </c>
      <c r="AB123" s="15">
        <f t="shared" si="44"/>
        <v>1</v>
      </c>
      <c r="AC123" s="15">
        <f t="shared" si="45"/>
        <v>1</v>
      </c>
      <c r="AD123" s="15">
        <f t="shared" si="46"/>
        <v>1</v>
      </c>
      <c r="AE123" s="15">
        <f t="shared" si="47"/>
        <v>1</v>
      </c>
      <c r="AF123" s="15">
        <f t="shared" si="48"/>
        <v>1</v>
      </c>
      <c r="AG123" s="15">
        <f t="shared" si="49"/>
        <v>1</v>
      </c>
      <c r="AH123" s="15">
        <f t="shared" si="50"/>
        <v>1</v>
      </c>
      <c r="AI123" s="15">
        <f t="shared" si="51"/>
        <v>1</v>
      </c>
      <c r="AJ123" s="15">
        <f t="shared" si="52"/>
        <v>1</v>
      </c>
      <c r="AK123" s="15">
        <f t="shared" si="53"/>
        <v>1</v>
      </c>
      <c r="AL123" s="15">
        <f t="shared" si="54"/>
        <v>1</v>
      </c>
      <c r="AM123" s="15">
        <f t="shared" si="55"/>
        <v>1</v>
      </c>
      <c r="AN123" s="15">
        <f t="shared" si="56"/>
        <v>1</v>
      </c>
      <c r="AO123" s="15">
        <f t="shared" si="57"/>
        <v>1</v>
      </c>
      <c r="AP123" s="15">
        <f t="shared" si="58"/>
        <v>1</v>
      </c>
      <c r="AQ123" s="15">
        <f t="shared" si="59"/>
        <v>1</v>
      </c>
      <c r="AR123" s="15">
        <f t="shared" si="60"/>
        <v>1</v>
      </c>
      <c r="AS123" s="15">
        <f t="shared" si="61"/>
        <v>1</v>
      </c>
      <c r="AT123" s="15">
        <f t="shared" si="62"/>
        <v>1</v>
      </c>
      <c r="AU123" s="15">
        <f t="shared" si="63"/>
        <v>1</v>
      </c>
      <c r="AV123" s="15">
        <f t="shared" si="64"/>
        <v>1</v>
      </c>
      <c r="AW123" s="15">
        <f t="shared" si="65"/>
        <v>1</v>
      </c>
      <c r="AX123" s="15">
        <f t="shared" si="66"/>
        <v>1</v>
      </c>
      <c r="AY123" s="15">
        <f t="shared" si="67"/>
        <v>1</v>
      </c>
      <c r="AZ123" s="15">
        <f t="shared" si="68"/>
        <v>1</v>
      </c>
      <c r="BA123" s="15">
        <f t="shared" si="69"/>
        <v>1</v>
      </c>
      <c r="BB123" s="15">
        <f t="shared" si="70"/>
        <v>0</v>
      </c>
      <c r="BC123" s="15" t="str">
        <f t="shared" si="71"/>
        <v/>
      </c>
      <c r="BD123" s="15" t="str">
        <f t="shared" si="72"/>
        <v/>
      </c>
      <c r="BE123" s="11" t="e">
        <f t="shared" si="73"/>
        <v>#VALUE!</v>
      </c>
      <c r="BF123" s="11" t="e">
        <f t="shared" si="74"/>
        <v>#VALUE!</v>
      </c>
      <c r="BG123" s="11" t="e">
        <f t="shared" si="75"/>
        <v>#VALUE!</v>
      </c>
      <c r="BH123" t="str">
        <f t="shared" si="76"/>
        <v/>
      </c>
      <c r="BI123" t="str" cm="1">
        <f t="array" ref="BI123">_xlfn.IFS(
  L123&gt;0,"Critical Fail",
  M123&gt;0,"Important (Coaching)",
  TRUE,"Clean Pass"
)</f>
        <v>Clean Pass</v>
      </c>
      <c r="BJ123" t="str">
        <f t="shared" si="77"/>
        <v>NA</v>
      </c>
    </row>
    <row r="124" spans="1:62" x14ac:dyDescent="0.3">
      <c r="A124">
        <v>125658</v>
      </c>
      <c r="K124" t="str">
        <f t="shared" si="39"/>
        <v>Pass</v>
      </c>
      <c r="L124" s="15">
        <f t="shared" si="40"/>
        <v>0</v>
      </c>
      <c r="M124" s="15">
        <f t="shared" si="41"/>
        <v>0</v>
      </c>
      <c r="Z124" s="15">
        <f t="shared" si="42"/>
        <v>1</v>
      </c>
      <c r="AA124" s="15">
        <f t="shared" si="43"/>
        <v>1</v>
      </c>
      <c r="AB124" s="15">
        <f t="shared" si="44"/>
        <v>1</v>
      </c>
      <c r="AC124" s="15">
        <f t="shared" si="45"/>
        <v>1</v>
      </c>
      <c r="AD124" s="15">
        <f t="shared" si="46"/>
        <v>1</v>
      </c>
      <c r="AE124" s="15">
        <f t="shared" si="47"/>
        <v>1</v>
      </c>
      <c r="AF124" s="15">
        <f t="shared" si="48"/>
        <v>1</v>
      </c>
      <c r="AG124" s="15">
        <f t="shared" si="49"/>
        <v>1</v>
      </c>
      <c r="AH124" s="15">
        <f t="shared" si="50"/>
        <v>1</v>
      </c>
      <c r="AI124" s="15">
        <f t="shared" si="51"/>
        <v>1</v>
      </c>
      <c r="AJ124" s="15">
        <f t="shared" si="52"/>
        <v>1</v>
      </c>
      <c r="AK124" s="15">
        <f t="shared" si="53"/>
        <v>1</v>
      </c>
      <c r="AL124" s="15">
        <f t="shared" si="54"/>
        <v>1</v>
      </c>
      <c r="AM124" s="15">
        <f t="shared" si="55"/>
        <v>1</v>
      </c>
      <c r="AN124" s="15">
        <f t="shared" si="56"/>
        <v>1</v>
      </c>
      <c r="AO124" s="15">
        <f t="shared" si="57"/>
        <v>1</v>
      </c>
      <c r="AP124" s="15">
        <f t="shared" si="58"/>
        <v>1</v>
      </c>
      <c r="AQ124" s="15">
        <f t="shared" si="59"/>
        <v>1</v>
      </c>
      <c r="AR124" s="15">
        <f t="shared" si="60"/>
        <v>1</v>
      </c>
      <c r="AS124" s="15">
        <f t="shared" si="61"/>
        <v>1</v>
      </c>
      <c r="AT124" s="15">
        <f t="shared" si="62"/>
        <v>1</v>
      </c>
      <c r="AU124" s="15">
        <f t="shared" si="63"/>
        <v>1</v>
      </c>
      <c r="AV124" s="15">
        <f t="shared" si="64"/>
        <v>1</v>
      </c>
      <c r="AW124" s="15">
        <f t="shared" si="65"/>
        <v>1</v>
      </c>
      <c r="AX124" s="15">
        <f t="shared" si="66"/>
        <v>1</v>
      </c>
      <c r="AY124" s="15">
        <f t="shared" si="67"/>
        <v>1</v>
      </c>
      <c r="AZ124" s="15">
        <f t="shared" si="68"/>
        <v>1</v>
      </c>
      <c r="BA124" s="15">
        <f t="shared" si="69"/>
        <v>1</v>
      </c>
      <c r="BB124" s="15">
        <f t="shared" si="70"/>
        <v>0</v>
      </c>
      <c r="BC124" s="15" t="str">
        <f t="shared" si="71"/>
        <v/>
      </c>
      <c r="BD124" s="15" t="str">
        <f t="shared" si="72"/>
        <v/>
      </c>
      <c r="BE124" s="11" t="e">
        <f t="shared" si="73"/>
        <v>#VALUE!</v>
      </c>
      <c r="BF124" s="11" t="e">
        <f t="shared" si="74"/>
        <v>#VALUE!</v>
      </c>
      <c r="BG124" s="11" t="e">
        <f t="shared" si="75"/>
        <v>#VALUE!</v>
      </c>
      <c r="BH124" t="str">
        <f t="shared" si="76"/>
        <v/>
      </c>
      <c r="BI124" t="str" cm="1">
        <f t="array" ref="BI124">_xlfn.IFS(
  L124&gt;0,"Critical Fail",
  M124&gt;0,"Important (Coaching)",
  TRUE,"Clean Pass"
)</f>
        <v>Clean Pass</v>
      </c>
      <c r="BJ124" t="str">
        <f t="shared" si="77"/>
        <v>NA</v>
      </c>
    </row>
    <row r="125" spans="1:62" x14ac:dyDescent="0.3">
      <c r="A125">
        <v>213918</v>
      </c>
      <c r="K125" t="str">
        <f t="shared" si="39"/>
        <v>Pass</v>
      </c>
      <c r="L125" s="15">
        <f t="shared" si="40"/>
        <v>0</v>
      </c>
      <c r="M125" s="15">
        <f t="shared" si="41"/>
        <v>0</v>
      </c>
      <c r="Z125" s="15">
        <f t="shared" si="42"/>
        <v>1</v>
      </c>
      <c r="AA125" s="15">
        <f t="shared" si="43"/>
        <v>1</v>
      </c>
      <c r="AB125" s="15">
        <f t="shared" si="44"/>
        <v>1</v>
      </c>
      <c r="AC125" s="15">
        <f t="shared" si="45"/>
        <v>1</v>
      </c>
      <c r="AD125" s="15">
        <f t="shared" si="46"/>
        <v>1</v>
      </c>
      <c r="AE125" s="15">
        <f t="shared" si="47"/>
        <v>1</v>
      </c>
      <c r="AF125" s="15">
        <f t="shared" si="48"/>
        <v>1</v>
      </c>
      <c r="AG125" s="15">
        <f t="shared" si="49"/>
        <v>1</v>
      </c>
      <c r="AH125" s="15">
        <f t="shared" si="50"/>
        <v>1</v>
      </c>
      <c r="AI125" s="15">
        <f t="shared" si="51"/>
        <v>1</v>
      </c>
      <c r="AJ125" s="15">
        <f t="shared" si="52"/>
        <v>1</v>
      </c>
      <c r="AK125" s="15">
        <f t="shared" si="53"/>
        <v>1</v>
      </c>
      <c r="AL125" s="15">
        <f t="shared" si="54"/>
        <v>1</v>
      </c>
      <c r="AM125" s="15">
        <f t="shared" si="55"/>
        <v>1</v>
      </c>
      <c r="AN125" s="15">
        <f t="shared" si="56"/>
        <v>1</v>
      </c>
      <c r="AO125" s="15">
        <f t="shared" si="57"/>
        <v>1</v>
      </c>
      <c r="AP125" s="15">
        <f t="shared" si="58"/>
        <v>1</v>
      </c>
      <c r="AQ125" s="15">
        <f t="shared" si="59"/>
        <v>1</v>
      </c>
      <c r="AR125" s="15">
        <f t="shared" si="60"/>
        <v>1</v>
      </c>
      <c r="AS125" s="15">
        <f t="shared" si="61"/>
        <v>1</v>
      </c>
      <c r="AT125" s="15">
        <f t="shared" si="62"/>
        <v>1</v>
      </c>
      <c r="AU125" s="15">
        <f t="shared" si="63"/>
        <v>1</v>
      </c>
      <c r="AV125" s="15">
        <f t="shared" si="64"/>
        <v>1</v>
      </c>
      <c r="AW125" s="15">
        <f t="shared" si="65"/>
        <v>1</v>
      </c>
      <c r="AX125" s="15">
        <f t="shared" si="66"/>
        <v>1</v>
      </c>
      <c r="AY125" s="15">
        <f t="shared" si="67"/>
        <v>1</v>
      </c>
      <c r="AZ125" s="15">
        <f t="shared" si="68"/>
        <v>1</v>
      </c>
      <c r="BA125" s="15">
        <f t="shared" si="69"/>
        <v>1</v>
      </c>
      <c r="BB125" s="15">
        <f t="shared" si="70"/>
        <v>0</v>
      </c>
      <c r="BC125" s="15" t="str">
        <f t="shared" si="71"/>
        <v/>
      </c>
      <c r="BD125" s="15" t="str">
        <f t="shared" si="72"/>
        <v/>
      </c>
      <c r="BE125" s="11" t="e">
        <f t="shared" si="73"/>
        <v>#VALUE!</v>
      </c>
      <c r="BF125" s="11" t="e">
        <f t="shared" si="74"/>
        <v>#VALUE!</v>
      </c>
      <c r="BG125" s="11" t="e">
        <f t="shared" si="75"/>
        <v>#VALUE!</v>
      </c>
      <c r="BH125" t="str">
        <f t="shared" si="76"/>
        <v/>
      </c>
      <c r="BI125" t="str" cm="1">
        <f t="array" ref="BI125">_xlfn.IFS(
  L125&gt;0,"Critical Fail",
  M125&gt;0,"Important (Coaching)",
  TRUE,"Clean Pass"
)</f>
        <v>Clean Pass</v>
      </c>
      <c r="BJ125" t="str">
        <f t="shared" si="77"/>
        <v>NA</v>
      </c>
    </row>
    <row r="126" spans="1:62" x14ac:dyDescent="0.3">
      <c r="A126">
        <v>408637</v>
      </c>
      <c r="K126" t="str">
        <f t="shared" si="39"/>
        <v>Pass</v>
      </c>
      <c r="L126" s="15">
        <f t="shared" si="40"/>
        <v>0</v>
      </c>
      <c r="M126" s="15">
        <f t="shared" si="41"/>
        <v>0</v>
      </c>
      <c r="Z126" s="15">
        <f t="shared" si="42"/>
        <v>1</v>
      </c>
      <c r="AA126" s="15">
        <f t="shared" si="43"/>
        <v>1</v>
      </c>
      <c r="AB126" s="15">
        <f t="shared" si="44"/>
        <v>1</v>
      </c>
      <c r="AC126" s="15">
        <f t="shared" si="45"/>
        <v>1</v>
      </c>
      <c r="AD126" s="15">
        <f t="shared" si="46"/>
        <v>1</v>
      </c>
      <c r="AE126" s="15">
        <f t="shared" si="47"/>
        <v>1</v>
      </c>
      <c r="AF126" s="15">
        <f t="shared" si="48"/>
        <v>1</v>
      </c>
      <c r="AG126" s="15">
        <f t="shared" si="49"/>
        <v>1</v>
      </c>
      <c r="AH126" s="15">
        <f t="shared" si="50"/>
        <v>1</v>
      </c>
      <c r="AI126" s="15">
        <f t="shared" si="51"/>
        <v>1</v>
      </c>
      <c r="AJ126" s="15">
        <f t="shared" si="52"/>
        <v>1</v>
      </c>
      <c r="AK126" s="15">
        <f t="shared" si="53"/>
        <v>1</v>
      </c>
      <c r="AL126" s="15">
        <f t="shared" si="54"/>
        <v>1</v>
      </c>
      <c r="AM126" s="15">
        <f t="shared" si="55"/>
        <v>1</v>
      </c>
      <c r="AN126" s="15">
        <f t="shared" si="56"/>
        <v>1</v>
      </c>
      <c r="AO126" s="15">
        <f t="shared" si="57"/>
        <v>1</v>
      </c>
      <c r="AP126" s="15">
        <f t="shared" si="58"/>
        <v>1</v>
      </c>
      <c r="AQ126" s="15">
        <f t="shared" si="59"/>
        <v>1</v>
      </c>
      <c r="AR126" s="15">
        <f t="shared" si="60"/>
        <v>1</v>
      </c>
      <c r="AS126" s="15">
        <f t="shared" si="61"/>
        <v>1</v>
      </c>
      <c r="AT126" s="15">
        <f t="shared" si="62"/>
        <v>1</v>
      </c>
      <c r="AU126" s="15">
        <f t="shared" si="63"/>
        <v>1</v>
      </c>
      <c r="AV126" s="15">
        <f t="shared" si="64"/>
        <v>1</v>
      </c>
      <c r="AW126" s="15">
        <f t="shared" si="65"/>
        <v>1</v>
      </c>
      <c r="AX126" s="15">
        <f t="shared" si="66"/>
        <v>1</v>
      </c>
      <c r="AY126" s="15">
        <f t="shared" si="67"/>
        <v>1</v>
      </c>
      <c r="AZ126" s="15">
        <f t="shared" si="68"/>
        <v>1</v>
      </c>
      <c r="BA126" s="15">
        <f t="shared" si="69"/>
        <v>1</v>
      </c>
      <c r="BB126" s="15">
        <f t="shared" si="70"/>
        <v>0</v>
      </c>
      <c r="BC126" s="15" t="str">
        <f t="shared" si="71"/>
        <v/>
      </c>
      <c r="BD126" s="15" t="str">
        <f t="shared" si="72"/>
        <v/>
      </c>
      <c r="BE126" s="11" t="e">
        <f t="shared" si="73"/>
        <v>#VALUE!</v>
      </c>
      <c r="BF126" s="11" t="e">
        <f t="shared" si="74"/>
        <v>#VALUE!</v>
      </c>
      <c r="BG126" s="11" t="e">
        <f t="shared" si="75"/>
        <v>#VALUE!</v>
      </c>
      <c r="BH126" t="str">
        <f t="shared" si="76"/>
        <v/>
      </c>
      <c r="BI126" t="str" cm="1">
        <f t="array" ref="BI126">_xlfn.IFS(
  L126&gt;0,"Critical Fail",
  M126&gt;0,"Important (Coaching)",
  TRUE,"Clean Pass"
)</f>
        <v>Clean Pass</v>
      </c>
      <c r="BJ126" t="str">
        <f t="shared" si="77"/>
        <v>NA</v>
      </c>
    </row>
    <row r="127" spans="1:62" x14ac:dyDescent="0.3">
      <c r="A127">
        <v>727009</v>
      </c>
      <c r="K127" t="str">
        <f t="shared" si="39"/>
        <v>Pass</v>
      </c>
      <c r="L127" s="15">
        <f t="shared" si="40"/>
        <v>0</v>
      </c>
      <c r="M127" s="15">
        <f t="shared" si="41"/>
        <v>0</v>
      </c>
      <c r="Z127" s="15">
        <f t="shared" si="42"/>
        <v>1</v>
      </c>
      <c r="AA127" s="15">
        <f t="shared" si="43"/>
        <v>1</v>
      </c>
      <c r="AB127" s="15">
        <f t="shared" si="44"/>
        <v>1</v>
      </c>
      <c r="AC127" s="15">
        <f t="shared" si="45"/>
        <v>1</v>
      </c>
      <c r="AD127" s="15">
        <f t="shared" si="46"/>
        <v>1</v>
      </c>
      <c r="AE127" s="15">
        <f t="shared" si="47"/>
        <v>1</v>
      </c>
      <c r="AF127" s="15">
        <f t="shared" si="48"/>
        <v>1</v>
      </c>
      <c r="AG127" s="15">
        <f t="shared" si="49"/>
        <v>1</v>
      </c>
      <c r="AH127" s="15">
        <f t="shared" si="50"/>
        <v>1</v>
      </c>
      <c r="AI127" s="15">
        <f t="shared" si="51"/>
        <v>1</v>
      </c>
      <c r="AJ127" s="15">
        <f t="shared" si="52"/>
        <v>1</v>
      </c>
      <c r="AK127" s="15">
        <f t="shared" si="53"/>
        <v>1</v>
      </c>
      <c r="AL127" s="15">
        <f t="shared" si="54"/>
        <v>1</v>
      </c>
      <c r="AM127" s="15">
        <f t="shared" si="55"/>
        <v>1</v>
      </c>
      <c r="AN127" s="15">
        <f t="shared" si="56"/>
        <v>1</v>
      </c>
      <c r="AO127" s="15">
        <f t="shared" si="57"/>
        <v>1</v>
      </c>
      <c r="AP127" s="15">
        <f t="shared" si="58"/>
        <v>1</v>
      </c>
      <c r="AQ127" s="15">
        <f t="shared" si="59"/>
        <v>1</v>
      </c>
      <c r="AR127" s="15">
        <f t="shared" si="60"/>
        <v>1</v>
      </c>
      <c r="AS127" s="15">
        <f t="shared" si="61"/>
        <v>1</v>
      </c>
      <c r="AT127" s="15">
        <f t="shared" si="62"/>
        <v>1</v>
      </c>
      <c r="AU127" s="15">
        <f t="shared" si="63"/>
        <v>1</v>
      </c>
      <c r="AV127" s="15">
        <f t="shared" si="64"/>
        <v>1</v>
      </c>
      <c r="AW127" s="15">
        <f t="shared" si="65"/>
        <v>1</v>
      </c>
      <c r="AX127" s="15">
        <f t="shared" si="66"/>
        <v>1</v>
      </c>
      <c r="AY127" s="15">
        <f t="shared" si="67"/>
        <v>1</v>
      </c>
      <c r="AZ127" s="15">
        <f t="shared" si="68"/>
        <v>1</v>
      </c>
      <c r="BA127" s="15">
        <f t="shared" si="69"/>
        <v>1</v>
      </c>
      <c r="BB127" s="15">
        <f t="shared" si="70"/>
        <v>0</v>
      </c>
      <c r="BC127" s="15" t="str">
        <f t="shared" si="71"/>
        <v/>
      </c>
      <c r="BD127" s="15" t="str">
        <f t="shared" si="72"/>
        <v/>
      </c>
      <c r="BE127" s="11" t="e">
        <f t="shared" si="73"/>
        <v>#VALUE!</v>
      </c>
      <c r="BF127" s="11" t="e">
        <f t="shared" si="74"/>
        <v>#VALUE!</v>
      </c>
      <c r="BG127" s="11" t="e">
        <f t="shared" si="75"/>
        <v>#VALUE!</v>
      </c>
      <c r="BH127" t="str">
        <f t="shared" si="76"/>
        <v/>
      </c>
      <c r="BI127" t="str" cm="1">
        <f t="array" ref="BI127">_xlfn.IFS(
  L127&gt;0,"Critical Fail",
  M127&gt;0,"Important (Coaching)",
  TRUE,"Clean Pass"
)</f>
        <v>Clean Pass</v>
      </c>
      <c r="BJ127" t="str">
        <f t="shared" si="77"/>
        <v>NA</v>
      </c>
    </row>
    <row r="128" spans="1:62" x14ac:dyDescent="0.3">
      <c r="A128">
        <v>900808</v>
      </c>
      <c r="K128" t="str">
        <f t="shared" si="39"/>
        <v>Pass</v>
      </c>
      <c r="L128" s="15">
        <f t="shared" si="40"/>
        <v>0</v>
      </c>
      <c r="M128" s="15">
        <f t="shared" si="41"/>
        <v>0</v>
      </c>
      <c r="Z128" s="15">
        <f t="shared" si="42"/>
        <v>1</v>
      </c>
      <c r="AA128" s="15">
        <f t="shared" si="43"/>
        <v>1</v>
      </c>
      <c r="AB128" s="15">
        <f t="shared" si="44"/>
        <v>1</v>
      </c>
      <c r="AC128" s="15">
        <f t="shared" si="45"/>
        <v>1</v>
      </c>
      <c r="AD128" s="15">
        <f t="shared" si="46"/>
        <v>1</v>
      </c>
      <c r="AE128" s="15">
        <f t="shared" si="47"/>
        <v>1</v>
      </c>
      <c r="AF128" s="15">
        <f t="shared" si="48"/>
        <v>1</v>
      </c>
      <c r="AG128" s="15">
        <f t="shared" si="49"/>
        <v>1</v>
      </c>
      <c r="AH128" s="15">
        <f t="shared" si="50"/>
        <v>1</v>
      </c>
      <c r="AI128" s="15">
        <f t="shared" si="51"/>
        <v>1</v>
      </c>
      <c r="AJ128" s="15">
        <f t="shared" si="52"/>
        <v>1</v>
      </c>
      <c r="AK128" s="15">
        <f t="shared" si="53"/>
        <v>1</v>
      </c>
      <c r="AL128" s="15">
        <f t="shared" si="54"/>
        <v>1</v>
      </c>
      <c r="AM128" s="15">
        <f t="shared" si="55"/>
        <v>1</v>
      </c>
      <c r="AN128" s="15">
        <f t="shared" si="56"/>
        <v>1</v>
      </c>
      <c r="AO128" s="15">
        <f t="shared" si="57"/>
        <v>1</v>
      </c>
      <c r="AP128" s="15">
        <f t="shared" si="58"/>
        <v>1</v>
      </c>
      <c r="AQ128" s="15">
        <f t="shared" si="59"/>
        <v>1</v>
      </c>
      <c r="AR128" s="15">
        <f t="shared" si="60"/>
        <v>1</v>
      </c>
      <c r="AS128" s="15">
        <f t="shared" si="61"/>
        <v>1</v>
      </c>
      <c r="AT128" s="15">
        <f t="shared" si="62"/>
        <v>1</v>
      </c>
      <c r="AU128" s="15">
        <f t="shared" si="63"/>
        <v>1</v>
      </c>
      <c r="AV128" s="15">
        <f t="shared" si="64"/>
        <v>1</v>
      </c>
      <c r="AW128" s="15">
        <f t="shared" si="65"/>
        <v>1</v>
      </c>
      <c r="AX128" s="15">
        <f t="shared" si="66"/>
        <v>1</v>
      </c>
      <c r="AY128" s="15">
        <f t="shared" si="67"/>
        <v>1</v>
      </c>
      <c r="AZ128" s="15">
        <f t="shared" si="68"/>
        <v>1</v>
      </c>
      <c r="BA128" s="15">
        <f t="shared" si="69"/>
        <v>1</v>
      </c>
      <c r="BB128" s="15">
        <f t="shared" si="70"/>
        <v>0</v>
      </c>
      <c r="BC128" s="15" t="str">
        <f t="shared" si="71"/>
        <v/>
      </c>
      <c r="BD128" s="15" t="str">
        <f t="shared" si="72"/>
        <v/>
      </c>
      <c r="BE128" s="11" t="e">
        <f t="shared" si="73"/>
        <v>#VALUE!</v>
      </c>
      <c r="BF128" s="11" t="e">
        <f t="shared" si="74"/>
        <v>#VALUE!</v>
      </c>
      <c r="BG128" s="11" t="e">
        <f t="shared" si="75"/>
        <v>#VALUE!</v>
      </c>
      <c r="BH128" t="str">
        <f t="shared" si="76"/>
        <v/>
      </c>
      <c r="BI128" t="str" cm="1">
        <f t="array" ref="BI128">_xlfn.IFS(
  L128&gt;0,"Critical Fail",
  M128&gt;0,"Important (Coaching)",
  TRUE,"Clean Pass"
)</f>
        <v>Clean Pass</v>
      </c>
      <c r="BJ128" t="str">
        <f t="shared" si="77"/>
        <v>NA</v>
      </c>
    </row>
    <row r="129" spans="1:62" x14ac:dyDescent="0.3">
      <c r="A129">
        <v>966285</v>
      </c>
      <c r="K129" t="str">
        <f t="shared" si="39"/>
        <v>Pass</v>
      </c>
      <c r="L129" s="15">
        <f t="shared" si="40"/>
        <v>0</v>
      </c>
      <c r="M129" s="15">
        <f t="shared" si="41"/>
        <v>0</v>
      </c>
      <c r="Z129" s="15">
        <f t="shared" si="42"/>
        <v>1</v>
      </c>
      <c r="AA129" s="15">
        <f t="shared" si="43"/>
        <v>1</v>
      </c>
      <c r="AB129" s="15">
        <f t="shared" si="44"/>
        <v>1</v>
      </c>
      <c r="AC129" s="15">
        <f t="shared" si="45"/>
        <v>1</v>
      </c>
      <c r="AD129" s="15">
        <f t="shared" si="46"/>
        <v>1</v>
      </c>
      <c r="AE129" s="15">
        <f t="shared" si="47"/>
        <v>1</v>
      </c>
      <c r="AF129" s="15">
        <f t="shared" si="48"/>
        <v>1</v>
      </c>
      <c r="AG129" s="15">
        <f t="shared" si="49"/>
        <v>1</v>
      </c>
      <c r="AH129" s="15">
        <f t="shared" si="50"/>
        <v>1</v>
      </c>
      <c r="AI129" s="15">
        <f t="shared" si="51"/>
        <v>1</v>
      </c>
      <c r="AJ129" s="15">
        <f t="shared" si="52"/>
        <v>1</v>
      </c>
      <c r="AK129" s="15">
        <f t="shared" si="53"/>
        <v>1</v>
      </c>
      <c r="AL129" s="15">
        <f t="shared" si="54"/>
        <v>1</v>
      </c>
      <c r="AM129" s="15">
        <f t="shared" si="55"/>
        <v>1</v>
      </c>
      <c r="AN129" s="15">
        <f t="shared" si="56"/>
        <v>1</v>
      </c>
      <c r="AO129" s="15">
        <f t="shared" si="57"/>
        <v>1</v>
      </c>
      <c r="AP129" s="15">
        <f t="shared" si="58"/>
        <v>1</v>
      </c>
      <c r="AQ129" s="15">
        <f t="shared" si="59"/>
        <v>1</v>
      </c>
      <c r="AR129" s="15">
        <f t="shared" si="60"/>
        <v>1</v>
      </c>
      <c r="AS129" s="15">
        <f t="shared" si="61"/>
        <v>1</v>
      </c>
      <c r="AT129" s="15">
        <f t="shared" si="62"/>
        <v>1</v>
      </c>
      <c r="AU129" s="15">
        <f t="shared" si="63"/>
        <v>1</v>
      </c>
      <c r="AV129" s="15">
        <f t="shared" si="64"/>
        <v>1</v>
      </c>
      <c r="AW129" s="15">
        <f t="shared" si="65"/>
        <v>1</v>
      </c>
      <c r="AX129" s="15">
        <f t="shared" si="66"/>
        <v>1</v>
      </c>
      <c r="AY129" s="15">
        <f t="shared" si="67"/>
        <v>1</v>
      </c>
      <c r="AZ129" s="15">
        <f t="shared" si="68"/>
        <v>1</v>
      </c>
      <c r="BA129" s="15">
        <f t="shared" si="69"/>
        <v>1</v>
      </c>
      <c r="BB129" s="15">
        <f t="shared" si="70"/>
        <v>0</v>
      </c>
      <c r="BC129" s="15" t="str">
        <f t="shared" si="71"/>
        <v/>
      </c>
      <c r="BD129" s="15" t="str">
        <f t="shared" si="72"/>
        <v/>
      </c>
      <c r="BE129" s="11" t="e">
        <f t="shared" si="73"/>
        <v>#VALUE!</v>
      </c>
      <c r="BF129" s="11" t="e">
        <f t="shared" si="74"/>
        <v>#VALUE!</v>
      </c>
      <c r="BG129" s="11" t="e">
        <f t="shared" si="75"/>
        <v>#VALUE!</v>
      </c>
      <c r="BH129" t="str">
        <f t="shared" si="76"/>
        <v/>
      </c>
      <c r="BI129" t="str" cm="1">
        <f t="array" ref="BI129">_xlfn.IFS(
  L129&gt;0,"Critical Fail",
  M129&gt;0,"Important (Coaching)",
  TRUE,"Clean Pass"
)</f>
        <v>Clean Pass</v>
      </c>
      <c r="BJ129" t="str">
        <f t="shared" si="77"/>
        <v>NA</v>
      </c>
    </row>
    <row r="130" spans="1:62" x14ac:dyDescent="0.3">
      <c r="A130">
        <v>234470</v>
      </c>
      <c r="K130" t="str">
        <f t="shared" ref="K130:K193" si="78">IF(L130="","",IF(L130&gt;0,"Fail","Pass"))</f>
        <v>Pass</v>
      </c>
      <c r="L130" s="15">
        <f t="shared" ref="L130:L193" si="79">COUNTA(N130,P130,R130)</f>
        <v>0</v>
      </c>
      <c r="M130" s="15">
        <f t="shared" ref="M130:M193" si="80">COUNTA(T130,V130,X130)</f>
        <v>0</v>
      </c>
      <c r="Z130" s="15">
        <f t="shared" ref="Z130:Z193" si="81">IF(AND(G130="DV",ISNUMBER(SEARCH("C1",N130&amp;P130&amp;R130&amp;T130&amp;V130&amp;X130))),0,1)</f>
        <v>1</v>
      </c>
      <c r="AA130" s="15">
        <f t="shared" ref="AA130:AA193" si="82">IF(AND(G130="DV",ISNUMBER(SEARCH("C2",N130&amp;P130&amp;R130&amp;T130&amp;V130&amp;X130))),0,1)</f>
        <v>1</v>
      </c>
      <c r="AB130" s="15">
        <f t="shared" ref="AB130:AB193" si="83">IF(AND(G130="DV",ISNUMBER(SEARCH("C3",N130&amp;P130&amp;R130&amp;T130&amp;V130&amp;X130))),0,1)</f>
        <v>1</v>
      </c>
      <c r="AC130" s="15">
        <f t="shared" ref="AC130:AC193" si="84">IF(AND(G130="DV",ISNUMBER(SEARCH("C4",N130&amp;P130&amp;R130&amp;T130&amp;V130&amp;X130))),0,1)</f>
        <v>1</v>
      </c>
      <c r="AD130" s="15">
        <f t="shared" ref="AD130:AD193" si="85">IF(AND(G130="DV",ISNUMBER(SEARCH("C5",N130&amp;P130&amp;R130&amp;T130&amp;V130&amp;X130))),0,1)</f>
        <v>1</v>
      </c>
      <c r="AE130" s="15">
        <f t="shared" ref="AE130:AE193" si="86">IF(AND(G130="DV",ISNUMBER(SEARCH("C6",N130&amp;P130&amp;R130&amp;T130&amp;V130&amp;X130))),0,1)</f>
        <v>1</v>
      </c>
      <c r="AF130" s="15">
        <f t="shared" ref="AF130:AF193" si="87">IF(AND(G130="DV",ISNUMBER(SEARCH("C7",N130&amp;P130&amp;R130&amp;T130&amp;V130&amp;X130))),0,1)</f>
        <v>1</v>
      </c>
      <c r="AG130" s="15">
        <f t="shared" ref="AG130:AG193" si="88">IF(AND(G130="DV",ISNUMBER(SEARCH("C8",N130&amp;P130&amp;R130&amp;T130&amp;V130&amp;X130))),0,1)</f>
        <v>1</v>
      </c>
      <c r="AH130" s="15">
        <f t="shared" ref="AH130:AH193" si="89">IF(AND(G130="DV",ISNUMBER(SEARCH("C9",N130&amp;P130&amp;R130&amp;T130&amp;V130&amp;X130))),0,1)</f>
        <v>1</v>
      </c>
      <c r="AI130" s="15">
        <f t="shared" ref="AI130:AI193" si="90">IF(AND(G130="DV",ISNUMBER(SEARCH("I1",N130&amp;P130&amp;R130&amp;T130&amp;V130&amp;X130))),0,1)</f>
        <v>1</v>
      </c>
      <c r="AJ130" s="15">
        <f t="shared" ref="AJ130:AJ193" si="91">IF(AND(G130="DV",ISNUMBER(SEARCH("I2",N130&amp;P130&amp;R130&amp;T130&amp;V130&amp;X130))),0,1)</f>
        <v>1</v>
      </c>
      <c r="AK130" s="15">
        <f t="shared" ref="AK130:AK193" si="92">IF(AND(G130="DV",ISNUMBER(SEARCH("I3",N130&amp;P130&amp;R130&amp;T130&amp;V130&amp;X130))),0,1)</f>
        <v>1</v>
      </c>
      <c r="AL130" s="15">
        <f t="shared" ref="AL130:AL193" si="93">IF(AND(G130="AL",ISNUMBER(SEARCH("C1",N130&amp;P130&amp;R130&amp;T130&amp;V130&amp;X130))),0,1)</f>
        <v>1</v>
      </c>
      <c r="AM130" s="15">
        <f t="shared" ref="AM130:AM193" si="94">IF(AND(G130="AL",ISNUMBER(SEARCH("C2",N130&amp;P130&amp;R130&amp;T130&amp;V130&amp;X130))),0,1)</f>
        <v>1</v>
      </c>
      <c r="AN130" s="15">
        <f t="shared" ref="AN130:AN193" si="95">IF(AND(G130="AL",ISNUMBER(SEARCH("C3",N130&amp;P130&amp;R130&amp;T130&amp;V130&amp;X130))),0,1)</f>
        <v>1</v>
      </c>
      <c r="AO130" s="15">
        <f t="shared" ref="AO130:AO193" si="96">IF(AND(G130="AL",ISNUMBER(SEARCH("C4",N130&amp;P130&amp;R130&amp;T130&amp;V130&amp;X130))),0,1)</f>
        <v>1</v>
      </c>
      <c r="AP130" s="15">
        <f t="shared" ref="AP130:AP193" si="97">IF(AND(G130="AL",ISNUMBER(SEARCH("C5",N130&amp;P130&amp;R130&amp;T130&amp;V130&amp;X130))),0,1)</f>
        <v>1</v>
      </c>
      <c r="AQ130" s="15">
        <f t="shared" ref="AQ130:AQ193" si="98">IF(AND(G130="AL",ISNUMBER(SEARCH("C6",N130&amp;P130&amp;R130&amp;T130&amp;V130&amp;X130))),0,1)</f>
        <v>1</v>
      </c>
      <c r="AR130" s="15">
        <f t="shared" ref="AR130:AR193" si="99">IF(AND(G130="AL",ISNUMBER(SEARCH("C7",N130&amp;P130&amp;R130&amp;T130&amp;V130&amp;X130))),0,1)</f>
        <v>1</v>
      </c>
      <c r="AS130" s="15">
        <f t="shared" ref="AS130:AS193" si="100">IF(AND(G130="AL",ISNUMBER(SEARCH("C8",N130&amp;P130&amp;R130&amp;T130&amp;V130&amp;X130))),0,1)</f>
        <v>1</v>
      </c>
      <c r="AT130" s="15">
        <f t="shared" ref="AT130:AT193" si="101">IF(AND(G130="AL",ISNUMBER(SEARCH("C9",N130&amp;P130&amp;R130&amp;T130&amp;V130&amp;X130))),0,1)</f>
        <v>1</v>
      </c>
      <c r="AU130" s="15">
        <f t="shared" ref="AU130:AU193" si="102">IF(AND(G130="AL",ISNUMBER(SEARCH("C10",N130&amp;P130&amp;R130&amp;T130&amp;V130&amp;X130))),0,1)</f>
        <v>1</v>
      </c>
      <c r="AV130" s="15">
        <f t="shared" ref="AV130:AV193" si="103">IF(AND(G130="AL",ISNUMBER(SEARCH("C11",N130&amp;P130&amp;R130&amp;T130&amp;V130&amp;X130))),0,1)</f>
        <v>1</v>
      </c>
      <c r="AW130" s="15">
        <f t="shared" ref="AW130:AW193" si="104">IF(AND(G130="AL",ISNUMBER(SEARCH("C12",N130&amp;P130&amp;R130&amp;T130&amp;V130&amp;X130))),0,1)</f>
        <v>1</v>
      </c>
      <c r="AX130" s="15">
        <f t="shared" ref="AX130:AX193" si="105">IF(AND(G130="AL",ISNUMBER(SEARCH("C13",N130&amp;P130&amp;R130&amp;T130&amp;V130&amp;X130))),0,1)</f>
        <v>1</v>
      </c>
      <c r="AY130" s="15">
        <f t="shared" ref="AY130:AY193" si="106">IF(AND(G130="AL",ISNUMBER(SEARCH("I1",N130&amp;P130&amp;R130&amp;T130&amp;V130&amp;X130))),0,1)</f>
        <v>1</v>
      </c>
      <c r="AZ130" s="15">
        <f t="shared" ref="AZ130:AZ193" si="107">IF(AND(G130="AL",ISNUMBER(SEARCH("I2",N130&amp;P130&amp;R130&amp;T130&amp;V130&amp;X130))),0,1)</f>
        <v>1</v>
      </c>
      <c r="BA130" s="15">
        <f t="shared" ref="BA130:BA193" si="108">IF(AND(G130="AL",ISNUMBER(SEARCH("I3",N130&amp;P130&amp;R130&amp;T130&amp;V130&amp;X130))),0,1)</f>
        <v>1</v>
      </c>
      <c r="BB130" s="15">
        <f t="shared" ref="BB130:BB193" si="109">IF(L130&gt;0,1,0)</f>
        <v>0</v>
      </c>
      <c r="BC130" s="15" t="str">
        <f t="shared" ref="BC130:BC193" si="110">IF(G130="DV",9,IF(G130="AL",13,""))</f>
        <v/>
      </c>
      <c r="BD130" s="15" t="str">
        <f t="shared" ref="BD130:BD193" si="111">IF(G130="DV",3,IF(G130="AL",3,""))</f>
        <v/>
      </c>
      <c r="BE130" s="11" t="e">
        <f t="shared" ref="BE130:BE193" si="112">IF(BC130=0,1,(BC130-L130)/BC130)</f>
        <v>#VALUE!</v>
      </c>
      <c r="BF130" s="11" t="e">
        <f t="shared" ref="BF130:BF193" si="113">IF(BD130=0,1,(BD130-M130)/BD130)</f>
        <v>#VALUE!</v>
      </c>
      <c r="BG130" s="11" t="e">
        <f t="shared" ref="BG130:BG193" si="114">(BE130*0.7)+(BF130*0.3)</f>
        <v>#VALUE!</v>
      </c>
      <c r="BH130" t="str">
        <f t="shared" ref="BH130:BH193" si="115">_xlfn.TEXTJOIN(",",TRUE,N130,P130,R130)</f>
        <v/>
      </c>
      <c r="BI130" t="str" cm="1">
        <f t="array" ref="BI130">_xlfn.IFS(
  L130&gt;0,"Critical Fail",
  M130&gt;0,"Important (Coaching)",
  TRUE,"Clean Pass"
)</f>
        <v>Clean Pass</v>
      </c>
      <c r="BJ130" t="str">
        <f t="shared" ref="BJ130:BJ193" si="116">IF(COUNTA(N130:Y130)=0,"NA",_xlfn.TEXTJOIN(",",TRUE,N130:Y130))</f>
        <v>NA</v>
      </c>
    </row>
    <row r="131" spans="1:62" x14ac:dyDescent="0.3">
      <c r="A131">
        <v>964240</v>
      </c>
      <c r="K131" t="str">
        <f t="shared" si="78"/>
        <v>Pass</v>
      </c>
      <c r="L131" s="15">
        <f t="shared" si="79"/>
        <v>0</v>
      </c>
      <c r="M131" s="15">
        <f t="shared" si="80"/>
        <v>0</v>
      </c>
      <c r="Z131" s="15">
        <f t="shared" si="81"/>
        <v>1</v>
      </c>
      <c r="AA131" s="15">
        <f t="shared" si="82"/>
        <v>1</v>
      </c>
      <c r="AB131" s="15">
        <f t="shared" si="83"/>
        <v>1</v>
      </c>
      <c r="AC131" s="15">
        <f t="shared" si="84"/>
        <v>1</v>
      </c>
      <c r="AD131" s="15">
        <f t="shared" si="85"/>
        <v>1</v>
      </c>
      <c r="AE131" s="15">
        <f t="shared" si="86"/>
        <v>1</v>
      </c>
      <c r="AF131" s="15">
        <f t="shared" si="87"/>
        <v>1</v>
      </c>
      <c r="AG131" s="15">
        <f t="shared" si="88"/>
        <v>1</v>
      </c>
      <c r="AH131" s="15">
        <f t="shared" si="89"/>
        <v>1</v>
      </c>
      <c r="AI131" s="15">
        <f t="shared" si="90"/>
        <v>1</v>
      </c>
      <c r="AJ131" s="15">
        <f t="shared" si="91"/>
        <v>1</v>
      </c>
      <c r="AK131" s="15">
        <f t="shared" si="92"/>
        <v>1</v>
      </c>
      <c r="AL131" s="15">
        <f t="shared" si="93"/>
        <v>1</v>
      </c>
      <c r="AM131" s="15">
        <f t="shared" si="94"/>
        <v>1</v>
      </c>
      <c r="AN131" s="15">
        <f t="shared" si="95"/>
        <v>1</v>
      </c>
      <c r="AO131" s="15">
        <f t="shared" si="96"/>
        <v>1</v>
      </c>
      <c r="AP131" s="15">
        <f t="shared" si="97"/>
        <v>1</v>
      </c>
      <c r="AQ131" s="15">
        <f t="shared" si="98"/>
        <v>1</v>
      </c>
      <c r="AR131" s="15">
        <f t="shared" si="99"/>
        <v>1</v>
      </c>
      <c r="AS131" s="15">
        <f t="shared" si="100"/>
        <v>1</v>
      </c>
      <c r="AT131" s="15">
        <f t="shared" si="101"/>
        <v>1</v>
      </c>
      <c r="AU131" s="15">
        <f t="shared" si="102"/>
        <v>1</v>
      </c>
      <c r="AV131" s="15">
        <f t="shared" si="103"/>
        <v>1</v>
      </c>
      <c r="AW131" s="15">
        <f t="shared" si="104"/>
        <v>1</v>
      </c>
      <c r="AX131" s="15">
        <f t="shared" si="105"/>
        <v>1</v>
      </c>
      <c r="AY131" s="15">
        <f t="shared" si="106"/>
        <v>1</v>
      </c>
      <c r="AZ131" s="15">
        <f t="shared" si="107"/>
        <v>1</v>
      </c>
      <c r="BA131" s="15">
        <f t="shared" si="108"/>
        <v>1</v>
      </c>
      <c r="BB131" s="15">
        <f t="shared" si="109"/>
        <v>0</v>
      </c>
      <c r="BC131" s="15" t="str">
        <f t="shared" si="110"/>
        <v/>
      </c>
      <c r="BD131" s="15" t="str">
        <f t="shared" si="111"/>
        <v/>
      </c>
      <c r="BE131" s="11" t="e">
        <f t="shared" si="112"/>
        <v>#VALUE!</v>
      </c>
      <c r="BF131" s="11" t="e">
        <f t="shared" si="113"/>
        <v>#VALUE!</v>
      </c>
      <c r="BG131" s="11" t="e">
        <f t="shared" si="114"/>
        <v>#VALUE!</v>
      </c>
      <c r="BH131" t="str">
        <f t="shared" si="115"/>
        <v/>
      </c>
      <c r="BI131" t="str" cm="1">
        <f t="array" ref="BI131">_xlfn.IFS(
  L131&gt;0,"Critical Fail",
  M131&gt;0,"Important (Coaching)",
  TRUE,"Clean Pass"
)</f>
        <v>Clean Pass</v>
      </c>
      <c r="BJ131" t="str">
        <f t="shared" si="116"/>
        <v>NA</v>
      </c>
    </row>
    <row r="132" spans="1:62" x14ac:dyDescent="0.3">
      <c r="A132">
        <v>570874</v>
      </c>
      <c r="K132" t="str">
        <f t="shared" si="78"/>
        <v>Pass</v>
      </c>
      <c r="L132" s="15">
        <f t="shared" si="79"/>
        <v>0</v>
      </c>
      <c r="M132" s="15">
        <f t="shared" si="80"/>
        <v>0</v>
      </c>
      <c r="Z132" s="15">
        <f t="shared" si="81"/>
        <v>1</v>
      </c>
      <c r="AA132" s="15">
        <f t="shared" si="82"/>
        <v>1</v>
      </c>
      <c r="AB132" s="15">
        <f t="shared" si="83"/>
        <v>1</v>
      </c>
      <c r="AC132" s="15">
        <f t="shared" si="84"/>
        <v>1</v>
      </c>
      <c r="AD132" s="15">
        <f t="shared" si="85"/>
        <v>1</v>
      </c>
      <c r="AE132" s="15">
        <f t="shared" si="86"/>
        <v>1</v>
      </c>
      <c r="AF132" s="15">
        <f t="shared" si="87"/>
        <v>1</v>
      </c>
      <c r="AG132" s="15">
        <f t="shared" si="88"/>
        <v>1</v>
      </c>
      <c r="AH132" s="15">
        <f t="shared" si="89"/>
        <v>1</v>
      </c>
      <c r="AI132" s="15">
        <f t="shared" si="90"/>
        <v>1</v>
      </c>
      <c r="AJ132" s="15">
        <f t="shared" si="91"/>
        <v>1</v>
      </c>
      <c r="AK132" s="15">
        <f t="shared" si="92"/>
        <v>1</v>
      </c>
      <c r="AL132" s="15">
        <f t="shared" si="93"/>
        <v>1</v>
      </c>
      <c r="AM132" s="15">
        <f t="shared" si="94"/>
        <v>1</v>
      </c>
      <c r="AN132" s="15">
        <f t="shared" si="95"/>
        <v>1</v>
      </c>
      <c r="AO132" s="15">
        <f t="shared" si="96"/>
        <v>1</v>
      </c>
      <c r="AP132" s="15">
        <f t="shared" si="97"/>
        <v>1</v>
      </c>
      <c r="AQ132" s="15">
        <f t="shared" si="98"/>
        <v>1</v>
      </c>
      <c r="AR132" s="15">
        <f t="shared" si="99"/>
        <v>1</v>
      </c>
      <c r="AS132" s="15">
        <f t="shared" si="100"/>
        <v>1</v>
      </c>
      <c r="AT132" s="15">
        <f t="shared" si="101"/>
        <v>1</v>
      </c>
      <c r="AU132" s="15">
        <f t="shared" si="102"/>
        <v>1</v>
      </c>
      <c r="AV132" s="15">
        <f t="shared" si="103"/>
        <v>1</v>
      </c>
      <c r="AW132" s="15">
        <f t="shared" si="104"/>
        <v>1</v>
      </c>
      <c r="AX132" s="15">
        <f t="shared" si="105"/>
        <v>1</v>
      </c>
      <c r="AY132" s="15">
        <f t="shared" si="106"/>
        <v>1</v>
      </c>
      <c r="AZ132" s="15">
        <f t="shared" si="107"/>
        <v>1</v>
      </c>
      <c r="BA132" s="15">
        <f t="shared" si="108"/>
        <v>1</v>
      </c>
      <c r="BB132" s="15">
        <f t="shared" si="109"/>
        <v>0</v>
      </c>
      <c r="BC132" s="15" t="str">
        <f t="shared" si="110"/>
        <v/>
      </c>
      <c r="BD132" s="15" t="str">
        <f t="shared" si="111"/>
        <v/>
      </c>
      <c r="BE132" s="11" t="e">
        <f t="shared" si="112"/>
        <v>#VALUE!</v>
      </c>
      <c r="BF132" s="11" t="e">
        <f t="shared" si="113"/>
        <v>#VALUE!</v>
      </c>
      <c r="BG132" s="11" t="e">
        <f t="shared" si="114"/>
        <v>#VALUE!</v>
      </c>
      <c r="BH132" t="str">
        <f t="shared" si="115"/>
        <v/>
      </c>
      <c r="BI132" t="str" cm="1">
        <f t="array" ref="BI132">_xlfn.IFS(
  L132&gt;0,"Critical Fail",
  M132&gt;0,"Important (Coaching)",
  TRUE,"Clean Pass"
)</f>
        <v>Clean Pass</v>
      </c>
      <c r="BJ132" t="str">
        <f t="shared" si="116"/>
        <v>NA</v>
      </c>
    </row>
    <row r="133" spans="1:62" x14ac:dyDescent="0.3">
      <c r="A133">
        <v>170183</v>
      </c>
      <c r="K133" t="str">
        <f t="shared" si="78"/>
        <v>Pass</v>
      </c>
      <c r="L133" s="15">
        <f t="shared" si="79"/>
        <v>0</v>
      </c>
      <c r="M133" s="15">
        <f t="shared" si="80"/>
        <v>0</v>
      </c>
      <c r="Z133" s="15">
        <f t="shared" si="81"/>
        <v>1</v>
      </c>
      <c r="AA133" s="15">
        <f t="shared" si="82"/>
        <v>1</v>
      </c>
      <c r="AB133" s="15">
        <f t="shared" si="83"/>
        <v>1</v>
      </c>
      <c r="AC133" s="15">
        <f t="shared" si="84"/>
        <v>1</v>
      </c>
      <c r="AD133" s="15">
        <f t="shared" si="85"/>
        <v>1</v>
      </c>
      <c r="AE133" s="15">
        <f t="shared" si="86"/>
        <v>1</v>
      </c>
      <c r="AF133" s="15">
        <f t="shared" si="87"/>
        <v>1</v>
      </c>
      <c r="AG133" s="15">
        <f t="shared" si="88"/>
        <v>1</v>
      </c>
      <c r="AH133" s="15">
        <f t="shared" si="89"/>
        <v>1</v>
      </c>
      <c r="AI133" s="15">
        <f t="shared" si="90"/>
        <v>1</v>
      </c>
      <c r="AJ133" s="15">
        <f t="shared" si="91"/>
        <v>1</v>
      </c>
      <c r="AK133" s="15">
        <f t="shared" si="92"/>
        <v>1</v>
      </c>
      <c r="AL133" s="15">
        <f t="shared" si="93"/>
        <v>1</v>
      </c>
      <c r="AM133" s="15">
        <f t="shared" si="94"/>
        <v>1</v>
      </c>
      <c r="AN133" s="15">
        <f t="shared" si="95"/>
        <v>1</v>
      </c>
      <c r="AO133" s="15">
        <f t="shared" si="96"/>
        <v>1</v>
      </c>
      <c r="AP133" s="15">
        <f t="shared" si="97"/>
        <v>1</v>
      </c>
      <c r="AQ133" s="15">
        <f t="shared" si="98"/>
        <v>1</v>
      </c>
      <c r="AR133" s="15">
        <f t="shared" si="99"/>
        <v>1</v>
      </c>
      <c r="AS133" s="15">
        <f t="shared" si="100"/>
        <v>1</v>
      </c>
      <c r="AT133" s="15">
        <f t="shared" si="101"/>
        <v>1</v>
      </c>
      <c r="AU133" s="15">
        <f t="shared" si="102"/>
        <v>1</v>
      </c>
      <c r="AV133" s="15">
        <f t="shared" si="103"/>
        <v>1</v>
      </c>
      <c r="AW133" s="15">
        <f t="shared" si="104"/>
        <v>1</v>
      </c>
      <c r="AX133" s="15">
        <f t="shared" si="105"/>
        <v>1</v>
      </c>
      <c r="AY133" s="15">
        <f t="shared" si="106"/>
        <v>1</v>
      </c>
      <c r="AZ133" s="15">
        <f t="shared" si="107"/>
        <v>1</v>
      </c>
      <c r="BA133" s="15">
        <f t="shared" si="108"/>
        <v>1</v>
      </c>
      <c r="BB133" s="15">
        <f t="shared" si="109"/>
        <v>0</v>
      </c>
      <c r="BC133" s="15" t="str">
        <f t="shared" si="110"/>
        <v/>
      </c>
      <c r="BD133" s="15" t="str">
        <f t="shared" si="111"/>
        <v/>
      </c>
      <c r="BE133" s="11" t="e">
        <f t="shared" si="112"/>
        <v>#VALUE!</v>
      </c>
      <c r="BF133" s="11" t="e">
        <f t="shared" si="113"/>
        <v>#VALUE!</v>
      </c>
      <c r="BG133" s="11" t="e">
        <f t="shared" si="114"/>
        <v>#VALUE!</v>
      </c>
      <c r="BH133" t="str">
        <f t="shared" si="115"/>
        <v/>
      </c>
      <c r="BI133" t="str" cm="1">
        <f t="array" ref="BI133">_xlfn.IFS(
  L133&gt;0,"Critical Fail",
  M133&gt;0,"Important (Coaching)",
  TRUE,"Clean Pass"
)</f>
        <v>Clean Pass</v>
      </c>
      <c r="BJ133" t="str">
        <f t="shared" si="116"/>
        <v>NA</v>
      </c>
    </row>
    <row r="134" spans="1:62" x14ac:dyDescent="0.3">
      <c r="A134">
        <v>867474</v>
      </c>
      <c r="K134" t="str">
        <f t="shared" si="78"/>
        <v>Pass</v>
      </c>
      <c r="L134" s="15">
        <f t="shared" si="79"/>
        <v>0</v>
      </c>
      <c r="M134" s="15">
        <f t="shared" si="80"/>
        <v>0</v>
      </c>
      <c r="Z134" s="15">
        <f t="shared" si="81"/>
        <v>1</v>
      </c>
      <c r="AA134" s="15">
        <f t="shared" si="82"/>
        <v>1</v>
      </c>
      <c r="AB134" s="15">
        <f t="shared" si="83"/>
        <v>1</v>
      </c>
      <c r="AC134" s="15">
        <f t="shared" si="84"/>
        <v>1</v>
      </c>
      <c r="AD134" s="15">
        <f t="shared" si="85"/>
        <v>1</v>
      </c>
      <c r="AE134" s="15">
        <f t="shared" si="86"/>
        <v>1</v>
      </c>
      <c r="AF134" s="15">
        <f t="shared" si="87"/>
        <v>1</v>
      </c>
      <c r="AG134" s="15">
        <f t="shared" si="88"/>
        <v>1</v>
      </c>
      <c r="AH134" s="15">
        <f t="shared" si="89"/>
        <v>1</v>
      </c>
      <c r="AI134" s="15">
        <f t="shared" si="90"/>
        <v>1</v>
      </c>
      <c r="AJ134" s="15">
        <f t="shared" si="91"/>
        <v>1</v>
      </c>
      <c r="AK134" s="15">
        <f t="shared" si="92"/>
        <v>1</v>
      </c>
      <c r="AL134" s="15">
        <f t="shared" si="93"/>
        <v>1</v>
      </c>
      <c r="AM134" s="15">
        <f t="shared" si="94"/>
        <v>1</v>
      </c>
      <c r="AN134" s="15">
        <f t="shared" si="95"/>
        <v>1</v>
      </c>
      <c r="AO134" s="15">
        <f t="shared" si="96"/>
        <v>1</v>
      </c>
      <c r="AP134" s="15">
        <f t="shared" si="97"/>
        <v>1</v>
      </c>
      <c r="AQ134" s="15">
        <f t="shared" si="98"/>
        <v>1</v>
      </c>
      <c r="AR134" s="15">
        <f t="shared" si="99"/>
        <v>1</v>
      </c>
      <c r="AS134" s="15">
        <f t="shared" si="100"/>
        <v>1</v>
      </c>
      <c r="AT134" s="15">
        <f t="shared" si="101"/>
        <v>1</v>
      </c>
      <c r="AU134" s="15">
        <f t="shared" si="102"/>
        <v>1</v>
      </c>
      <c r="AV134" s="15">
        <f t="shared" si="103"/>
        <v>1</v>
      </c>
      <c r="AW134" s="15">
        <f t="shared" si="104"/>
        <v>1</v>
      </c>
      <c r="AX134" s="15">
        <f t="shared" si="105"/>
        <v>1</v>
      </c>
      <c r="AY134" s="15">
        <f t="shared" si="106"/>
        <v>1</v>
      </c>
      <c r="AZ134" s="15">
        <f t="shared" si="107"/>
        <v>1</v>
      </c>
      <c r="BA134" s="15">
        <f t="shared" si="108"/>
        <v>1</v>
      </c>
      <c r="BB134" s="15">
        <f t="shared" si="109"/>
        <v>0</v>
      </c>
      <c r="BC134" s="15" t="str">
        <f t="shared" si="110"/>
        <v/>
      </c>
      <c r="BD134" s="15" t="str">
        <f t="shared" si="111"/>
        <v/>
      </c>
      <c r="BE134" s="11" t="e">
        <f t="shared" si="112"/>
        <v>#VALUE!</v>
      </c>
      <c r="BF134" s="11" t="e">
        <f t="shared" si="113"/>
        <v>#VALUE!</v>
      </c>
      <c r="BG134" s="11" t="e">
        <f t="shared" si="114"/>
        <v>#VALUE!</v>
      </c>
      <c r="BH134" t="str">
        <f t="shared" si="115"/>
        <v/>
      </c>
      <c r="BI134" t="str" cm="1">
        <f t="array" ref="BI134">_xlfn.IFS(
  L134&gt;0,"Critical Fail",
  M134&gt;0,"Important (Coaching)",
  TRUE,"Clean Pass"
)</f>
        <v>Clean Pass</v>
      </c>
      <c r="BJ134" t="str">
        <f t="shared" si="116"/>
        <v>NA</v>
      </c>
    </row>
    <row r="135" spans="1:62" x14ac:dyDescent="0.3">
      <c r="A135">
        <v>290932</v>
      </c>
      <c r="K135" t="str">
        <f t="shared" si="78"/>
        <v>Pass</v>
      </c>
      <c r="L135" s="15">
        <f t="shared" si="79"/>
        <v>0</v>
      </c>
      <c r="M135" s="15">
        <f t="shared" si="80"/>
        <v>0</v>
      </c>
      <c r="Z135" s="15">
        <f t="shared" si="81"/>
        <v>1</v>
      </c>
      <c r="AA135" s="15">
        <f t="shared" si="82"/>
        <v>1</v>
      </c>
      <c r="AB135" s="15">
        <f t="shared" si="83"/>
        <v>1</v>
      </c>
      <c r="AC135" s="15">
        <f t="shared" si="84"/>
        <v>1</v>
      </c>
      <c r="AD135" s="15">
        <f t="shared" si="85"/>
        <v>1</v>
      </c>
      <c r="AE135" s="15">
        <f t="shared" si="86"/>
        <v>1</v>
      </c>
      <c r="AF135" s="15">
        <f t="shared" si="87"/>
        <v>1</v>
      </c>
      <c r="AG135" s="15">
        <f t="shared" si="88"/>
        <v>1</v>
      </c>
      <c r="AH135" s="15">
        <f t="shared" si="89"/>
        <v>1</v>
      </c>
      <c r="AI135" s="15">
        <f t="shared" si="90"/>
        <v>1</v>
      </c>
      <c r="AJ135" s="15">
        <f t="shared" si="91"/>
        <v>1</v>
      </c>
      <c r="AK135" s="15">
        <f t="shared" si="92"/>
        <v>1</v>
      </c>
      <c r="AL135" s="15">
        <f t="shared" si="93"/>
        <v>1</v>
      </c>
      <c r="AM135" s="15">
        <f t="shared" si="94"/>
        <v>1</v>
      </c>
      <c r="AN135" s="15">
        <f t="shared" si="95"/>
        <v>1</v>
      </c>
      <c r="AO135" s="15">
        <f t="shared" si="96"/>
        <v>1</v>
      </c>
      <c r="AP135" s="15">
        <f t="shared" si="97"/>
        <v>1</v>
      </c>
      <c r="AQ135" s="15">
        <f t="shared" si="98"/>
        <v>1</v>
      </c>
      <c r="AR135" s="15">
        <f t="shared" si="99"/>
        <v>1</v>
      </c>
      <c r="AS135" s="15">
        <f t="shared" si="100"/>
        <v>1</v>
      </c>
      <c r="AT135" s="15">
        <f t="shared" si="101"/>
        <v>1</v>
      </c>
      <c r="AU135" s="15">
        <f t="shared" si="102"/>
        <v>1</v>
      </c>
      <c r="AV135" s="15">
        <f t="shared" si="103"/>
        <v>1</v>
      </c>
      <c r="AW135" s="15">
        <f t="shared" si="104"/>
        <v>1</v>
      </c>
      <c r="AX135" s="15">
        <f t="shared" si="105"/>
        <v>1</v>
      </c>
      <c r="AY135" s="15">
        <f t="shared" si="106"/>
        <v>1</v>
      </c>
      <c r="AZ135" s="15">
        <f t="shared" si="107"/>
        <v>1</v>
      </c>
      <c r="BA135" s="15">
        <f t="shared" si="108"/>
        <v>1</v>
      </c>
      <c r="BB135" s="15">
        <f t="shared" si="109"/>
        <v>0</v>
      </c>
      <c r="BC135" s="15" t="str">
        <f t="shared" si="110"/>
        <v/>
      </c>
      <c r="BD135" s="15" t="str">
        <f t="shared" si="111"/>
        <v/>
      </c>
      <c r="BE135" s="11" t="e">
        <f t="shared" si="112"/>
        <v>#VALUE!</v>
      </c>
      <c r="BF135" s="11" t="e">
        <f t="shared" si="113"/>
        <v>#VALUE!</v>
      </c>
      <c r="BG135" s="11" t="e">
        <f t="shared" si="114"/>
        <v>#VALUE!</v>
      </c>
      <c r="BH135" t="str">
        <f t="shared" si="115"/>
        <v/>
      </c>
      <c r="BI135" t="str" cm="1">
        <f t="array" ref="BI135">_xlfn.IFS(
  L135&gt;0,"Critical Fail",
  M135&gt;0,"Important (Coaching)",
  TRUE,"Clean Pass"
)</f>
        <v>Clean Pass</v>
      </c>
      <c r="BJ135" t="str">
        <f t="shared" si="116"/>
        <v>NA</v>
      </c>
    </row>
    <row r="136" spans="1:62" x14ac:dyDescent="0.3">
      <c r="A136">
        <v>666699</v>
      </c>
      <c r="K136" t="str">
        <f t="shared" si="78"/>
        <v>Pass</v>
      </c>
      <c r="L136" s="15">
        <f t="shared" si="79"/>
        <v>0</v>
      </c>
      <c r="M136" s="15">
        <f t="shared" si="80"/>
        <v>0</v>
      </c>
      <c r="Z136" s="15">
        <f t="shared" si="81"/>
        <v>1</v>
      </c>
      <c r="AA136" s="15">
        <f t="shared" si="82"/>
        <v>1</v>
      </c>
      <c r="AB136" s="15">
        <f t="shared" si="83"/>
        <v>1</v>
      </c>
      <c r="AC136" s="15">
        <f t="shared" si="84"/>
        <v>1</v>
      </c>
      <c r="AD136" s="15">
        <f t="shared" si="85"/>
        <v>1</v>
      </c>
      <c r="AE136" s="15">
        <f t="shared" si="86"/>
        <v>1</v>
      </c>
      <c r="AF136" s="15">
        <f t="shared" si="87"/>
        <v>1</v>
      </c>
      <c r="AG136" s="15">
        <f t="shared" si="88"/>
        <v>1</v>
      </c>
      <c r="AH136" s="15">
        <f t="shared" si="89"/>
        <v>1</v>
      </c>
      <c r="AI136" s="15">
        <f t="shared" si="90"/>
        <v>1</v>
      </c>
      <c r="AJ136" s="15">
        <f t="shared" si="91"/>
        <v>1</v>
      </c>
      <c r="AK136" s="15">
        <f t="shared" si="92"/>
        <v>1</v>
      </c>
      <c r="AL136" s="15">
        <f t="shared" si="93"/>
        <v>1</v>
      </c>
      <c r="AM136" s="15">
        <f t="shared" si="94"/>
        <v>1</v>
      </c>
      <c r="AN136" s="15">
        <f t="shared" si="95"/>
        <v>1</v>
      </c>
      <c r="AO136" s="15">
        <f t="shared" si="96"/>
        <v>1</v>
      </c>
      <c r="AP136" s="15">
        <f t="shared" si="97"/>
        <v>1</v>
      </c>
      <c r="AQ136" s="15">
        <f t="shared" si="98"/>
        <v>1</v>
      </c>
      <c r="AR136" s="15">
        <f t="shared" si="99"/>
        <v>1</v>
      </c>
      <c r="AS136" s="15">
        <f t="shared" si="100"/>
        <v>1</v>
      </c>
      <c r="AT136" s="15">
        <f t="shared" si="101"/>
        <v>1</v>
      </c>
      <c r="AU136" s="15">
        <f t="shared" si="102"/>
        <v>1</v>
      </c>
      <c r="AV136" s="15">
        <f t="shared" si="103"/>
        <v>1</v>
      </c>
      <c r="AW136" s="15">
        <f t="shared" si="104"/>
        <v>1</v>
      </c>
      <c r="AX136" s="15">
        <f t="shared" si="105"/>
        <v>1</v>
      </c>
      <c r="AY136" s="15">
        <f t="shared" si="106"/>
        <v>1</v>
      </c>
      <c r="AZ136" s="15">
        <f t="shared" si="107"/>
        <v>1</v>
      </c>
      <c r="BA136" s="15">
        <f t="shared" si="108"/>
        <v>1</v>
      </c>
      <c r="BB136" s="15">
        <f t="shared" si="109"/>
        <v>0</v>
      </c>
      <c r="BC136" s="15" t="str">
        <f t="shared" si="110"/>
        <v/>
      </c>
      <c r="BD136" s="15" t="str">
        <f t="shared" si="111"/>
        <v/>
      </c>
      <c r="BE136" s="11" t="e">
        <f t="shared" si="112"/>
        <v>#VALUE!</v>
      </c>
      <c r="BF136" s="11" t="e">
        <f t="shared" si="113"/>
        <v>#VALUE!</v>
      </c>
      <c r="BG136" s="11" t="e">
        <f t="shared" si="114"/>
        <v>#VALUE!</v>
      </c>
      <c r="BH136" t="str">
        <f t="shared" si="115"/>
        <v/>
      </c>
      <c r="BI136" t="str" cm="1">
        <f t="array" ref="BI136">_xlfn.IFS(
  L136&gt;0,"Critical Fail",
  M136&gt;0,"Important (Coaching)",
  TRUE,"Clean Pass"
)</f>
        <v>Clean Pass</v>
      </c>
      <c r="BJ136" t="str">
        <f t="shared" si="116"/>
        <v>NA</v>
      </c>
    </row>
    <row r="137" spans="1:62" x14ac:dyDescent="0.3">
      <c r="A137">
        <v>140805</v>
      </c>
      <c r="K137" t="str">
        <f t="shared" si="78"/>
        <v>Pass</v>
      </c>
      <c r="L137" s="15">
        <f t="shared" si="79"/>
        <v>0</v>
      </c>
      <c r="M137" s="15">
        <f t="shared" si="80"/>
        <v>0</v>
      </c>
      <c r="Z137" s="15">
        <f t="shared" si="81"/>
        <v>1</v>
      </c>
      <c r="AA137" s="15">
        <f t="shared" si="82"/>
        <v>1</v>
      </c>
      <c r="AB137" s="15">
        <f t="shared" si="83"/>
        <v>1</v>
      </c>
      <c r="AC137" s="15">
        <f t="shared" si="84"/>
        <v>1</v>
      </c>
      <c r="AD137" s="15">
        <f t="shared" si="85"/>
        <v>1</v>
      </c>
      <c r="AE137" s="15">
        <f t="shared" si="86"/>
        <v>1</v>
      </c>
      <c r="AF137" s="15">
        <f t="shared" si="87"/>
        <v>1</v>
      </c>
      <c r="AG137" s="15">
        <f t="shared" si="88"/>
        <v>1</v>
      </c>
      <c r="AH137" s="15">
        <f t="shared" si="89"/>
        <v>1</v>
      </c>
      <c r="AI137" s="15">
        <f t="shared" si="90"/>
        <v>1</v>
      </c>
      <c r="AJ137" s="15">
        <f t="shared" si="91"/>
        <v>1</v>
      </c>
      <c r="AK137" s="15">
        <f t="shared" si="92"/>
        <v>1</v>
      </c>
      <c r="AL137" s="15">
        <f t="shared" si="93"/>
        <v>1</v>
      </c>
      <c r="AM137" s="15">
        <f t="shared" si="94"/>
        <v>1</v>
      </c>
      <c r="AN137" s="15">
        <f t="shared" si="95"/>
        <v>1</v>
      </c>
      <c r="AO137" s="15">
        <f t="shared" si="96"/>
        <v>1</v>
      </c>
      <c r="AP137" s="15">
        <f t="shared" si="97"/>
        <v>1</v>
      </c>
      <c r="AQ137" s="15">
        <f t="shared" si="98"/>
        <v>1</v>
      </c>
      <c r="AR137" s="15">
        <f t="shared" si="99"/>
        <v>1</v>
      </c>
      <c r="AS137" s="15">
        <f t="shared" si="100"/>
        <v>1</v>
      </c>
      <c r="AT137" s="15">
        <f t="shared" si="101"/>
        <v>1</v>
      </c>
      <c r="AU137" s="15">
        <f t="shared" si="102"/>
        <v>1</v>
      </c>
      <c r="AV137" s="15">
        <f t="shared" si="103"/>
        <v>1</v>
      </c>
      <c r="AW137" s="15">
        <f t="shared" si="104"/>
        <v>1</v>
      </c>
      <c r="AX137" s="15">
        <f t="shared" si="105"/>
        <v>1</v>
      </c>
      <c r="AY137" s="15">
        <f t="shared" si="106"/>
        <v>1</v>
      </c>
      <c r="AZ137" s="15">
        <f t="shared" si="107"/>
        <v>1</v>
      </c>
      <c r="BA137" s="15">
        <f t="shared" si="108"/>
        <v>1</v>
      </c>
      <c r="BB137" s="15">
        <f t="shared" si="109"/>
        <v>0</v>
      </c>
      <c r="BC137" s="15" t="str">
        <f t="shared" si="110"/>
        <v/>
      </c>
      <c r="BD137" s="15" t="str">
        <f t="shared" si="111"/>
        <v/>
      </c>
      <c r="BE137" s="11" t="e">
        <f t="shared" si="112"/>
        <v>#VALUE!</v>
      </c>
      <c r="BF137" s="11" t="e">
        <f t="shared" si="113"/>
        <v>#VALUE!</v>
      </c>
      <c r="BG137" s="11" t="e">
        <f t="shared" si="114"/>
        <v>#VALUE!</v>
      </c>
      <c r="BH137" t="str">
        <f t="shared" si="115"/>
        <v/>
      </c>
      <c r="BI137" t="str" cm="1">
        <f t="array" ref="BI137">_xlfn.IFS(
  L137&gt;0,"Critical Fail",
  M137&gt;0,"Important (Coaching)",
  TRUE,"Clean Pass"
)</f>
        <v>Clean Pass</v>
      </c>
      <c r="BJ137" t="str">
        <f t="shared" si="116"/>
        <v>NA</v>
      </c>
    </row>
    <row r="138" spans="1:62" x14ac:dyDescent="0.3">
      <c r="A138">
        <v>912726</v>
      </c>
      <c r="K138" t="str">
        <f t="shared" si="78"/>
        <v>Pass</v>
      </c>
      <c r="L138" s="15">
        <f t="shared" si="79"/>
        <v>0</v>
      </c>
      <c r="M138" s="15">
        <f t="shared" si="80"/>
        <v>0</v>
      </c>
      <c r="Z138" s="15">
        <f t="shared" si="81"/>
        <v>1</v>
      </c>
      <c r="AA138" s="15">
        <f t="shared" si="82"/>
        <v>1</v>
      </c>
      <c r="AB138" s="15">
        <f t="shared" si="83"/>
        <v>1</v>
      </c>
      <c r="AC138" s="15">
        <f t="shared" si="84"/>
        <v>1</v>
      </c>
      <c r="AD138" s="15">
        <f t="shared" si="85"/>
        <v>1</v>
      </c>
      <c r="AE138" s="15">
        <f t="shared" si="86"/>
        <v>1</v>
      </c>
      <c r="AF138" s="15">
        <f t="shared" si="87"/>
        <v>1</v>
      </c>
      <c r="AG138" s="15">
        <f t="shared" si="88"/>
        <v>1</v>
      </c>
      <c r="AH138" s="15">
        <f t="shared" si="89"/>
        <v>1</v>
      </c>
      <c r="AI138" s="15">
        <f t="shared" si="90"/>
        <v>1</v>
      </c>
      <c r="AJ138" s="15">
        <f t="shared" si="91"/>
        <v>1</v>
      </c>
      <c r="AK138" s="15">
        <f t="shared" si="92"/>
        <v>1</v>
      </c>
      <c r="AL138" s="15">
        <f t="shared" si="93"/>
        <v>1</v>
      </c>
      <c r="AM138" s="15">
        <f t="shared" si="94"/>
        <v>1</v>
      </c>
      <c r="AN138" s="15">
        <f t="shared" si="95"/>
        <v>1</v>
      </c>
      <c r="AO138" s="15">
        <f t="shared" si="96"/>
        <v>1</v>
      </c>
      <c r="AP138" s="15">
        <f t="shared" si="97"/>
        <v>1</v>
      </c>
      <c r="AQ138" s="15">
        <f t="shared" si="98"/>
        <v>1</v>
      </c>
      <c r="AR138" s="15">
        <f t="shared" si="99"/>
        <v>1</v>
      </c>
      <c r="AS138" s="15">
        <f t="shared" si="100"/>
        <v>1</v>
      </c>
      <c r="AT138" s="15">
        <f t="shared" si="101"/>
        <v>1</v>
      </c>
      <c r="AU138" s="15">
        <f t="shared" si="102"/>
        <v>1</v>
      </c>
      <c r="AV138" s="15">
        <f t="shared" si="103"/>
        <v>1</v>
      </c>
      <c r="AW138" s="15">
        <f t="shared" si="104"/>
        <v>1</v>
      </c>
      <c r="AX138" s="15">
        <f t="shared" si="105"/>
        <v>1</v>
      </c>
      <c r="AY138" s="15">
        <f t="shared" si="106"/>
        <v>1</v>
      </c>
      <c r="AZ138" s="15">
        <f t="shared" si="107"/>
        <v>1</v>
      </c>
      <c r="BA138" s="15">
        <f t="shared" si="108"/>
        <v>1</v>
      </c>
      <c r="BB138" s="15">
        <f t="shared" si="109"/>
        <v>0</v>
      </c>
      <c r="BC138" s="15" t="str">
        <f t="shared" si="110"/>
        <v/>
      </c>
      <c r="BD138" s="15" t="str">
        <f t="shared" si="111"/>
        <v/>
      </c>
      <c r="BE138" s="11" t="e">
        <f t="shared" si="112"/>
        <v>#VALUE!</v>
      </c>
      <c r="BF138" s="11" t="e">
        <f t="shared" si="113"/>
        <v>#VALUE!</v>
      </c>
      <c r="BG138" s="11" t="e">
        <f t="shared" si="114"/>
        <v>#VALUE!</v>
      </c>
      <c r="BH138" t="str">
        <f t="shared" si="115"/>
        <v/>
      </c>
      <c r="BI138" t="str" cm="1">
        <f t="array" ref="BI138">_xlfn.IFS(
  L138&gt;0,"Critical Fail",
  M138&gt;0,"Important (Coaching)",
  TRUE,"Clean Pass"
)</f>
        <v>Clean Pass</v>
      </c>
      <c r="BJ138" t="str">
        <f t="shared" si="116"/>
        <v>NA</v>
      </c>
    </row>
    <row r="139" spans="1:62" x14ac:dyDescent="0.3">
      <c r="A139">
        <v>477308</v>
      </c>
      <c r="K139" t="str">
        <f t="shared" si="78"/>
        <v>Pass</v>
      </c>
      <c r="L139" s="15">
        <f t="shared" si="79"/>
        <v>0</v>
      </c>
      <c r="M139" s="15">
        <f t="shared" si="80"/>
        <v>0</v>
      </c>
      <c r="Z139" s="15">
        <f t="shared" si="81"/>
        <v>1</v>
      </c>
      <c r="AA139" s="15">
        <f t="shared" si="82"/>
        <v>1</v>
      </c>
      <c r="AB139" s="15">
        <f t="shared" si="83"/>
        <v>1</v>
      </c>
      <c r="AC139" s="15">
        <f t="shared" si="84"/>
        <v>1</v>
      </c>
      <c r="AD139" s="15">
        <f t="shared" si="85"/>
        <v>1</v>
      </c>
      <c r="AE139" s="15">
        <f t="shared" si="86"/>
        <v>1</v>
      </c>
      <c r="AF139" s="15">
        <f t="shared" si="87"/>
        <v>1</v>
      </c>
      <c r="AG139" s="15">
        <f t="shared" si="88"/>
        <v>1</v>
      </c>
      <c r="AH139" s="15">
        <f t="shared" si="89"/>
        <v>1</v>
      </c>
      <c r="AI139" s="15">
        <f t="shared" si="90"/>
        <v>1</v>
      </c>
      <c r="AJ139" s="15">
        <f t="shared" si="91"/>
        <v>1</v>
      </c>
      <c r="AK139" s="15">
        <f t="shared" si="92"/>
        <v>1</v>
      </c>
      <c r="AL139" s="15">
        <f t="shared" si="93"/>
        <v>1</v>
      </c>
      <c r="AM139" s="15">
        <f t="shared" si="94"/>
        <v>1</v>
      </c>
      <c r="AN139" s="15">
        <f t="shared" si="95"/>
        <v>1</v>
      </c>
      <c r="AO139" s="15">
        <f t="shared" si="96"/>
        <v>1</v>
      </c>
      <c r="AP139" s="15">
        <f t="shared" si="97"/>
        <v>1</v>
      </c>
      <c r="AQ139" s="15">
        <f t="shared" si="98"/>
        <v>1</v>
      </c>
      <c r="AR139" s="15">
        <f t="shared" si="99"/>
        <v>1</v>
      </c>
      <c r="AS139" s="15">
        <f t="shared" si="100"/>
        <v>1</v>
      </c>
      <c r="AT139" s="15">
        <f t="shared" si="101"/>
        <v>1</v>
      </c>
      <c r="AU139" s="15">
        <f t="shared" si="102"/>
        <v>1</v>
      </c>
      <c r="AV139" s="15">
        <f t="shared" si="103"/>
        <v>1</v>
      </c>
      <c r="AW139" s="15">
        <f t="shared" si="104"/>
        <v>1</v>
      </c>
      <c r="AX139" s="15">
        <f t="shared" si="105"/>
        <v>1</v>
      </c>
      <c r="AY139" s="15">
        <f t="shared" si="106"/>
        <v>1</v>
      </c>
      <c r="AZ139" s="15">
        <f t="shared" si="107"/>
        <v>1</v>
      </c>
      <c r="BA139" s="15">
        <f t="shared" si="108"/>
        <v>1</v>
      </c>
      <c r="BB139" s="15">
        <f t="shared" si="109"/>
        <v>0</v>
      </c>
      <c r="BC139" s="15" t="str">
        <f t="shared" si="110"/>
        <v/>
      </c>
      <c r="BD139" s="15" t="str">
        <f t="shared" si="111"/>
        <v/>
      </c>
      <c r="BE139" s="11" t="e">
        <f t="shared" si="112"/>
        <v>#VALUE!</v>
      </c>
      <c r="BF139" s="11" t="e">
        <f t="shared" si="113"/>
        <v>#VALUE!</v>
      </c>
      <c r="BG139" s="11" t="e">
        <f t="shared" si="114"/>
        <v>#VALUE!</v>
      </c>
      <c r="BH139" t="str">
        <f t="shared" si="115"/>
        <v/>
      </c>
      <c r="BI139" t="str" cm="1">
        <f t="array" ref="BI139">_xlfn.IFS(
  L139&gt;0,"Critical Fail",
  M139&gt;0,"Important (Coaching)",
  TRUE,"Clean Pass"
)</f>
        <v>Clean Pass</v>
      </c>
      <c r="BJ139" t="str">
        <f t="shared" si="116"/>
        <v>NA</v>
      </c>
    </row>
    <row r="140" spans="1:62" x14ac:dyDescent="0.3">
      <c r="A140">
        <v>593754</v>
      </c>
      <c r="K140" t="str">
        <f t="shared" si="78"/>
        <v>Pass</v>
      </c>
      <c r="L140" s="15">
        <f t="shared" si="79"/>
        <v>0</v>
      </c>
      <c r="M140" s="15">
        <f t="shared" si="80"/>
        <v>0</v>
      </c>
      <c r="Z140" s="15">
        <f t="shared" si="81"/>
        <v>1</v>
      </c>
      <c r="AA140" s="15">
        <f t="shared" si="82"/>
        <v>1</v>
      </c>
      <c r="AB140" s="15">
        <f t="shared" si="83"/>
        <v>1</v>
      </c>
      <c r="AC140" s="15">
        <f t="shared" si="84"/>
        <v>1</v>
      </c>
      <c r="AD140" s="15">
        <f t="shared" si="85"/>
        <v>1</v>
      </c>
      <c r="AE140" s="15">
        <f t="shared" si="86"/>
        <v>1</v>
      </c>
      <c r="AF140" s="15">
        <f t="shared" si="87"/>
        <v>1</v>
      </c>
      <c r="AG140" s="15">
        <f t="shared" si="88"/>
        <v>1</v>
      </c>
      <c r="AH140" s="15">
        <f t="shared" si="89"/>
        <v>1</v>
      </c>
      <c r="AI140" s="15">
        <f t="shared" si="90"/>
        <v>1</v>
      </c>
      <c r="AJ140" s="15">
        <f t="shared" si="91"/>
        <v>1</v>
      </c>
      <c r="AK140" s="15">
        <f t="shared" si="92"/>
        <v>1</v>
      </c>
      <c r="AL140" s="15">
        <f t="shared" si="93"/>
        <v>1</v>
      </c>
      <c r="AM140" s="15">
        <f t="shared" si="94"/>
        <v>1</v>
      </c>
      <c r="AN140" s="15">
        <f t="shared" si="95"/>
        <v>1</v>
      </c>
      <c r="AO140" s="15">
        <f t="shared" si="96"/>
        <v>1</v>
      </c>
      <c r="AP140" s="15">
        <f t="shared" si="97"/>
        <v>1</v>
      </c>
      <c r="AQ140" s="15">
        <f t="shared" si="98"/>
        <v>1</v>
      </c>
      <c r="AR140" s="15">
        <f t="shared" si="99"/>
        <v>1</v>
      </c>
      <c r="AS140" s="15">
        <f t="shared" si="100"/>
        <v>1</v>
      </c>
      <c r="AT140" s="15">
        <f t="shared" si="101"/>
        <v>1</v>
      </c>
      <c r="AU140" s="15">
        <f t="shared" si="102"/>
        <v>1</v>
      </c>
      <c r="AV140" s="15">
        <f t="shared" si="103"/>
        <v>1</v>
      </c>
      <c r="AW140" s="15">
        <f t="shared" si="104"/>
        <v>1</v>
      </c>
      <c r="AX140" s="15">
        <f t="shared" si="105"/>
        <v>1</v>
      </c>
      <c r="AY140" s="15">
        <f t="shared" si="106"/>
        <v>1</v>
      </c>
      <c r="AZ140" s="15">
        <f t="shared" si="107"/>
        <v>1</v>
      </c>
      <c r="BA140" s="15">
        <f t="shared" si="108"/>
        <v>1</v>
      </c>
      <c r="BB140" s="15">
        <f t="shared" si="109"/>
        <v>0</v>
      </c>
      <c r="BC140" s="15" t="str">
        <f t="shared" si="110"/>
        <v/>
      </c>
      <c r="BD140" s="15" t="str">
        <f t="shared" si="111"/>
        <v/>
      </c>
      <c r="BE140" s="11" t="e">
        <f t="shared" si="112"/>
        <v>#VALUE!</v>
      </c>
      <c r="BF140" s="11" t="e">
        <f t="shared" si="113"/>
        <v>#VALUE!</v>
      </c>
      <c r="BG140" s="11" t="e">
        <f t="shared" si="114"/>
        <v>#VALUE!</v>
      </c>
      <c r="BH140" t="str">
        <f t="shared" si="115"/>
        <v/>
      </c>
      <c r="BI140" t="str" cm="1">
        <f t="array" ref="BI140">_xlfn.IFS(
  L140&gt;0,"Critical Fail",
  M140&gt;0,"Important (Coaching)",
  TRUE,"Clean Pass"
)</f>
        <v>Clean Pass</v>
      </c>
      <c r="BJ140" t="str">
        <f t="shared" si="116"/>
        <v>NA</v>
      </c>
    </row>
    <row r="141" spans="1:62" x14ac:dyDescent="0.3">
      <c r="A141">
        <v>995564</v>
      </c>
      <c r="K141" t="str">
        <f t="shared" si="78"/>
        <v>Pass</v>
      </c>
      <c r="L141" s="15">
        <f t="shared" si="79"/>
        <v>0</v>
      </c>
      <c r="M141" s="15">
        <f t="shared" si="80"/>
        <v>0</v>
      </c>
      <c r="Z141" s="15">
        <f t="shared" si="81"/>
        <v>1</v>
      </c>
      <c r="AA141" s="15">
        <f t="shared" si="82"/>
        <v>1</v>
      </c>
      <c r="AB141" s="15">
        <f t="shared" si="83"/>
        <v>1</v>
      </c>
      <c r="AC141" s="15">
        <f t="shared" si="84"/>
        <v>1</v>
      </c>
      <c r="AD141" s="15">
        <f t="shared" si="85"/>
        <v>1</v>
      </c>
      <c r="AE141" s="15">
        <f t="shared" si="86"/>
        <v>1</v>
      </c>
      <c r="AF141" s="15">
        <f t="shared" si="87"/>
        <v>1</v>
      </c>
      <c r="AG141" s="15">
        <f t="shared" si="88"/>
        <v>1</v>
      </c>
      <c r="AH141" s="15">
        <f t="shared" si="89"/>
        <v>1</v>
      </c>
      <c r="AI141" s="15">
        <f t="shared" si="90"/>
        <v>1</v>
      </c>
      <c r="AJ141" s="15">
        <f t="shared" si="91"/>
        <v>1</v>
      </c>
      <c r="AK141" s="15">
        <f t="shared" si="92"/>
        <v>1</v>
      </c>
      <c r="AL141" s="15">
        <f t="shared" si="93"/>
        <v>1</v>
      </c>
      <c r="AM141" s="15">
        <f t="shared" si="94"/>
        <v>1</v>
      </c>
      <c r="AN141" s="15">
        <f t="shared" si="95"/>
        <v>1</v>
      </c>
      <c r="AO141" s="15">
        <f t="shared" si="96"/>
        <v>1</v>
      </c>
      <c r="AP141" s="15">
        <f t="shared" si="97"/>
        <v>1</v>
      </c>
      <c r="AQ141" s="15">
        <f t="shared" si="98"/>
        <v>1</v>
      </c>
      <c r="AR141" s="15">
        <f t="shared" si="99"/>
        <v>1</v>
      </c>
      <c r="AS141" s="15">
        <f t="shared" si="100"/>
        <v>1</v>
      </c>
      <c r="AT141" s="15">
        <f t="shared" si="101"/>
        <v>1</v>
      </c>
      <c r="AU141" s="15">
        <f t="shared" si="102"/>
        <v>1</v>
      </c>
      <c r="AV141" s="15">
        <f t="shared" si="103"/>
        <v>1</v>
      </c>
      <c r="AW141" s="15">
        <f t="shared" si="104"/>
        <v>1</v>
      </c>
      <c r="AX141" s="15">
        <f t="shared" si="105"/>
        <v>1</v>
      </c>
      <c r="AY141" s="15">
        <f t="shared" si="106"/>
        <v>1</v>
      </c>
      <c r="AZ141" s="15">
        <f t="shared" si="107"/>
        <v>1</v>
      </c>
      <c r="BA141" s="15">
        <f t="shared" si="108"/>
        <v>1</v>
      </c>
      <c r="BB141" s="15">
        <f t="shared" si="109"/>
        <v>0</v>
      </c>
      <c r="BC141" s="15" t="str">
        <f t="shared" si="110"/>
        <v/>
      </c>
      <c r="BD141" s="15" t="str">
        <f t="shared" si="111"/>
        <v/>
      </c>
      <c r="BE141" s="11" t="e">
        <f t="shared" si="112"/>
        <v>#VALUE!</v>
      </c>
      <c r="BF141" s="11" t="e">
        <f t="shared" si="113"/>
        <v>#VALUE!</v>
      </c>
      <c r="BG141" s="11" t="e">
        <f t="shared" si="114"/>
        <v>#VALUE!</v>
      </c>
      <c r="BH141" t="str">
        <f t="shared" si="115"/>
        <v/>
      </c>
      <c r="BI141" t="str" cm="1">
        <f t="array" ref="BI141">_xlfn.IFS(
  L141&gt;0,"Critical Fail",
  M141&gt;0,"Important (Coaching)",
  TRUE,"Clean Pass"
)</f>
        <v>Clean Pass</v>
      </c>
      <c r="BJ141" t="str">
        <f t="shared" si="116"/>
        <v>NA</v>
      </c>
    </row>
    <row r="142" spans="1:62" x14ac:dyDescent="0.3">
      <c r="A142">
        <v>315174</v>
      </c>
      <c r="K142" t="str">
        <f t="shared" si="78"/>
        <v>Pass</v>
      </c>
      <c r="L142" s="15">
        <f t="shared" si="79"/>
        <v>0</v>
      </c>
      <c r="M142" s="15">
        <f t="shared" si="80"/>
        <v>0</v>
      </c>
      <c r="Z142" s="15">
        <f t="shared" si="81"/>
        <v>1</v>
      </c>
      <c r="AA142" s="15">
        <f t="shared" si="82"/>
        <v>1</v>
      </c>
      <c r="AB142" s="15">
        <f t="shared" si="83"/>
        <v>1</v>
      </c>
      <c r="AC142" s="15">
        <f t="shared" si="84"/>
        <v>1</v>
      </c>
      <c r="AD142" s="15">
        <f t="shared" si="85"/>
        <v>1</v>
      </c>
      <c r="AE142" s="15">
        <f t="shared" si="86"/>
        <v>1</v>
      </c>
      <c r="AF142" s="15">
        <f t="shared" si="87"/>
        <v>1</v>
      </c>
      <c r="AG142" s="15">
        <f t="shared" si="88"/>
        <v>1</v>
      </c>
      <c r="AH142" s="15">
        <f t="shared" si="89"/>
        <v>1</v>
      </c>
      <c r="AI142" s="15">
        <f t="shared" si="90"/>
        <v>1</v>
      </c>
      <c r="AJ142" s="15">
        <f t="shared" si="91"/>
        <v>1</v>
      </c>
      <c r="AK142" s="15">
        <f t="shared" si="92"/>
        <v>1</v>
      </c>
      <c r="AL142" s="15">
        <f t="shared" si="93"/>
        <v>1</v>
      </c>
      <c r="AM142" s="15">
        <f t="shared" si="94"/>
        <v>1</v>
      </c>
      <c r="AN142" s="15">
        <f t="shared" si="95"/>
        <v>1</v>
      </c>
      <c r="AO142" s="15">
        <f t="shared" si="96"/>
        <v>1</v>
      </c>
      <c r="AP142" s="15">
        <f t="shared" si="97"/>
        <v>1</v>
      </c>
      <c r="AQ142" s="15">
        <f t="shared" si="98"/>
        <v>1</v>
      </c>
      <c r="AR142" s="15">
        <f t="shared" si="99"/>
        <v>1</v>
      </c>
      <c r="AS142" s="15">
        <f t="shared" si="100"/>
        <v>1</v>
      </c>
      <c r="AT142" s="15">
        <f t="shared" si="101"/>
        <v>1</v>
      </c>
      <c r="AU142" s="15">
        <f t="shared" si="102"/>
        <v>1</v>
      </c>
      <c r="AV142" s="15">
        <f t="shared" si="103"/>
        <v>1</v>
      </c>
      <c r="AW142" s="15">
        <f t="shared" si="104"/>
        <v>1</v>
      </c>
      <c r="AX142" s="15">
        <f t="shared" si="105"/>
        <v>1</v>
      </c>
      <c r="AY142" s="15">
        <f t="shared" si="106"/>
        <v>1</v>
      </c>
      <c r="AZ142" s="15">
        <f t="shared" si="107"/>
        <v>1</v>
      </c>
      <c r="BA142" s="15">
        <f t="shared" si="108"/>
        <v>1</v>
      </c>
      <c r="BB142" s="15">
        <f t="shared" si="109"/>
        <v>0</v>
      </c>
      <c r="BC142" s="15" t="str">
        <f t="shared" si="110"/>
        <v/>
      </c>
      <c r="BD142" s="15" t="str">
        <f t="shared" si="111"/>
        <v/>
      </c>
      <c r="BE142" s="11" t="e">
        <f t="shared" si="112"/>
        <v>#VALUE!</v>
      </c>
      <c r="BF142" s="11" t="e">
        <f t="shared" si="113"/>
        <v>#VALUE!</v>
      </c>
      <c r="BG142" s="11" t="e">
        <f t="shared" si="114"/>
        <v>#VALUE!</v>
      </c>
      <c r="BH142" t="str">
        <f t="shared" si="115"/>
        <v/>
      </c>
      <c r="BI142" t="str" cm="1">
        <f t="array" ref="BI142">_xlfn.IFS(
  L142&gt;0,"Critical Fail",
  M142&gt;0,"Important (Coaching)",
  TRUE,"Clean Pass"
)</f>
        <v>Clean Pass</v>
      </c>
      <c r="BJ142" t="str">
        <f t="shared" si="116"/>
        <v>NA</v>
      </c>
    </row>
    <row r="143" spans="1:62" x14ac:dyDescent="0.3">
      <c r="A143">
        <v>691320</v>
      </c>
      <c r="K143" t="str">
        <f t="shared" si="78"/>
        <v>Pass</v>
      </c>
      <c r="L143" s="15">
        <f t="shared" si="79"/>
        <v>0</v>
      </c>
      <c r="M143" s="15">
        <f t="shared" si="80"/>
        <v>0</v>
      </c>
      <c r="Z143" s="15">
        <f t="shared" si="81"/>
        <v>1</v>
      </c>
      <c r="AA143" s="15">
        <f t="shared" si="82"/>
        <v>1</v>
      </c>
      <c r="AB143" s="15">
        <f t="shared" si="83"/>
        <v>1</v>
      </c>
      <c r="AC143" s="15">
        <f t="shared" si="84"/>
        <v>1</v>
      </c>
      <c r="AD143" s="15">
        <f t="shared" si="85"/>
        <v>1</v>
      </c>
      <c r="AE143" s="15">
        <f t="shared" si="86"/>
        <v>1</v>
      </c>
      <c r="AF143" s="15">
        <f t="shared" si="87"/>
        <v>1</v>
      </c>
      <c r="AG143" s="15">
        <f t="shared" si="88"/>
        <v>1</v>
      </c>
      <c r="AH143" s="15">
        <f t="shared" si="89"/>
        <v>1</v>
      </c>
      <c r="AI143" s="15">
        <f t="shared" si="90"/>
        <v>1</v>
      </c>
      <c r="AJ143" s="15">
        <f t="shared" si="91"/>
        <v>1</v>
      </c>
      <c r="AK143" s="15">
        <f t="shared" si="92"/>
        <v>1</v>
      </c>
      <c r="AL143" s="15">
        <f t="shared" si="93"/>
        <v>1</v>
      </c>
      <c r="AM143" s="15">
        <f t="shared" si="94"/>
        <v>1</v>
      </c>
      <c r="AN143" s="15">
        <f t="shared" si="95"/>
        <v>1</v>
      </c>
      <c r="AO143" s="15">
        <f t="shared" si="96"/>
        <v>1</v>
      </c>
      <c r="AP143" s="15">
        <f t="shared" si="97"/>
        <v>1</v>
      </c>
      <c r="AQ143" s="15">
        <f t="shared" si="98"/>
        <v>1</v>
      </c>
      <c r="AR143" s="15">
        <f t="shared" si="99"/>
        <v>1</v>
      </c>
      <c r="AS143" s="15">
        <f t="shared" si="100"/>
        <v>1</v>
      </c>
      <c r="AT143" s="15">
        <f t="shared" si="101"/>
        <v>1</v>
      </c>
      <c r="AU143" s="15">
        <f t="shared" si="102"/>
        <v>1</v>
      </c>
      <c r="AV143" s="15">
        <f t="shared" si="103"/>
        <v>1</v>
      </c>
      <c r="AW143" s="15">
        <f t="shared" si="104"/>
        <v>1</v>
      </c>
      <c r="AX143" s="15">
        <f t="shared" si="105"/>
        <v>1</v>
      </c>
      <c r="AY143" s="15">
        <f t="shared" si="106"/>
        <v>1</v>
      </c>
      <c r="AZ143" s="15">
        <f t="shared" si="107"/>
        <v>1</v>
      </c>
      <c r="BA143" s="15">
        <f t="shared" si="108"/>
        <v>1</v>
      </c>
      <c r="BB143" s="15">
        <f t="shared" si="109"/>
        <v>0</v>
      </c>
      <c r="BC143" s="15" t="str">
        <f t="shared" si="110"/>
        <v/>
      </c>
      <c r="BD143" s="15" t="str">
        <f t="shared" si="111"/>
        <v/>
      </c>
      <c r="BE143" s="11" t="e">
        <f t="shared" si="112"/>
        <v>#VALUE!</v>
      </c>
      <c r="BF143" s="11" t="e">
        <f t="shared" si="113"/>
        <v>#VALUE!</v>
      </c>
      <c r="BG143" s="11" t="e">
        <f t="shared" si="114"/>
        <v>#VALUE!</v>
      </c>
      <c r="BH143" t="str">
        <f t="shared" si="115"/>
        <v/>
      </c>
      <c r="BI143" t="str" cm="1">
        <f t="array" ref="BI143">_xlfn.IFS(
  L143&gt;0,"Critical Fail",
  M143&gt;0,"Important (Coaching)",
  TRUE,"Clean Pass"
)</f>
        <v>Clean Pass</v>
      </c>
      <c r="BJ143" t="str">
        <f t="shared" si="116"/>
        <v>NA</v>
      </c>
    </row>
    <row r="144" spans="1:62" x14ac:dyDescent="0.3">
      <c r="A144">
        <v>649077</v>
      </c>
      <c r="K144" t="str">
        <f t="shared" si="78"/>
        <v>Pass</v>
      </c>
      <c r="L144" s="15">
        <f t="shared" si="79"/>
        <v>0</v>
      </c>
      <c r="M144" s="15">
        <f t="shared" si="80"/>
        <v>0</v>
      </c>
      <c r="Z144" s="15">
        <f t="shared" si="81"/>
        <v>1</v>
      </c>
      <c r="AA144" s="15">
        <f t="shared" si="82"/>
        <v>1</v>
      </c>
      <c r="AB144" s="15">
        <f t="shared" si="83"/>
        <v>1</v>
      </c>
      <c r="AC144" s="15">
        <f t="shared" si="84"/>
        <v>1</v>
      </c>
      <c r="AD144" s="15">
        <f t="shared" si="85"/>
        <v>1</v>
      </c>
      <c r="AE144" s="15">
        <f t="shared" si="86"/>
        <v>1</v>
      </c>
      <c r="AF144" s="15">
        <f t="shared" si="87"/>
        <v>1</v>
      </c>
      <c r="AG144" s="15">
        <f t="shared" si="88"/>
        <v>1</v>
      </c>
      <c r="AH144" s="15">
        <f t="shared" si="89"/>
        <v>1</v>
      </c>
      <c r="AI144" s="15">
        <f t="shared" si="90"/>
        <v>1</v>
      </c>
      <c r="AJ144" s="15">
        <f t="shared" si="91"/>
        <v>1</v>
      </c>
      <c r="AK144" s="15">
        <f t="shared" si="92"/>
        <v>1</v>
      </c>
      <c r="AL144" s="15">
        <f t="shared" si="93"/>
        <v>1</v>
      </c>
      <c r="AM144" s="15">
        <f t="shared" si="94"/>
        <v>1</v>
      </c>
      <c r="AN144" s="15">
        <f t="shared" si="95"/>
        <v>1</v>
      </c>
      <c r="AO144" s="15">
        <f t="shared" si="96"/>
        <v>1</v>
      </c>
      <c r="AP144" s="15">
        <f t="shared" si="97"/>
        <v>1</v>
      </c>
      <c r="AQ144" s="15">
        <f t="shared" si="98"/>
        <v>1</v>
      </c>
      <c r="AR144" s="15">
        <f t="shared" si="99"/>
        <v>1</v>
      </c>
      <c r="AS144" s="15">
        <f t="shared" si="100"/>
        <v>1</v>
      </c>
      <c r="AT144" s="15">
        <f t="shared" si="101"/>
        <v>1</v>
      </c>
      <c r="AU144" s="15">
        <f t="shared" si="102"/>
        <v>1</v>
      </c>
      <c r="AV144" s="15">
        <f t="shared" si="103"/>
        <v>1</v>
      </c>
      <c r="AW144" s="15">
        <f t="shared" si="104"/>
        <v>1</v>
      </c>
      <c r="AX144" s="15">
        <f t="shared" si="105"/>
        <v>1</v>
      </c>
      <c r="AY144" s="15">
        <f t="shared" si="106"/>
        <v>1</v>
      </c>
      <c r="AZ144" s="15">
        <f t="shared" si="107"/>
        <v>1</v>
      </c>
      <c r="BA144" s="15">
        <f t="shared" si="108"/>
        <v>1</v>
      </c>
      <c r="BB144" s="15">
        <f t="shared" si="109"/>
        <v>0</v>
      </c>
      <c r="BC144" s="15" t="str">
        <f t="shared" si="110"/>
        <v/>
      </c>
      <c r="BD144" s="15" t="str">
        <f t="shared" si="111"/>
        <v/>
      </c>
      <c r="BE144" s="11" t="e">
        <f t="shared" si="112"/>
        <v>#VALUE!</v>
      </c>
      <c r="BF144" s="11" t="e">
        <f t="shared" si="113"/>
        <v>#VALUE!</v>
      </c>
      <c r="BG144" s="11" t="e">
        <f t="shared" si="114"/>
        <v>#VALUE!</v>
      </c>
      <c r="BH144" t="str">
        <f t="shared" si="115"/>
        <v/>
      </c>
      <c r="BI144" t="str" cm="1">
        <f t="array" ref="BI144">_xlfn.IFS(
  L144&gt;0,"Critical Fail",
  M144&gt;0,"Important (Coaching)",
  TRUE,"Clean Pass"
)</f>
        <v>Clean Pass</v>
      </c>
      <c r="BJ144" t="str">
        <f t="shared" si="116"/>
        <v>NA</v>
      </c>
    </row>
    <row r="145" spans="1:62" x14ac:dyDescent="0.3">
      <c r="A145">
        <v>195428</v>
      </c>
      <c r="K145" t="str">
        <f t="shared" si="78"/>
        <v>Pass</v>
      </c>
      <c r="L145" s="15">
        <f t="shared" si="79"/>
        <v>0</v>
      </c>
      <c r="M145" s="15">
        <f t="shared" si="80"/>
        <v>0</v>
      </c>
      <c r="Z145" s="15">
        <f t="shared" si="81"/>
        <v>1</v>
      </c>
      <c r="AA145" s="15">
        <f t="shared" si="82"/>
        <v>1</v>
      </c>
      <c r="AB145" s="15">
        <f t="shared" si="83"/>
        <v>1</v>
      </c>
      <c r="AC145" s="15">
        <f t="shared" si="84"/>
        <v>1</v>
      </c>
      <c r="AD145" s="15">
        <f t="shared" si="85"/>
        <v>1</v>
      </c>
      <c r="AE145" s="15">
        <f t="shared" si="86"/>
        <v>1</v>
      </c>
      <c r="AF145" s="15">
        <f t="shared" si="87"/>
        <v>1</v>
      </c>
      <c r="AG145" s="15">
        <f t="shared" si="88"/>
        <v>1</v>
      </c>
      <c r="AH145" s="15">
        <f t="shared" si="89"/>
        <v>1</v>
      </c>
      <c r="AI145" s="15">
        <f t="shared" si="90"/>
        <v>1</v>
      </c>
      <c r="AJ145" s="15">
        <f t="shared" si="91"/>
        <v>1</v>
      </c>
      <c r="AK145" s="15">
        <f t="shared" si="92"/>
        <v>1</v>
      </c>
      <c r="AL145" s="15">
        <f t="shared" si="93"/>
        <v>1</v>
      </c>
      <c r="AM145" s="15">
        <f t="shared" si="94"/>
        <v>1</v>
      </c>
      <c r="AN145" s="15">
        <f t="shared" si="95"/>
        <v>1</v>
      </c>
      <c r="AO145" s="15">
        <f t="shared" si="96"/>
        <v>1</v>
      </c>
      <c r="AP145" s="15">
        <f t="shared" si="97"/>
        <v>1</v>
      </c>
      <c r="AQ145" s="15">
        <f t="shared" si="98"/>
        <v>1</v>
      </c>
      <c r="AR145" s="15">
        <f t="shared" si="99"/>
        <v>1</v>
      </c>
      <c r="AS145" s="15">
        <f t="shared" si="100"/>
        <v>1</v>
      </c>
      <c r="AT145" s="15">
        <f t="shared" si="101"/>
        <v>1</v>
      </c>
      <c r="AU145" s="15">
        <f t="shared" si="102"/>
        <v>1</v>
      </c>
      <c r="AV145" s="15">
        <f t="shared" si="103"/>
        <v>1</v>
      </c>
      <c r="AW145" s="15">
        <f t="shared" si="104"/>
        <v>1</v>
      </c>
      <c r="AX145" s="15">
        <f t="shared" si="105"/>
        <v>1</v>
      </c>
      <c r="AY145" s="15">
        <f t="shared" si="106"/>
        <v>1</v>
      </c>
      <c r="AZ145" s="15">
        <f t="shared" si="107"/>
        <v>1</v>
      </c>
      <c r="BA145" s="15">
        <f t="shared" si="108"/>
        <v>1</v>
      </c>
      <c r="BB145" s="15">
        <f t="shared" si="109"/>
        <v>0</v>
      </c>
      <c r="BC145" s="15" t="str">
        <f t="shared" si="110"/>
        <v/>
      </c>
      <c r="BD145" s="15" t="str">
        <f t="shared" si="111"/>
        <v/>
      </c>
      <c r="BE145" s="11" t="e">
        <f t="shared" si="112"/>
        <v>#VALUE!</v>
      </c>
      <c r="BF145" s="11" t="e">
        <f t="shared" si="113"/>
        <v>#VALUE!</v>
      </c>
      <c r="BG145" s="11" t="e">
        <f t="shared" si="114"/>
        <v>#VALUE!</v>
      </c>
      <c r="BH145" t="str">
        <f t="shared" si="115"/>
        <v/>
      </c>
      <c r="BI145" t="str" cm="1">
        <f t="array" ref="BI145">_xlfn.IFS(
  L145&gt;0,"Critical Fail",
  M145&gt;0,"Important (Coaching)",
  TRUE,"Clean Pass"
)</f>
        <v>Clean Pass</v>
      </c>
      <c r="BJ145" t="str">
        <f t="shared" si="116"/>
        <v>NA</v>
      </c>
    </row>
    <row r="146" spans="1:62" x14ac:dyDescent="0.3">
      <c r="A146">
        <v>361453</v>
      </c>
      <c r="K146" t="str">
        <f t="shared" si="78"/>
        <v>Pass</v>
      </c>
      <c r="L146" s="15">
        <f t="shared" si="79"/>
        <v>0</v>
      </c>
      <c r="M146" s="15">
        <f t="shared" si="80"/>
        <v>0</v>
      </c>
      <c r="Z146" s="15">
        <f t="shared" si="81"/>
        <v>1</v>
      </c>
      <c r="AA146" s="15">
        <f t="shared" si="82"/>
        <v>1</v>
      </c>
      <c r="AB146" s="15">
        <f t="shared" si="83"/>
        <v>1</v>
      </c>
      <c r="AC146" s="15">
        <f t="shared" si="84"/>
        <v>1</v>
      </c>
      <c r="AD146" s="15">
        <f t="shared" si="85"/>
        <v>1</v>
      </c>
      <c r="AE146" s="15">
        <f t="shared" si="86"/>
        <v>1</v>
      </c>
      <c r="AF146" s="15">
        <f t="shared" si="87"/>
        <v>1</v>
      </c>
      <c r="AG146" s="15">
        <f t="shared" si="88"/>
        <v>1</v>
      </c>
      <c r="AH146" s="15">
        <f t="shared" si="89"/>
        <v>1</v>
      </c>
      <c r="AI146" s="15">
        <f t="shared" si="90"/>
        <v>1</v>
      </c>
      <c r="AJ146" s="15">
        <f t="shared" si="91"/>
        <v>1</v>
      </c>
      <c r="AK146" s="15">
        <f t="shared" si="92"/>
        <v>1</v>
      </c>
      <c r="AL146" s="15">
        <f t="shared" si="93"/>
        <v>1</v>
      </c>
      <c r="AM146" s="15">
        <f t="shared" si="94"/>
        <v>1</v>
      </c>
      <c r="AN146" s="15">
        <f t="shared" si="95"/>
        <v>1</v>
      </c>
      <c r="AO146" s="15">
        <f t="shared" si="96"/>
        <v>1</v>
      </c>
      <c r="AP146" s="15">
        <f t="shared" si="97"/>
        <v>1</v>
      </c>
      <c r="AQ146" s="15">
        <f t="shared" si="98"/>
        <v>1</v>
      </c>
      <c r="AR146" s="15">
        <f t="shared" si="99"/>
        <v>1</v>
      </c>
      <c r="AS146" s="15">
        <f t="shared" si="100"/>
        <v>1</v>
      </c>
      <c r="AT146" s="15">
        <f t="shared" si="101"/>
        <v>1</v>
      </c>
      <c r="AU146" s="15">
        <f t="shared" si="102"/>
        <v>1</v>
      </c>
      <c r="AV146" s="15">
        <f t="shared" si="103"/>
        <v>1</v>
      </c>
      <c r="AW146" s="15">
        <f t="shared" si="104"/>
        <v>1</v>
      </c>
      <c r="AX146" s="15">
        <f t="shared" si="105"/>
        <v>1</v>
      </c>
      <c r="AY146" s="15">
        <f t="shared" si="106"/>
        <v>1</v>
      </c>
      <c r="AZ146" s="15">
        <f t="shared" si="107"/>
        <v>1</v>
      </c>
      <c r="BA146" s="15">
        <f t="shared" si="108"/>
        <v>1</v>
      </c>
      <c r="BB146" s="15">
        <f t="shared" si="109"/>
        <v>0</v>
      </c>
      <c r="BC146" s="15" t="str">
        <f t="shared" si="110"/>
        <v/>
      </c>
      <c r="BD146" s="15" t="str">
        <f t="shared" si="111"/>
        <v/>
      </c>
      <c r="BE146" s="11" t="e">
        <f t="shared" si="112"/>
        <v>#VALUE!</v>
      </c>
      <c r="BF146" s="11" t="e">
        <f t="shared" si="113"/>
        <v>#VALUE!</v>
      </c>
      <c r="BG146" s="11" t="e">
        <f t="shared" si="114"/>
        <v>#VALUE!</v>
      </c>
      <c r="BH146" t="str">
        <f t="shared" si="115"/>
        <v/>
      </c>
      <c r="BI146" t="str" cm="1">
        <f t="array" ref="BI146">_xlfn.IFS(
  L146&gt;0,"Critical Fail",
  M146&gt;0,"Important (Coaching)",
  TRUE,"Clean Pass"
)</f>
        <v>Clean Pass</v>
      </c>
      <c r="BJ146" t="str">
        <f t="shared" si="116"/>
        <v>NA</v>
      </c>
    </row>
    <row r="147" spans="1:62" x14ac:dyDescent="0.3">
      <c r="A147">
        <v>277424</v>
      </c>
      <c r="K147" t="str">
        <f t="shared" si="78"/>
        <v>Pass</v>
      </c>
      <c r="L147" s="15">
        <f t="shared" si="79"/>
        <v>0</v>
      </c>
      <c r="M147" s="15">
        <f t="shared" si="80"/>
        <v>0</v>
      </c>
      <c r="Z147" s="15">
        <f t="shared" si="81"/>
        <v>1</v>
      </c>
      <c r="AA147" s="15">
        <f t="shared" si="82"/>
        <v>1</v>
      </c>
      <c r="AB147" s="15">
        <f t="shared" si="83"/>
        <v>1</v>
      </c>
      <c r="AC147" s="15">
        <f t="shared" si="84"/>
        <v>1</v>
      </c>
      <c r="AD147" s="15">
        <f t="shared" si="85"/>
        <v>1</v>
      </c>
      <c r="AE147" s="15">
        <f t="shared" si="86"/>
        <v>1</v>
      </c>
      <c r="AF147" s="15">
        <f t="shared" si="87"/>
        <v>1</v>
      </c>
      <c r="AG147" s="15">
        <f t="shared" si="88"/>
        <v>1</v>
      </c>
      <c r="AH147" s="15">
        <f t="shared" si="89"/>
        <v>1</v>
      </c>
      <c r="AI147" s="15">
        <f t="shared" si="90"/>
        <v>1</v>
      </c>
      <c r="AJ147" s="15">
        <f t="shared" si="91"/>
        <v>1</v>
      </c>
      <c r="AK147" s="15">
        <f t="shared" si="92"/>
        <v>1</v>
      </c>
      <c r="AL147" s="15">
        <f t="shared" si="93"/>
        <v>1</v>
      </c>
      <c r="AM147" s="15">
        <f t="shared" si="94"/>
        <v>1</v>
      </c>
      <c r="AN147" s="15">
        <f t="shared" si="95"/>
        <v>1</v>
      </c>
      <c r="AO147" s="15">
        <f t="shared" si="96"/>
        <v>1</v>
      </c>
      <c r="AP147" s="15">
        <f t="shared" si="97"/>
        <v>1</v>
      </c>
      <c r="AQ147" s="15">
        <f t="shared" si="98"/>
        <v>1</v>
      </c>
      <c r="AR147" s="15">
        <f t="shared" si="99"/>
        <v>1</v>
      </c>
      <c r="AS147" s="15">
        <f t="shared" si="100"/>
        <v>1</v>
      </c>
      <c r="AT147" s="15">
        <f t="shared" si="101"/>
        <v>1</v>
      </c>
      <c r="AU147" s="15">
        <f t="shared" si="102"/>
        <v>1</v>
      </c>
      <c r="AV147" s="15">
        <f t="shared" si="103"/>
        <v>1</v>
      </c>
      <c r="AW147" s="15">
        <f t="shared" si="104"/>
        <v>1</v>
      </c>
      <c r="AX147" s="15">
        <f t="shared" si="105"/>
        <v>1</v>
      </c>
      <c r="AY147" s="15">
        <f t="shared" si="106"/>
        <v>1</v>
      </c>
      <c r="AZ147" s="15">
        <f t="shared" si="107"/>
        <v>1</v>
      </c>
      <c r="BA147" s="15">
        <f t="shared" si="108"/>
        <v>1</v>
      </c>
      <c r="BB147" s="15">
        <f t="shared" si="109"/>
        <v>0</v>
      </c>
      <c r="BC147" s="15" t="str">
        <f t="shared" si="110"/>
        <v/>
      </c>
      <c r="BD147" s="15" t="str">
        <f t="shared" si="111"/>
        <v/>
      </c>
      <c r="BE147" s="11" t="e">
        <f t="shared" si="112"/>
        <v>#VALUE!</v>
      </c>
      <c r="BF147" s="11" t="e">
        <f t="shared" si="113"/>
        <v>#VALUE!</v>
      </c>
      <c r="BG147" s="11" t="e">
        <f t="shared" si="114"/>
        <v>#VALUE!</v>
      </c>
      <c r="BH147" t="str">
        <f t="shared" si="115"/>
        <v/>
      </c>
      <c r="BI147" t="str" cm="1">
        <f t="array" ref="BI147">_xlfn.IFS(
  L147&gt;0,"Critical Fail",
  M147&gt;0,"Important (Coaching)",
  TRUE,"Clean Pass"
)</f>
        <v>Clean Pass</v>
      </c>
      <c r="BJ147" t="str">
        <f t="shared" si="116"/>
        <v>NA</v>
      </c>
    </row>
    <row r="148" spans="1:62" x14ac:dyDescent="0.3">
      <c r="A148">
        <v>879944</v>
      </c>
      <c r="K148" t="str">
        <f t="shared" si="78"/>
        <v>Pass</v>
      </c>
      <c r="L148" s="15">
        <f t="shared" si="79"/>
        <v>0</v>
      </c>
      <c r="M148" s="15">
        <f t="shared" si="80"/>
        <v>0</v>
      </c>
      <c r="Z148" s="15">
        <f t="shared" si="81"/>
        <v>1</v>
      </c>
      <c r="AA148" s="15">
        <f t="shared" si="82"/>
        <v>1</v>
      </c>
      <c r="AB148" s="15">
        <f t="shared" si="83"/>
        <v>1</v>
      </c>
      <c r="AC148" s="15">
        <f t="shared" si="84"/>
        <v>1</v>
      </c>
      <c r="AD148" s="15">
        <f t="shared" si="85"/>
        <v>1</v>
      </c>
      <c r="AE148" s="15">
        <f t="shared" si="86"/>
        <v>1</v>
      </c>
      <c r="AF148" s="15">
        <f t="shared" si="87"/>
        <v>1</v>
      </c>
      <c r="AG148" s="15">
        <f t="shared" si="88"/>
        <v>1</v>
      </c>
      <c r="AH148" s="15">
        <f t="shared" si="89"/>
        <v>1</v>
      </c>
      <c r="AI148" s="15">
        <f t="shared" si="90"/>
        <v>1</v>
      </c>
      <c r="AJ148" s="15">
        <f t="shared" si="91"/>
        <v>1</v>
      </c>
      <c r="AK148" s="15">
        <f t="shared" si="92"/>
        <v>1</v>
      </c>
      <c r="AL148" s="15">
        <f t="shared" si="93"/>
        <v>1</v>
      </c>
      <c r="AM148" s="15">
        <f t="shared" si="94"/>
        <v>1</v>
      </c>
      <c r="AN148" s="15">
        <f t="shared" si="95"/>
        <v>1</v>
      </c>
      <c r="AO148" s="15">
        <f t="shared" si="96"/>
        <v>1</v>
      </c>
      <c r="AP148" s="15">
        <f t="shared" si="97"/>
        <v>1</v>
      </c>
      <c r="AQ148" s="15">
        <f t="shared" si="98"/>
        <v>1</v>
      </c>
      <c r="AR148" s="15">
        <f t="shared" si="99"/>
        <v>1</v>
      </c>
      <c r="AS148" s="15">
        <f t="shared" si="100"/>
        <v>1</v>
      </c>
      <c r="AT148" s="15">
        <f t="shared" si="101"/>
        <v>1</v>
      </c>
      <c r="AU148" s="15">
        <f t="shared" si="102"/>
        <v>1</v>
      </c>
      <c r="AV148" s="15">
        <f t="shared" si="103"/>
        <v>1</v>
      </c>
      <c r="AW148" s="15">
        <f t="shared" si="104"/>
        <v>1</v>
      </c>
      <c r="AX148" s="15">
        <f t="shared" si="105"/>
        <v>1</v>
      </c>
      <c r="AY148" s="15">
        <f t="shared" si="106"/>
        <v>1</v>
      </c>
      <c r="AZ148" s="15">
        <f t="shared" si="107"/>
        <v>1</v>
      </c>
      <c r="BA148" s="15">
        <f t="shared" si="108"/>
        <v>1</v>
      </c>
      <c r="BB148" s="15">
        <f t="shared" si="109"/>
        <v>0</v>
      </c>
      <c r="BC148" s="15" t="str">
        <f t="shared" si="110"/>
        <v/>
      </c>
      <c r="BD148" s="15" t="str">
        <f t="shared" si="111"/>
        <v/>
      </c>
      <c r="BE148" s="11" t="e">
        <f t="shared" si="112"/>
        <v>#VALUE!</v>
      </c>
      <c r="BF148" s="11" t="e">
        <f t="shared" si="113"/>
        <v>#VALUE!</v>
      </c>
      <c r="BG148" s="11" t="e">
        <f t="shared" si="114"/>
        <v>#VALUE!</v>
      </c>
      <c r="BH148" t="str">
        <f t="shared" si="115"/>
        <v/>
      </c>
      <c r="BI148" t="str" cm="1">
        <f t="array" ref="BI148">_xlfn.IFS(
  L148&gt;0,"Critical Fail",
  M148&gt;0,"Important (Coaching)",
  TRUE,"Clean Pass"
)</f>
        <v>Clean Pass</v>
      </c>
      <c r="BJ148" t="str">
        <f t="shared" si="116"/>
        <v>NA</v>
      </c>
    </row>
    <row r="149" spans="1:62" x14ac:dyDescent="0.3">
      <c r="A149">
        <v>951685</v>
      </c>
      <c r="K149" t="str">
        <f t="shared" si="78"/>
        <v>Pass</v>
      </c>
      <c r="L149" s="15">
        <f t="shared" si="79"/>
        <v>0</v>
      </c>
      <c r="M149" s="15">
        <f t="shared" si="80"/>
        <v>0</v>
      </c>
      <c r="Z149" s="15">
        <f t="shared" si="81"/>
        <v>1</v>
      </c>
      <c r="AA149" s="15">
        <f t="shared" si="82"/>
        <v>1</v>
      </c>
      <c r="AB149" s="15">
        <f t="shared" si="83"/>
        <v>1</v>
      </c>
      <c r="AC149" s="15">
        <f t="shared" si="84"/>
        <v>1</v>
      </c>
      <c r="AD149" s="15">
        <f t="shared" si="85"/>
        <v>1</v>
      </c>
      <c r="AE149" s="15">
        <f t="shared" si="86"/>
        <v>1</v>
      </c>
      <c r="AF149" s="15">
        <f t="shared" si="87"/>
        <v>1</v>
      </c>
      <c r="AG149" s="15">
        <f t="shared" si="88"/>
        <v>1</v>
      </c>
      <c r="AH149" s="15">
        <f t="shared" si="89"/>
        <v>1</v>
      </c>
      <c r="AI149" s="15">
        <f t="shared" si="90"/>
        <v>1</v>
      </c>
      <c r="AJ149" s="15">
        <f t="shared" si="91"/>
        <v>1</v>
      </c>
      <c r="AK149" s="15">
        <f t="shared" si="92"/>
        <v>1</v>
      </c>
      <c r="AL149" s="15">
        <f t="shared" si="93"/>
        <v>1</v>
      </c>
      <c r="AM149" s="15">
        <f t="shared" si="94"/>
        <v>1</v>
      </c>
      <c r="AN149" s="15">
        <f t="shared" si="95"/>
        <v>1</v>
      </c>
      <c r="AO149" s="15">
        <f t="shared" si="96"/>
        <v>1</v>
      </c>
      <c r="AP149" s="15">
        <f t="shared" si="97"/>
        <v>1</v>
      </c>
      <c r="AQ149" s="15">
        <f t="shared" si="98"/>
        <v>1</v>
      </c>
      <c r="AR149" s="15">
        <f t="shared" si="99"/>
        <v>1</v>
      </c>
      <c r="AS149" s="15">
        <f t="shared" si="100"/>
        <v>1</v>
      </c>
      <c r="AT149" s="15">
        <f t="shared" si="101"/>
        <v>1</v>
      </c>
      <c r="AU149" s="15">
        <f t="shared" si="102"/>
        <v>1</v>
      </c>
      <c r="AV149" s="15">
        <f t="shared" si="103"/>
        <v>1</v>
      </c>
      <c r="AW149" s="15">
        <f t="shared" si="104"/>
        <v>1</v>
      </c>
      <c r="AX149" s="15">
        <f t="shared" si="105"/>
        <v>1</v>
      </c>
      <c r="AY149" s="15">
        <f t="shared" si="106"/>
        <v>1</v>
      </c>
      <c r="AZ149" s="15">
        <f t="shared" si="107"/>
        <v>1</v>
      </c>
      <c r="BA149" s="15">
        <f t="shared" si="108"/>
        <v>1</v>
      </c>
      <c r="BB149" s="15">
        <f t="shared" si="109"/>
        <v>0</v>
      </c>
      <c r="BC149" s="15" t="str">
        <f t="shared" si="110"/>
        <v/>
      </c>
      <c r="BD149" s="15" t="str">
        <f t="shared" si="111"/>
        <v/>
      </c>
      <c r="BE149" s="11" t="e">
        <f t="shared" si="112"/>
        <v>#VALUE!</v>
      </c>
      <c r="BF149" s="11" t="e">
        <f t="shared" si="113"/>
        <v>#VALUE!</v>
      </c>
      <c r="BG149" s="11" t="e">
        <f t="shared" si="114"/>
        <v>#VALUE!</v>
      </c>
      <c r="BH149" t="str">
        <f t="shared" si="115"/>
        <v/>
      </c>
      <c r="BI149" t="str" cm="1">
        <f t="array" ref="BI149">_xlfn.IFS(
  L149&gt;0,"Critical Fail",
  M149&gt;0,"Important (Coaching)",
  TRUE,"Clean Pass"
)</f>
        <v>Clean Pass</v>
      </c>
      <c r="BJ149" t="str">
        <f t="shared" si="116"/>
        <v>NA</v>
      </c>
    </row>
    <row r="150" spans="1:62" x14ac:dyDescent="0.3">
      <c r="A150">
        <v>286820</v>
      </c>
      <c r="K150" t="str">
        <f t="shared" si="78"/>
        <v>Pass</v>
      </c>
      <c r="L150" s="15">
        <f t="shared" si="79"/>
        <v>0</v>
      </c>
      <c r="M150" s="15">
        <f t="shared" si="80"/>
        <v>0</v>
      </c>
      <c r="Z150" s="15">
        <f t="shared" si="81"/>
        <v>1</v>
      </c>
      <c r="AA150" s="15">
        <f t="shared" si="82"/>
        <v>1</v>
      </c>
      <c r="AB150" s="15">
        <f t="shared" si="83"/>
        <v>1</v>
      </c>
      <c r="AC150" s="15">
        <f t="shared" si="84"/>
        <v>1</v>
      </c>
      <c r="AD150" s="15">
        <f t="shared" si="85"/>
        <v>1</v>
      </c>
      <c r="AE150" s="15">
        <f t="shared" si="86"/>
        <v>1</v>
      </c>
      <c r="AF150" s="15">
        <f t="shared" si="87"/>
        <v>1</v>
      </c>
      <c r="AG150" s="15">
        <f t="shared" si="88"/>
        <v>1</v>
      </c>
      <c r="AH150" s="15">
        <f t="shared" si="89"/>
        <v>1</v>
      </c>
      <c r="AI150" s="15">
        <f t="shared" si="90"/>
        <v>1</v>
      </c>
      <c r="AJ150" s="15">
        <f t="shared" si="91"/>
        <v>1</v>
      </c>
      <c r="AK150" s="15">
        <f t="shared" si="92"/>
        <v>1</v>
      </c>
      <c r="AL150" s="15">
        <f t="shared" si="93"/>
        <v>1</v>
      </c>
      <c r="AM150" s="15">
        <f t="shared" si="94"/>
        <v>1</v>
      </c>
      <c r="AN150" s="15">
        <f t="shared" si="95"/>
        <v>1</v>
      </c>
      <c r="AO150" s="15">
        <f t="shared" si="96"/>
        <v>1</v>
      </c>
      <c r="AP150" s="15">
        <f t="shared" si="97"/>
        <v>1</v>
      </c>
      <c r="AQ150" s="15">
        <f t="shared" si="98"/>
        <v>1</v>
      </c>
      <c r="AR150" s="15">
        <f t="shared" si="99"/>
        <v>1</v>
      </c>
      <c r="AS150" s="15">
        <f t="shared" si="100"/>
        <v>1</v>
      </c>
      <c r="AT150" s="15">
        <f t="shared" si="101"/>
        <v>1</v>
      </c>
      <c r="AU150" s="15">
        <f t="shared" si="102"/>
        <v>1</v>
      </c>
      <c r="AV150" s="15">
        <f t="shared" si="103"/>
        <v>1</v>
      </c>
      <c r="AW150" s="15">
        <f t="shared" si="104"/>
        <v>1</v>
      </c>
      <c r="AX150" s="15">
        <f t="shared" si="105"/>
        <v>1</v>
      </c>
      <c r="AY150" s="15">
        <f t="shared" si="106"/>
        <v>1</v>
      </c>
      <c r="AZ150" s="15">
        <f t="shared" si="107"/>
        <v>1</v>
      </c>
      <c r="BA150" s="15">
        <f t="shared" si="108"/>
        <v>1</v>
      </c>
      <c r="BB150" s="15">
        <f t="shared" si="109"/>
        <v>0</v>
      </c>
      <c r="BC150" s="15" t="str">
        <f t="shared" si="110"/>
        <v/>
      </c>
      <c r="BD150" s="15" t="str">
        <f t="shared" si="111"/>
        <v/>
      </c>
      <c r="BE150" s="11" t="e">
        <f t="shared" si="112"/>
        <v>#VALUE!</v>
      </c>
      <c r="BF150" s="11" t="e">
        <f t="shared" si="113"/>
        <v>#VALUE!</v>
      </c>
      <c r="BG150" s="11" t="e">
        <f t="shared" si="114"/>
        <v>#VALUE!</v>
      </c>
      <c r="BH150" t="str">
        <f t="shared" si="115"/>
        <v/>
      </c>
      <c r="BI150" t="str" cm="1">
        <f t="array" ref="BI150">_xlfn.IFS(
  L150&gt;0,"Critical Fail",
  M150&gt;0,"Important (Coaching)",
  TRUE,"Clean Pass"
)</f>
        <v>Clean Pass</v>
      </c>
      <c r="BJ150" t="str">
        <f t="shared" si="116"/>
        <v>NA</v>
      </c>
    </row>
    <row r="151" spans="1:62" x14ac:dyDescent="0.3">
      <c r="A151">
        <v>615754</v>
      </c>
      <c r="K151" t="str">
        <f t="shared" si="78"/>
        <v>Pass</v>
      </c>
      <c r="L151" s="15">
        <f t="shared" si="79"/>
        <v>0</v>
      </c>
      <c r="M151" s="15">
        <f t="shared" si="80"/>
        <v>0</v>
      </c>
      <c r="Z151" s="15">
        <f t="shared" si="81"/>
        <v>1</v>
      </c>
      <c r="AA151" s="15">
        <f t="shared" si="82"/>
        <v>1</v>
      </c>
      <c r="AB151" s="15">
        <f t="shared" si="83"/>
        <v>1</v>
      </c>
      <c r="AC151" s="15">
        <f t="shared" si="84"/>
        <v>1</v>
      </c>
      <c r="AD151" s="15">
        <f t="shared" si="85"/>
        <v>1</v>
      </c>
      <c r="AE151" s="15">
        <f t="shared" si="86"/>
        <v>1</v>
      </c>
      <c r="AF151" s="15">
        <f t="shared" si="87"/>
        <v>1</v>
      </c>
      <c r="AG151" s="15">
        <f t="shared" si="88"/>
        <v>1</v>
      </c>
      <c r="AH151" s="15">
        <f t="shared" si="89"/>
        <v>1</v>
      </c>
      <c r="AI151" s="15">
        <f t="shared" si="90"/>
        <v>1</v>
      </c>
      <c r="AJ151" s="15">
        <f t="shared" si="91"/>
        <v>1</v>
      </c>
      <c r="AK151" s="15">
        <f t="shared" si="92"/>
        <v>1</v>
      </c>
      <c r="AL151" s="15">
        <f t="shared" si="93"/>
        <v>1</v>
      </c>
      <c r="AM151" s="15">
        <f t="shared" si="94"/>
        <v>1</v>
      </c>
      <c r="AN151" s="15">
        <f t="shared" si="95"/>
        <v>1</v>
      </c>
      <c r="AO151" s="15">
        <f t="shared" si="96"/>
        <v>1</v>
      </c>
      <c r="AP151" s="15">
        <f t="shared" si="97"/>
        <v>1</v>
      </c>
      <c r="AQ151" s="15">
        <f t="shared" si="98"/>
        <v>1</v>
      </c>
      <c r="AR151" s="15">
        <f t="shared" si="99"/>
        <v>1</v>
      </c>
      <c r="AS151" s="15">
        <f t="shared" si="100"/>
        <v>1</v>
      </c>
      <c r="AT151" s="15">
        <f t="shared" si="101"/>
        <v>1</v>
      </c>
      <c r="AU151" s="15">
        <f t="shared" si="102"/>
        <v>1</v>
      </c>
      <c r="AV151" s="15">
        <f t="shared" si="103"/>
        <v>1</v>
      </c>
      <c r="AW151" s="15">
        <f t="shared" si="104"/>
        <v>1</v>
      </c>
      <c r="AX151" s="15">
        <f t="shared" si="105"/>
        <v>1</v>
      </c>
      <c r="AY151" s="15">
        <f t="shared" si="106"/>
        <v>1</v>
      </c>
      <c r="AZ151" s="15">
        <f t="shared" si="107"/>
        <v>1</v>
      </c>
      <c r="BA151" s="15">
        <f t="shared" si="108"/>
        <v>1</v>
      </c>
      <c r="BB151" s="15">
        <f t="shared" si="109"/>
        <v>0</v>
      </c>
      <c r="BC151" s="15" t="str">
        <f t="shared" si="110"/>
        <v/>
      </c>
      <c r="BD151" s="15" t="str">
        <f t="shared" si="111"/>
        <v/>
      </c>
      <c r="BE151" s="11" t="e">
        <f t="shared" si="112"/>
        <v>#VALUE!</v>
      </c>
      <c r="BF151" s="11" t="e">
        <f t="shared" si="113"/>
        <v>#VALUE!</v>
      </c>
      <c r="BG151" s="11" t="e">
        <f t="shared" si="114"/>
        <v>#VALUE!</v>
      </c>
      <c r="BH151" t="str">
        <f t="shared" si="115"/>
        <v/>
      </c>
      <c r="BI151" t="str" cm="1">
        <f t="array" ref="BI151">_xlfn.IFS(
  L151&gt;0,"Critical Fail",
  M151&gt;0,"Important (Coaching)",
  TRUE,"Clean Pass"
)</f>
        <v>Clean Pass</v>
      </c>
      <c r="BJ151" t="str">
        <f t="shared" si="116"/>
        <v>NA</v>
      </c>
    </row>
    <row r="152" spans="1:62" x14ac:dyDescent="0.3">
      <c r="A152">
        <v>255758</v>
      </c>
      <c r="K152" t="str">
        <f t="shared" si="78"/>
        <v>Pass</v>
      </c>
      <c r="L152" s="15">
        <f t="shared" si="79"/>
        <v>0</v>
      </c>
      <c r="M152" s="15">
        <f t="shared" si="80"/>
        <v>0</v>
      </c>
      <c r="Z152" s="15">
        <f t="shared" si="81"/>
        <v>1</v>
      </c>
      <c r="AA152" s="15">
        <f t="shared" si="82"/>
        <v>1</v>
      </c>
      <c r="AB152" s="15">
        <f t="shared" si="83"/>
        <v>1</v>
      </c>
      <c r="AC152" s="15">
        <f t="shared" si="84"/>
        <v>1</v>
      </c>
      <c r="AD152" s="15">
        <f t="shared" si="85"/>
        <v>1</v>
      </c>
      <c r="AE152" s="15">
        <f t="shared" si="86"/>
        <v>1</v>
      </c>
      <c r="AF152" s="15">
        <f t="shared" si="87"/>
        <v>1</v>
      </c>
      <c r="AG152" s="15">
        <f t="shared" si="88"/>
        <v>1</v>
      </c>
      <c r="AH152" s="15">
        <f t="shared" si="89"/>
        <v>1</v>
      </c>
      <c r="AI152" s="15">
        <f t="shared" si="90"/>
        <v>1</v>
      </c>
      <c r="AJ152" s="15">
        <f t="shared" si="91"/>
        <v>1</v>
      </c>
      <c r="AK152" s="15">
        <f t="shared" si="92"/>
        <v>1</v>
      </c>
      <c r="AL152" s="15">
        <f t="shared" si="93"/>
        <v>1</v>
      </c>
      <c r="AM152" s="15">
        <f t="shared" si="94"/>
        <v>1</v>
      </c>
      <c r="AN152" s="15">
        <f t="shared" si="95"/>
        <v>1</v>
      </c>
      <c r="AO152" s="15">
        <f t="shared" si="96"/>
        <v>1</v>
      </c>
      <c r="AP152" s="15">
        <f t="shared" si="97"/>
        <v>1</v>
      </c>
      <c r="AQ152" s="15">
        <f t="shared" si="98"/>
        <v>1</v>
      </c>
      <c r="AR152" s="15">
        <f t="shared" si="99"/>
        <v>1</v>
      </c>
      <c r="AS152" s="15">
        <f t="shared" si="100"/>
        <v>1</v>
      </c>
      <c r="AT152" s="15">
        <f t="shared" si="101"/>
        <v>1</v>
      </c>
      <c r="AU152" s="15">
        <f t="shared" si="102"/>
        <v>1</v>
      </c>
      <c r="AV152" s="15">
        <f t="shared" si="103"/>
        <v>1</v>
      </c>
      <c r="AW152" s="15">
        <f t="shared" si="104"/>
        <v>1</v>
      </c>
      <c r="AX152" s="15">
        <f t="shared" si="105"/>
        <v>1</v>
      </c>
      <c r="AY152" s="15">
        <f t="shared" si="106"/>
        <v>1</v>
      </c>
      <c r="AZ152" s="15">
        <f t="shared" si="107"/>
        <v>1</v>
      </c>
      <c r="BA152" s="15">
        <f t="shared" si="108"/>
        <v>1</v>
      </c>
      <c r="BB152" s="15">
        <f t="shared" si="109"/>
        <v>0</v>
      </c>
      <c r="BC152" s="15" t="str">
        <f t="shared" si="110"/>
        <v/>
      </c>
      <c r="BD152" s="15" t="str">
        <f t="shared" si="111"/>
        <v/>
      </c>
      <c r="BE152" s="11" t="e">
        <f t="shared" si="112"/>
        <v>#VALUE!</v>
      </c>
      <c r="BF152" s="11" t="e">
        <f t="shared" si="113"/>
        <v>#VALUE!</v>
      </c>
      <c r="BG152" s="11" t="e">
        <f t="shared" si="114"/>
        <v>#VALUE!</v>
      </c>
      <c r="BH152" t="str">
        <f t="shared" si="115"/>
        <v/>
      </c>
      <c r="BI152" t="str" cm="1">
        <f t="array" ref="BI152">_xlfn.IFS(
  L152&gt;0,"Critical Fail",
  M152&gt;0,"Important (Coaching)",
  TRUE,"Clean Pass"
)</f>
        <v>Clean Pass</v>
      </c>
      <c r="BJ152" t="str">
        <f t="shared" si="116"/>
        <v>NA</v>
      </c>
    </row>
    <row r="153" spans="1:62" x14ac:dyDescent="0.3">
      <c r="A153">
        <v>467038</v>
      </c>
      <c r="K153" t="str">
        <f t="shared" si="78"/>
        <v>Pass</v>
      </c>
      <c r="L153" s="15">
        <f t="shared" si="79"/>
        <v>0</v>
      </c>
      <c r="M153" s="15">
        <f t="shared" si="80"/>
        <v>0</v>
      </c>
      <c r="Z153" s="15">
        <f t="shared" si="81"/>
        <v>1</v>
      </c>
      <c r="AA153" s="15">
        <f t="shared" si="82"/>
        <v>1</v>
      </c>
      <c r="AB153" s="15">
        <f t="shared" si="83"/>
        <v>1</v>
      </c>
      <c r="AC153" s="15">
        <f t="shared" si="84"/>
        <v>1</v>
      </c>
      <c r="AD153" s="15">
        <f t="shared" si="85"/>
        <v>1</v>
      </c>
      <c r="AE153" s="15">
        <f t="shared" si="86"/>
        <v>1</v>
      </c>
      <c r="AF153" s="15">
        <f t="shared" si="87"/>
        <v>1</v>
      </c>
      <c r="AG153" s="15">
        <f t="shared" si="88"/>
        <v>1</v>
      </c>
      <c r="AH153" s="15">
        <f t="shared" si="89"/>
        <v>1</v>
      </c>
      <c r="AI153" s="15">
        <f t="shared" si="90"/>
        <v>1</v>
      </c>
      <c r="AJ153" s="15">
        <f t="shared" si="91"/>
        <v>1</v>
      </c>
      <c r="AK153" s="15">
        <f t="shared" si="92"/>
        <v>1</v>
      </c>
      <c r="AL153" s="15">
        <f t="shared" si="93"/>
        <v>1</v>
      </c>
      <c r="AM153" s="15">
        <f t="shared" si="94"/>
        <v>1</v>
      </c>
      <c r="AN153" s="15">
        <f t="shared" si="95"/>
        <v>1</v>
      </c>
      <c r="AO153" s="15">
        <f t="shared" si="96"/>
        <v>1</v>
      </c>
      <c r="AP153" s="15">
        <f t="shared" si="97"/>
        <v>1</v>
      </c>
      <c r="AQ153" s="15">
        <f t="shared" si="98"/>
        <v>1</v>
      </c>
      <c r="AR153" s="15">
        <f t="shared" si="99"/>
        <v>1</v>
      </c>
      <c r="AS153" s="15">
        <f t="shared" si="100"/>
        <v>1</v>
      </c>
      <c r="AT153" s="15">
        <f t="shared" si="101"/>
        <v>1</v>
      </c>
      <c r="AU153" s="15">
        <f t="shared" si="102"/>
        <v>1</v>
      </c>
      <c r="AV153" s="15">
        <f t="shared" si="103"/>
        <v>1</v>
      </c>
      <c r="AW153" s="15">
        <f t="shared" si="104"/>
        <v>1</v>
      </c>
      <c r="AX153" s="15">
        <f t="shared" si="105"/>
        <v>1</v>
      </c>
      <c r="AY153" s="15">
        <f t="shared" si="106"/>
        <v>1</v>
      </c>
      <c r="AZ153" s="15">
        <f t="shared" si="107"/>
        <v>1</v>
      </c>
      <c r="BA153" s="15">
        <f t="shared" si="108"/>
        <v>1</v>
      </c>
      <c r="BB153" s="15">
        <f t="shared" si="109"/>
        <v>0</v>
      </c>
      <c r="BC153" s="15" t="str">
        <f t="shared" si="110"/>
        <v/>
      </c>
      <c r="BD153" s="15" t="str">
        <f t="shared" si="111"/>
        <v/>
      </c>
      <c r="BE153" s="11" t="e">
        <f t="shared" si="112"/>
        <v>#VALUE!</v>
      </c>
      <c r="BF153" s="11" t="e">
        <f t="shared" si="113"/>
        <v>#VALUE!</v>
      </c>
      <c r="BG153" s="11" t="e">
        <f t="shared" si="114"/>
        <v>#VALUE!</v>
      </c>
      <c r="BH153" t="str">
        <f t="shared" si="115"/>
        <v/>
      </c>
      <c r="BI153" t="str" cm="1">
        <f t="array" ref="BI153">_xlfn.IFS(
  L153&gt;0,"Critical Fail",
  M153&gt;0,"Important (Coaching)",
  TRUE,"Clean Pass"
)</f>
        <v>Clean Pass</v>
      </c>
      <c r="BJ153" t="str">
        <f t="shared" si="116"/>
        <v>NA</v>
      </c>
    </row>
    <row r="154" spans="1:62" x14ac:dyDescent="0.3">
      <c r="A154">
        <v>378085</v>
      </c>
      <c r="K154" t="str">
        <f t="shared" si="78"/>
        <v>Pass</v>
      </c>
      <c r="L154" s="15">
        <f t="shared" si="79"/>
        <v>0</v>
      </c>
      <c r="M154" s="15">
        <f t="shared" si="80"/>
        <v>0</v>
      </c>
      <c r="Z154" s="15">
        <f t="shared" si="81"/>
        <v>1</v>
      </c>
      <c r="AA154" s="15">
        <f t="shared" si="82"/>
        <v>1</v>
      </c>
      <c r="AB154" s="15">
        <f t="shared" si="83"/>
        <v>1</v>
      </c>
      <c r="AC154" s="15">
        <f t="shared" si="84"/>
        <v>1</v>
      </c>
      <c r="AD154" s="15">
        <f t="shared" si="85"/>
        <v>1</v>
      </c>
      <c r="AE154" s="15">
        <f t="shared" si="86"/>
        <v>1</v>
      </c>
      <c r="AF154" s="15">
        <f t="shared" si="87"/>
        <v>1</v>
      </c>
      <c r="AG154" s="15">
        <f t="shared" si="88"/>
        <v>1</v>
      </c>
      <c r="AH154" s="15">
        <f t="shared" si="89"/>
        <v>1</v>
      </c>
      <c r="AI154" s="15">
        <f t="shared" si="90"/>
        <v>1</v>
      </c>
      <c r="AJ154" s="15">
        <f t="shared" si="91"/>
        <v>1</v>
      </c>
      <c r="AK154" s="15">
        <f t="shared" si="92"/>
        <v>1</v>
      </c>
      <c r="AL154" s="15">
        <f t="shared" si="93"/>
        <v>1</v>
      </c>
      <c r="AM154" s="15">
        <f t="shared" si="94"/>
        <v>1</v>
      </c>
      <c r="AN154" s="15">
        <f t="shared" si="95"/>
        <v>1</v>
      </c>
      <c r="AO154" s="15">
        <f t="shared" si="96"/>
        <v>1</v>
      </c>
      <c r="AP154" s="15">
        <f t="shared" si="97"/>
        <v>1</v>
      </c>
      <c r="AQ154" s="15">
        <f t="shared" si="98"/>
        <v>1</v>
      </c>
      <c r="AR154" s="15">
        <f t="shared" si="99"/>
        <v>1</v>
      </c>
      <c r="AS154" s="15">
        <f t="shared" si="100"/>
        <v>1</v>
      </c>
      <c r="AT154" s="15">
        <f t="shared" si="101"/>
        <v>1</v>
      </c>
      <c r="AU154" s="15">
        <f t="shared" si="102"/>
        <v>1</v>
      </c>
      <c r="AV154" s="15">
        <f t="shared" si="103"/>
        <v>1</v>
      </c>
      <c r="AW154" s="15">
        <f t="shared" si="104"/>
        <v>1</v>
      </c>
      <c r="AX154" s="15">
        <f t="shared" si="105"/>
        <v>1</v>
      </c>
      <c r="AY154" s="15">
        <f t="shared" si="106"/>
        <v>1</v>
      </c>
      <c r="AZ154" s="15">
        <f t="shared" si="107"/>
        <v>1</v>
      </c>
      <c r="BA154" s="15">
        <f t="shared" si="108"/>
        <v>1</v>
      </c>
      <c r="BB154" s="15">
        <f t="shared" si="109"/>
        <v>0</v>
      </c>
      <c r="BC154" s="15" t="str">
        <f t="shared" si="110"/>
        <v/>
      </c>
      <c r="BD154" s="15" t="str">
        <f t="shared" si="111"/>
        <v/>
      </c>
      <c r="BE154" s="11" t="e">
        <f t="shared" si="112"/>
        <v>#VALUE!</v>
      </c>
      <c r="BF154" s="11" t="e">
        <f t="shared" si="113"/>
        <v>#VALUE!</v>
      </c>
      <c r="BG154" s="11" t="e">
        <f t="shared" si="114"/>
        <v>#VALUE!</v>
      </c>
      <c r="BH154" t="str">
        <f t="shared" si="115"/>
        <v/>
      </c>
      <c r="BI154" t="str" cm="1">
        <f t="array" ref="BI154">_xlfn.IFS(
  L154&gt;0,"Critical Fail",
  M154&gt;0,"Important (Coaching)",
  TRUE,"Clean Pass"
)</f>
        <v>Clean Pass</v>
      </c>
      <c r="BJ154" t="str">
        <f t="shared" si="116"/>
        <v>NA</v>
      </c>
    </row>
    <row r="155" spans="1:62" x14ac:dyDescent="0.3">
      <c r="A155">
        <v>901494</v>
      </c>
      <c r="K155" t="str">
        <f t="shared" si="78"/>
        <v>Pass</v>
      </c>
      <c r="L155" s="15">
        <f t="shared" si="79"/>
        <v>0</v>
      </c>
      <c r="M155" s="15">
        <f t="shared" si="80"/>
        <v>0</v>
      </c>
      <c r="Z155" s="15">
        <f t="shared" si="81"/>
        <v>1</v>
      </c>
      <c r="AA155" s="15">
        <f t="shared" si="82"/>
        <v>1</v>
      </c>
      <c r="AB155" s="15">
        <f t="shared" si="83"/>
        <v>1</v>
      </c>
      <c r="AC155" s="15">
        <f t="shared" si="84"/>
        <v>1</v>
      </c>
      <c r="AD155" s="15">
        <f t="shared" si="85"/>
        <v>1</v>
      </c>
      <c r="AE155" s="15">
        <f t="shared" si="86"/>
        <v>1</v>
      </c>
      <c r="AF155" s="15">
        <f t="shared" si="87"/>
        <v>1</v>
      </c>
      <c r="AG155" s="15">
        <f t="shared" si="88"/>
        <v>1</v>
      </c>
      <c r="AH155" s="15">
        <f t="shared" si="89"/>
        <v>1</v>
      </c>
      <c r="AI155" s="15">
        <f t="shared" si="90"/>
        <v>1</v>
      </c>
      <c r="AJ155" s="15">
        <f t="shared" si="91"/>
        <v>1</v>
      </c>
      <c r="AK155" s="15">
        <f t="shared" si="92"/>
        <v>1</v>
      </c>
      <c r="AL155" s="15">
        <f t="shared" si="93"/>
        <v>1</v>
      </c>
      <c r="AM155" s="15">
        <f t="shared" si="94"/>
        <v>1</v>
      </c>
      <c r="AN155" s="15">
        <f t="shared" si="95"/>
        <v>1</v>
      </c>
      <c r="AO155" s="15">
        <f t="shared" si="96"/>
        <v>1</v>
      </c>
      <c r="AP155" s="15">
        <f t="shared" si="97"/>
        <v>1</v>
      </c>
      <c r="AQ155" s="15">
        <f t="shared" si="98"/>
        <v>1</v>
      </c>
      <c r="AR155" s="15">
        <f t="shared" si="99"/>
        <v>1</v>
      </c>
      <c r="AS155" s="15">
        <f t="shared" si="100"/>
        <v>1</v>
      </c>
      <c r="AT155" s="15">
        <f t="shared" si="101"/>
        <v>1</v>
      </c>
      <c r="AU155" s="15">
        <f t="shared" si="102"/>
        <v>1</v>
      </c>
      <c r="AV155" s="15">
        <f t="shared" si="103"/>
        <v>1</v>
      </c>
      <c r="AW155" s="15">
        <f t="shared" si="104"/>
        <v>1</v>
      </c>
      <c r="AX155" s="15">
        <f t="shared" si="105"/>
        <v>1</v>
      </c>
      <c r="AY155" s="15">
        <f t="shared" si="106"/>
        <v>1</v>
      </c>
      <c r="AZ155" s="15">
        <f t="shared" si="107"/>
        <v>1</v>
      </c>
      <c r="BA155" s="15">
        <f t="shared" si="108"/>
        <v>1</v>
      </c>
      <c r="BB155" s="15">
        <f t="shared" si="109"/>
        <v>0</v>
      </c>
      <c r="BC155" s="15" t="str">
        <f t="shared" si="110"/>
        <v/>
      </c>
      <c r="BD155" s="15" t="str">
        <f t="shared" si="111"/>
        <v/>
      </c>
      <c r="BE155" s="11" t="e">
        <f t="shared" si="112"/>
        <v>#VALUE!</v>
      </c>
      <c r="BF155" s="11" t="e">
        <f t="shared" si="113"/>
        <v>#VALUE!</v>
      </c>
      <c r="BG155" s="11" t="e">
        <f t="shared" si="114"/>
        <v>#VALUE!</v>
      </c>
      <c r="BH155" t="str">
        <f t="shared" si="115"/>
        <v/>
      </c>
      <c r="BI155" t="str" cm="1">
        <f t="array" ref="BI155">_xlfn.IFS(
  L155&gt;0,"Critical Fail",
  M155&gt;0,"Important (Coaching)",
  TRUE,"Clean Pass"
)</f>
        <v>Clean Pass</v>
      </c>
      <c r="BJ155" t="str">
        <f t="shared" si="116"/>
        <v>NA</v>
      </c>
    </row>
    <row r="156" spans="1:62" x14ac:dyDescent="0.3">
      <c r="A156">
        <v>575905</v>
      </c>
      <c r="K156" t="str">
        <f t="shared" si="78"/>
        <v>Pass</v>
      </c>
      <c r="L156" s="15">
        <f t="shared" si="79"/>
        <v>0</v>
      </c>
      <c r="M156" s="15">
        <f t="shared" si="80"/>
        <v>0</v>
      </c>
      <c r="Z156" s="15">
        <f t="shared" si="81"/>
        <v>1</v>
      </c>
      <c r="AA156" s="15">
        <f t="shared" si="82"/>
        <v>1</v>
      </c>
      <c r="AB156" s="15">
        <f t="shared" si="83"/>
        <v>1</v>
      </c>
      <c r="AC156" s="15">
        <f t="shared" si="84"/>
        <v>1</v>
      </c>
      <c r="AD156" s="15">
        <f t="shared" si="85"/>
        <v>1</v>
      </c>
      <c r="AE156" s="15">
        <f t="shared" si="86"/>
        <v>1</v>
      </c>
      <c r="AF156" s="15">
        <f t="shared" si="87"/>
        <v>1</v>
      </c>
      <c r="AG156" s="15">
        <f t="shared" si="88"/>
        <v>1</v>
      </c>
      <c r="AH156" s="15">
        <f t="shared" si="89"/>
        <v>1</v>
      </c>
      <c r="AI156" s="15">
        <f t="shared" si="90"/>
        <v>1</v>
      </c>
      <c r="AJ156" s="15">
        <f t="shared" si="91"/>
        <v>1</v>
      </c>
      <c r="AK156" s="15">
        <f t="shared" si="92"/>
        <v>1</v>
      </c>
      <c r="AL156" s="15">
        <f t="shared" si="93"/>
        <v>1</v>
      </c>
      <c r="AM156" s="15">
        <f t="shared" si="94"/>
        <v>1</v>
      </c>
      <c r="AN156" s="15">
        <f t="shared" si="95"/>
        <v>1</v>
      </c>
      <c r="AO156" s="15">
        <f t="shared" si="96"/>
        <v>1</v>
      </c>
      <c r="AP156" s="15">
        <f t="shared" si="97"/>
        <v>1</v>
      </c>
      <c r="AQ156" s="15">
        <f t="shared" si="98"/>
        <v>1</v>
      </c>
      <c r="AR156" s="15">
        <f t="shared" si="99"/>
        <v>1</v>
      </c>
      <c r="AS156" s="15">
        <f t="shared" si="100"/>
        <v>1</v>
      </c>
      <c r="AT156" s="15">
        <f t="shared" si="101"/>
        <v>1</v>
      </c>
      <c r="AU156" s="15">
        <f t="shared" si="102"/>
        <v>1</v>
      </c>
      <c r="AV156" s="15">
        <f t="shared" si="103"/>
        <v>1</v>
      </c>
      <c r="AW156" s="15">
        <f t="shared" si="104"/>
        <v>1</v>
      </c>
      <c r="AX156" s="15">
        <f t="shared" si="105"/>
        <v>1</v>
      </c>
      <c r="AY156" s="15">
        <f t="shared" si="106"/>
        <v>1</v>
      </c>
      <c r="AZ156" s="15">
        <f t="shared" si="107"/>
        <v>1</v>
      </c>
      <c r="BA156" s="15">
        <f t="shared" si="108"/>
        <v>1</v>
      </c>
      <c r="BB156" s="15">
        <f t="shared" si="109"/>
        <v>0</v>
      </c>
      <c r="BC156" s="15" t="str">
        <f t="shared" si="110"/>
        <v/>
      </c>
      <c r="BD156" s="15" t="str">
        <f t="shared" si="111"/>
        <v/>
      </c>
      <c r="BE156" s="11" t="e">
        <f t="shared" si="112"/>
        <v>#VALUE!</v>
      </c>
      <c r="BF156" s="11" t="e">
        <f t="shared" si="113"/>
        <v>#VALUE!</v>
      </c>
      <c r="BG156" s="11" t="e">
        <f t="shared" si="114"/>
        <v>#VALUE!</v>
      </c>
      <c r="BH156" t="str">
        <f t="shared" si="115"/>
        <v/>
      </c>
      <c r="BI156" t="str" cm="1">
        <f t="array" ref="BI156">_xlfn.IFS(
  L156&gt;0,"Critical Fail",
  M156&gt;0,"Important (Coaching)",
  TRUE,"Clean Pass"
)</f>
        <v>Clean Pass</v>
      </c>
      <c r="BJ156" t="str">
        <f t="shared" si="116"/>
        <v>NA</v>
      </c>
    </row>
    <row r="157" spans="1:62" x14ac:dyDescent="0.3">
      <c r="A157">
        <v>183634</v>
      </c>
      <c r="K157" t="str">
        <f t="shared" si="78"/>
        <v>Pass</v>
      </c>
      <c r="L157" s="15">
        <f t="shared" si="79"/>
        <v>0</v>
      </c>
      <c r="M157" s="15">
        <f t="shared" si="80"/>
        <v>0</v>
      </c>
      <c r="Z157" s="15">
        <f t="shared" si="81"/>
        <v>1</v>
      </c>
      <c r="AA157" s="15">
        <f t="shared" si="82"/>
        <v>1</v>
      </c>
      <c r="AB157" s="15">
        <f t="shared" si="83"/>
        <v>1</v>
      </c>
      <c r="AC157" s="15">
        <f t="shared" si="84"/>
        <v>1</v>
      </c>
      <c r="AD157" s="15">
        <f t="shared" si="85"/>
        <v>1</v>
      </c>
      <c r="AE157" s="15">
        <f t="shared" si="86"/>
        <v>1</v>
      </c>
      <c r="AF157" s="15">
        <f t="shared" si="87"/>
        <v>1</v>
      </c>
      <c r="AG157" s="15">
        <f t="shared" si="88"/>
        <v>1</v>
      </c>
      <c r="AH157" s="15">
        <f t="shared" si="89"/>
        <v>1</v>
      </c>
      <c r="AI157" s="15">
        <f t="shared" si="90"/>
        <v>1</v>
      </c>
      <c r="AJ157" s="15">
        <f t="shared" si="91"/>
        <v>1</v>
      </c>
      <c r="AK157" s="15">
        <f t="shared" si="92"/>
        <v>1</v>
      </c>
      <c r="AL157" s="15">
        <f t="shared" si="93"/>
        <v>1</v>
      </c>
      <c r="AM157" s="15">
        <f t="shared" si="94"/>
        <v>1</v>
      </c>
      <c r="AN157" s="15">
        <f t="shared" si="95"/>
        <v>1</v>
      </c>
      <c r="AO157" s="15">
        <f t="shared" si="96"/>
        <v>1</v>
      </c>
      <c r="AP157" s="15">
        <f t="shared" si="97"/>
        <v>1</v>
      </c>
      <c r="AQ157" s="15">
        <f t="shared" si="98"/>
        <v>1</v>
      </c>
      <c r="AR157" s="15">
        <f t="shared" si="99"/>
        <v>1</v>
      </c>
      <c r="AS157" s="15">
        <f t="shared" si="100"/>
        <v>1</v>
      </c>
      <c r="AT157" s="15">
        <f t="shared" si="101"/>
        <v>1</v>
      </c>
      <c r="AU157" s="15">
        <f t="shared" si="102"/>
        <v>1</v>
      </c>
      <c r="AV157" s="15">
        <f t="shared" si="103"/>
        <v>1</v>
      </c>
      <c r="AW157" s="15">
        <f t="shared" si="104"/>
        <v>1</v>
      </c>
      <c r="AX157" s="15">
        <f t="shared" si="105"/>
        <v>1</v>
      </c>
      <c r="AY157" s="15">
        <f t="shared" si="106"/>
        <v>1</v>
      </c>
      <c r="AZ157" s="15">
        <f t="shared" si="107"/>
        <v>1</v>
      </c>
      <c r="BA157" s="15">
        <f t="shared" si="108"/>
        <v>1</v>
      </c>
      <c r="BB157" s="15">
        <f t="shared" si="109"/>
        <v>0</v>
      </c>
      <c r="BC157" s="15" t="str">
        <f t="shared" si="110"/>
        <v/>
      </c>
      <c r="BD157" s="15" t="str">
        <f t="shared" si="111"/>
        <v/>
      </c>
      <c r="BE157" s="11" t="e">
        <f t="shared" si="112"/>
        <v>#VALUE!</v>
      </c>
      <c r="BF157" s="11" t="e">
        <f t="shared" si="113"/>
        <v>#VALUE!</v>
      </c>
      <c r="BG157" s="11" t="e">
        <f t="shared" si="114"/>
        <v>#VALUE!</v>
      </c>
      <c r="BH157" t="str">
        <f t="shared" si="115"/>
        <v/>
      </c>
      <c r="BI157" t="str" cm="1">
        <f t="array" ref="BI157">_xlfn.IFS(
  L157&gt;0,"Critical Fail",
  M157&gt;0,"Important (Coaching)",
  TRUE,"Clean Pass"
)</f>
        <v>Clean Pass</v>
      </c>
      <c r="BJ157" t="str">
        <f t="shared" si="116"/>
        <v>NA</v>
      </c>
    </row>
    <row r="158" spans="1:62" x14ac:dyDescent="0.3">
      <c r="A158">
        <v>428641</v>
      </c>
      <c r="K158" t="str">
        <f t="shared" si="78"/>
        <v>Pass</v>
      </c>
      <c r="L158" s="15">
        <f t="shared" si="79"/>
        <v>0</v>
      </c>
      <c r="M158" s="15">
        <f t="shared" si="80"/>
        <v>0</v>
      </c>
      <c r="Z158" s="15">
        <f t="shared" si="81"/>
        <v>1</v>
      </c>
      <c r="AA158" s="15">
        <f t="shared" si="82"/>
        <v>1</v>
      </c>
      <c r="AB158" s="15">
        <f t="shared" si="83"/>
        <v>1</v>
      </c>
      <c r="AC158" s="15">
        <f t="shared" si="84"/>
        <v>1</v>
      </c>
      <c r="AD158" s="15">
        <f t="shared" si="85"/>
        <v>1</v>
      </c>
      <c r="AE158" s="15">
        <f t="shared" si="86"/>
        <v>1</v>
      </c>
      <c r="AF158" s="15">
        <f t="shared" si="87"/>
        <v>1</v>
      </c>
      <c r="AG158" s="15">
        <f t="shared" si="88"/>
        <v>1</v>
      </c>
      <c r="AH158" s="15">
        <f t="shared" si="89"/>
        <v>1</v>
      </c>
      <c r="AI158" s="15">
        <f t="shared" si="90"/>
        <v>1</v>
      </c>
      <c r="AJ158" s="15">
        <f t="shared" si="91"/>
        <v>1</v>
      </c>
      <c r="AK158" s="15">
        <f t="shared" si="92"/>
        <v>1</v>
      </c>
      <c r="AL158" s="15">
        <f t="shared" si="93"/>
        <v>1</v>
      </c>
      <c r="AM158" s="15">
        <f t="shared" si="94"/>
        <v>1</v>
      </c>
      <c r="AN158" s="15">
        <f t="shared" si="95"/>
        <v>1</v>
      </c>
      <c r="AO158" s="15">
        <f t="shared" si="96"/>
        <v>1</v>
      </c>
      <c r="AP158" s="15">
        <f t="shared" si="97"/>
        <v>1</v>
      </c>
      <c r="AQ158" s="15">
        <f t="shared" si="98"/>
        <v>1</v>
      </c>
      <c r="AR158" s="15">
        <f t="shared" si="99"/>
        <v>1</v>
      </c>
      <c r="AS158" s="15">
        <f t="shared" si="100"/>
        <v>1</v>
      </c>
      <c r="AT158" s="15">
        <f t="shared" si="101"/>
        <v>1</v>
      </c>
      <c r="AU158" s="15">
        <f t="shared" si="102"/>
        <v>1</v>
      </c>
      <c r="AV158" s="15">
        <f t="shared" si="103"/>
        <v>1</v>
      </c>
      <c r="AW158" s="15">
        <f t="shared" si="104"/>
        <v>1</v>
      </c>
      <c r="AX158" s="15">
        <f t="shared" si="105"/>
        <v>1</v>
      </c>
      <c r="AY158" s="15">
        <f t="shared" si="106"/>
        <v>1</v>
      </c>
      <c r="AZ158" s="15">
        <f t="shared" si="107"/>
        <v>1</v>
      </c>
      <c r="BA158" s="15">
        <f t="shared" si="108"/>
        <v>1</v>
      </c>
      <c r="BB158" s="15">
        <f t="shared" si="109"/>
        <v>0</v>
      </c>
      <c r="BC158" s="15" t="str">
        <f t="shared" si="110"/>
        <v/>
      </c>
      <c r="BD158" s="15" t="str">
        <f t="shared" si="111"/>
        <v/>
      </c>
      <c r="BE158" s="11" t="e">
        <f t="shared" si="112"/>
        <v>#VALUE!</v>
      </c>
      <c r="BF158" s="11" t="e">
        <f t="shared" si="113"/>
        <v>#VALUE!</v>
      </c>
      <c r="BG158" s="11" t="e">
        <f t="shared" si="114"/>
        <v>#VALUE!</v>
      </c>
      <c r="BH158" t="str">
        <f t="shared" si="115"/>
        <v/>
      </c>
      <c r="BI158" t="str" cm="1">
        <f t="array" ref="BI158">_xlfn.IFS(
  L158&gt;0,"Critical Fail",
  M158&gt;0,"Important (Coaching)",
  TRUE,"Clean Pass"
)</f>
        <v>Clean Pass</v>
      </c>
      <c r="BJ158" t="str">
        <f t="shared" si="116"/>
        <v>NA</v>
      </c>
    </row>
    <row r="159" spans="1:62" x14ac:dyDescent="0.3">
      <c r="A159">
        <v>132933</v>
      </c>
      <c r="K159" t="str">
        <f t="shared" si="78"/>
        <v>Pass</v>
      </c>
      <c r="L159" s="15">
        <f t="shared" si="79"/>
        <v>0</v>
      </c>
      <c r="M159" s="15">
        <f t="shared" si="80"/>
        <v>0</v>
      </c>
      <c r="Z159" s="15">
        <f t="shared" si="81"/>
        <v>1</v>
      </c>
      <c r="AA159" s="15">
        <f t="shared" si="82"/>
        <v>1</v>
      </c>
      <c r="AB159" s="15">
        <f t="shared" si="83"/>
        <v>1</v>
      </c>
      <c r="AC159" s="15">
        <f t="shared" si="84"/>
        <v>1</v>
      </c>
      <c r="AD159" s="15">
        <f t="shared" si="85"/>
        <v>1</v>
      </c>
      <c r="AE159" s="15">
        <f t="shared" si="86"/>
        <v>1</v>
      </c>
      <c r="AF159" s="15">
        <f t="shared" si="87"/>
        <v>1</v>
      </c>
      <c r="AG159" s="15">
        <f t="shared" si="88"/>
        <v>1</v>
      </c>
      <c r="AH159" s="15">
        <f t="shared" si="89"/>
        <v>1</v>
      </c>
      <c r="AI159" s="15">
        <f t="shared" si="90"/>
        <v>1</v>
      </c>
      <c r="AJ159" s="15">
        <f t="shared" si="91"/>
        <v>1</v>
      </c>
      <c r="AK159" s="15">
        <f t="shared" si="92"/>
        <v>1</v>
      </c>
      <c r="AL159" s="15">
        <f t="shared" si="93"/>
        <v>1</v>
      </c>
      <c r="AM159" s="15">
        <f t="shared" si="94"/>
        <v>1</v>
      </c>
      <c r="AN159" s="15">
        <f t="shared" si="95"/>
        <v>1</v>
      </c>
      <c r="AO159" s="15">
        <f t="shared" si="96"/>
        <v>1</v>
      </c>
      <c r="AP159" s="15">
        <f t="shared" si="97"/>
        <v>1</v>
      </c>
      <c r="AQ159" s="15">
        <f t="shared" si="98"/>
        <v>1</v>
      </c>
      <c r="AR159" s="15">
        <f t="shared" si="99"/>
        <v>1</v>
      </c>
      <c r="AS159" s="15">
        <f t="shared" si="100"/>
        <v>1</v>
      </c>
      <c r="AT159" s="15">
        <f t="shared" si="101"/>
        <v>1</v>
      </c>
      <c r="AU159" s="15">
        <f t="shared" si="102"/>
        <v>1</v>
      </c>
      <c r="AV159" s="15">
        <f t="shared" si="103"/>
        <v>1</v>
      </c>
      <c r="AW159" s="15">
        <f t="shared" si="104"/>
        <v>1</v>
      </c>
      <c r="AX159" s="15">
        <f t="shared" si="105"/>
        <v>1</v>
      </c>
      <c r="AY159" s="15">
        <f t="shared" si="106"/>
        <v>1</v>
      </c>
      <c r="AZ159" s="15">
        <f t="shared" si="107"/>
        <v>1</v>
      </c>
      <c r="BA159" s="15">
        <f t="shared" si="108"/>
        <v>1</v>
      </c>
      <c r="BB159" s="15">
        <f t="shared" si="109"/>
        <v>0</v>
      </c>
      <c r="BC159" s="15" t="str">
        <f t="shared" si="110"/>
        <v/>
      </c>
      <c r="BD159" s="15" t="str">
        <f t="shared" si="111"/>
        <v/>
      </c>
      <c r="BE159" s="11" t="e">
        <f t="shared" si="112"/>
        <v>#VALUE!</v>
      </c>
      <c r="BF159" s="11" t="e">
        <f t="shared" si="113"/>
        <v>#VALUE!</v>
      </c>
      <c r="BG159" s="11" t="e">
        <f t="shared" si="114"/>
        <v>#VALUE!</v>
      </c>
      <c r="BH159" t="str">
        <f t="shared" si="115"/>
        <v/>
      </c>
      <c r="BI159" t="str" cm="1">
        <f t="array" ref="BI159">_xlfn.IFS(
  L159&gt;0,"Critical Fail",
  M159&gt;0,"Important (Coaching)",
  TRUE,"Clean Pass"
)</f>
        <v>Clean Pass</v>
      </c>
      <c r="BJ159" t="str">
        <f t="shared" si="116"/>
        <v>NA</v>
      </c>
    </row>
    <row r="160" spans="1:62" x14ac:dyDescent="0.3">
      <c r="A160">
        <v>969554</v>
      </c>
      <c r="K160" t="str">
        <f t="shared" si="78"/>
        <v>Pass</v>
      </c>
      <c r="L160" s="15">
        <f t="shared" si="79"/>
        <v>0</v>
      </c>
      <c r="M160" s="15">
        <f t="shared" si="80"/>
        <v>0</v>
      </c>
      <c r="Z160" s="15">
        <f t="shared" si="81"/>
        <v>1</v>
      </c>
      <c r="AA160" s="15">
        <f t="shared" si="82"/>
        <v>1</v>
      </c>
      <c r="AB160" s="15">
        <f t="shared" si="83"/>
        <v>1</v>
      </c>
      <c r="AC160" s="15">
        <f t="shared" si="84"/>
        <v>1</v>
      </c>
      <c r="AD160" s="15">
        <f t="shared" si="85"/>
        <v>1</v>
      </c>
      <c r="AE160" s="15">
        <f t="shared" si="86"/>
        <v>1</v>
      </c>
      <c r="AF160" s="15">
        <f t="shared" si="87"/>
        <v>1</v>
      </c>
      <c r="AG160" s="15">
        <f t="shared" si="88"/>
        <v>1</v>
      </c>
      <c r="AH160" s="15">
        <f t="shared" si="89"/>
        <v>1</v>
      </c>
      <c r="AI160" s="15">
        <f t="shared" si="90"/>
        <v>1</v>
      </c>
      <c r="AJ160" s="15">
        <f t="shared" si="91"/>
        <v>1</v>
      </c>
      <c r="AK160" s="15">
        <f t="shared" si="92"/>
        <v>1</v>
      </c>
      <c r="AL160" s="15">
        <f t="shared" si="93"/>
        <v>1</v>
      </c>
      <c r="AM160" s="15">
        <f t="shared" si="94"/>
        <v>1</v>
      </c>
      <c r="AN160" s="15">
        <f t="shared" si="95"/>
        <v>1</v>
      </c>
      <c r="AO160" s="15">
        <f t="shared" si="96"/>
        <v>1</v>
      </c>
      <c r="AP160" s="15">
        <f t="shared" si="97"/>
        <v>1</v>
      </c>
      <c r="AQ160" s="15">
        <f t="shared" si="98"/>
        <v>1</v>
      </c>
      <c r="AR160" s="15">
        <f t="shared" si="99"/>
        <v>1</v>
      </c>
      <c r="AS160" s="15">
        <f t="shared" si="100"/>
        <v>1</v>
      </c>
      <c r="AT160" s="15">
        <f t="shared" si="101"/>
        <v>1</v>
      </c>
      <c r="AU160" s="15">
        <f t="shared" si="102"/>
        <v>1</v>
      </c>
      <c r="AV160" s="15">
        <f t="shared" si="103"/>
        <v>1</v>
      </c>
      <c r="AW160" s="15">
        <f t="shared" si="104"/>
        <v>1</v>
      </c>
      <c r="AX160" s="15">
        <f t="shared" si="105"/>
        <v>1</v>
      </c>
      <c r="AY160" s="15">
        <f t="shared" si="106"/>
        <v>1</v>
      </c>
      <c r="AZ160" s="15">
        <f t="shared" si="107"/>
        <v>1</v>
      </c>
      <c r="BA160" s="15">
        <f t="shared" si="108"/>
        <v>1</v>
      </c>
      <c r="BB160" s="15">
        <f t="shared" si="109"/>
        <v>0</v>
      </c>
      <c r="BC160" s="15" t="str">
        <f t="shared" si="110"/>
        <v/>
      </c>
      <c r="BD160" s="15" t="str">
        <f t="shared" si="111"/>
        <v/>
      </c>
      <c r="BE160" s="11" t="e">
        <f t="shared" si="112"/>
        <v>#VALUE!</v>
      </c>
      <c r="BF160" s="11" t="e">
        <f t="shared" si="113"/>
        <v>#VALUE!</v>
      </c>
      <c r="BG160" s="11" t="e">
        <f t="shared" si="114"/>
        <v>#VALUE!</v>
      </c>
      <c r="BH160" t="str">
        <f t="shared" si="115"/>
        <v/>
      </c>
      <c r="BI160" t="str" cm="1">
        <f t="array" ref="BI160">_xlfn.IFS(
  L160&gt;0,"Critical Fail",
  M160&gt;0,"Important (Coaching)",
  TRUE,"Clean Pass"
)</f>
        <v>Clean Pass</v>
      </c>
      <c r="BJ160" t="str">
        <f t="shared" si="116"/>
        <v>NA</v>
      </c>
    </row>
    <row r="161" spans="1:62" x14ac:dyDescent="0.3">
      <c r="A161">
        <v>390530</v>
      </c>
      <c r="K161" t="str">
        <f t="shared" si="78"/>
        <v>Pass</v>
      </c>
      <c r="L161" s="15">
        <f t="shared" si="79"/>
        <v>0</v>
      </c>
      <c r="M161" s="15">
        <f t="shared" si="80"/>
        <v>0</v>
      </c>
      <c r="Z161" s="15">
        <f t="shared" si="81"/>
        <v>1</v>
      </c>
      <c r="AA161" s="15">
        <f t="shared" si="82"/>
        <v>1</v>
      </c>
      <c r="AB161" s="15">
        <f t="shared" si="83"/>
        <v>1</v>
      </c>
      <c r="AC161" s="15">
        <f t="shared" si="84"/>
        <v>1</v>
      </c>
      <c r="AD161" s="15">
        <f t="shared" si="85"/>
        <v>1</v>
      </c>
      <c r="AE161" s="15">
        <f t="shared" si="86"/>
        <v>1</v>
      </c>
      <c r="AF161" s="15">
        <f t="shared" si="87"/>
        <v>1</v>
      </c>
      <c r="AG161" s="15">
        <f t="shared" si="88"/>
        <v>1</v>
      </c>
      <c r="AH161" s="15">
        <f t="shared" si="89"/>
        <v>1</v>
      </c>
      <c r="AI161" s="15">
        <f t="shared" si="90"/>
        <v>1</v>
      </c>
      <c r="AJ161" s="15">
        <f t="shared" si="91"/>
        <v>1</v>
      </c>
      <c r="AK161" s="15">
        <f t="shared" si="92"/>
        <v>1</v>
      </c>
      <c r="AL161" s="15">
        <f t="shared" si="93"/>
        <v>1</v>
      </c>
      <c r="AM161" s="15">
        <f t="shared" si="94"/>
        <v>1</v>
      </c>
      <c r="AN161" s="15">
        <f t="shared" si="95"/>
        <v>1</v>
      </c>
      <c r="AO161" s="15">
        <f t="shared" si="96"/>
        <v>1</v>
      </c>
      <c r="AP161" s="15">
        <f t="shared" si="97"/>
        <v>1</v>
      </c>
      <c r="AQ161" s="15">
        <f t="shared" si="98"/>
        <v>1</v>
      </c>
      <c r="AR161" s="15">
        <f t="shared" si="99"/>
        <v>1</v>
      </c>
      <c r="AS161" s="15">
        <f t="shared" si="100"/>
        <v>1</v>
      </c>
      <c r="AT161" s="15">
        <f t="shared" si="101"/>
        <v>1</v>
      </c>
      <c r="AU161" s="15">
        <f t="shared" si="102"/>
        <v>1</v>
      </c>
      <c r="AV161" s="15">
        <f t="shared" si="103"/>
        <v>1</v>
      </c>
      <c r="AW161" s="15">
        <f t="shared" si="104"/>
        <v>1</v>
      </c>
      <c r="AX161" s="15">
        <f t="shared" si="105"/>
        <v>1</v>
      </c>
      <c r="AY161" s="15">
        <f t="shared" si="106"/>
        <v>1</v>
      </c>
      <c r="AZ161" s="15">
        <f t="shared" si="107"/>
        <v>1</v>
      </c>
      <c r="BA161" s="15">
        <f t="shared" si="108"/>
        <v>1</v>
      </c>
      <c r="BB161" s="15">
        <f t="shared" si="109"/>
        <v>0</v>
      </c>
      <c r="BC161" s="15" t="str">
        <f t="shared" si="110"/>
        <v/>
      </c>
      <c r="BD161" s="15" t="str">
        <f t="shared" si="111"/>
        <v/>
      </c>
      <c r="BE161" s="11" t="e">
        <f t="shared" si="112"/>
        <v>#VALUE!</v>
      </c>
      <c r="BF161" s="11" t="e">
        <f t="shared" si="113"/>
        <v>#VALUE!</v>
      </c>
      <c r="BG161" s="11" t="e">
        <f t="shared" si="114"/>
        <v>#VALUE!</v>
      </c>
      <c r="BH161" t="str">
        <f t="shared" si="115"/>
        <v/>
      </c>
      <c r="BI161" t="str" cm="1">
        <f t="array" ref="BI161">_xlfn.IFS(
  L161&gt;0,"Critical Fail",
  M161&gt;0,"Important (Coaching)",
  TRUE,"Clean Pass"
)</f>
        <v>Clean Pass</v>
      </c>
      <c r="BJ161" t="str">
        <f t="shared" si="116"/>
        <v>NA</v>
      </c>
    </row>
    <row r="162" spans="1:62" x14ac:dyDescent="0.3">
      <c r="A162">
        <v>386061</v>
      </c>
      <c r="K162" t="str">
        <f t="shared" si="78"/>
        <v>Pass</v>
      </c>
      <c r="L162" s="15">
        <f t="shared" si="79"/>
        <v>0</v>
      </c>
      <c r="M162" s="15">
        <f t="shared" si="80"/>
        <v>0</v>
      </c>
      <c r="Z162" s="15">
        <f t="shared" si="81"/>
        <v>1</v>
      </c>
      <c r="AA162" s="15">
        <f t="shared" si="82"/>
        <v>1</v>
      </c>
      <c r="AB162" s="15">
        <f t="shared" si="83"/>
        <v>1</v>
      </c>
      <c r="AC162" s="15">
        <f t="shared" si="84"/>
        <v>1</v>
      </c>
      <c r="AD162" s="15">
        <f t="shared" si="85"/>
        <v>1</v>
      </c>
      <c r="AE162" s="15">
        <f t="shared" si="86"/>
        <v>1</v>
      </c>
      <c r="AF162" s="15">
        <f t="shared" si="87"/>
        <v>1</v>
      </c>
      <c r="AG162" s="15">
        <f t="shared" si="88"/>
        <v>1</v>
      </c>
      <c r="AH162" s="15">
        <f t="shared" si="89"/>
        <v>1</v>
      </c>
      <c r="AI162" s="15">
        <f t="shared" si="90"/>
        <v>1</v>
      </c>
      <c r="AJ162" s="15">
        <f t="shared" si="91"/>
        <v>1</v>
      </c>
      <c r="AK162" s="15">
        <f t="shared" si="92"/>
        <v>1</v>
      </c>
      <c r="AL162" s="15">
        <f t="shared" si="93"/>
        <v>1</v>
      </c>
      <c r="AM162" s="15">
        <f t="shared" si="94"/>
        <v>1</v>
      </c>
      <c r="AN162" s="15">
        <f t="shared" si="95"/>
        <v>1</v>
      </c>
      <c r="AO162" s="15">
        <f t="shared" si="96"/>
        <v>1</v>
      </c>
      <c r="AP162" s="15">
        <f t="shared" si="97"/>
        <v>1</v>
      </c>
      <c r="AQ162" s="15">
        <f t="shared" si="98"/>
        <v>1</v>
      </c>
      <c r="AR162" s="15">
        <f t="shared" si="99"/>
        <v>1</v>
      </c>
      <c r="AS162" s="15">
        <f t="shared" si="100"/>
        <v>1</v>
      </c>
      <c r="AT162" s="15">
        <f t="shared" si="101"/>
        <v>1</v>
      </c>
      <c r="AU162" s="15">
        <f t="shared" si="102"/>
        <v>1</v>
      </c>
      <c r="AV162" s="15">
        <f t="shared" si="103"/>
        <v>1</v>
      </c>
      <c r="AW162" s="15">
        <f t="shared" si="104"/>
        <v>1</v>
      </c>
      <c r="AX162" s="15">
        <f t="shared" si="105"/>
        <v>1</v>
      </c>
      <c r="AY162" s="15">
        <f t="shared" si="106"/>
        <v>1</v>
      </c>
      <c r="AZ162" s="15">
        <f t="shared" si="107"/>
        <v>1</v>
      </c>
      <c r="BA162" s="15">
        <f t="shared" si="108"/>
        <v>1</v>
      </c>
      <c r="BB162" s="15">
        <f t="shared" si="109"/>
        <v>0</v>
      </c>
      <c r="BC162" s="15" t="str">
        <f t="shared" si="110"/>
        <v/>
      </c>
      <c r="BD162" s="15" t="str">
        <f t="shared" si="111"/>
        <v/>
      </c>
      <c r="BE162" s="11" t="e">
        <f t="shared" si="112"/>
        <v>#VALUE!</v>
      </c>
      <c r="BF162" s="11" t="e">
        <f t="shared" si="113"/>
        <v>#VALUE!</v>
      </c>
      <c r="BG162" s="11" t="e">
        <f t="shared" si="114"/>
        <v>#VALUE!</v>
      </c>
      <c r="BH162" t="str">
        <f t="shared" si="115"/>
        <v/>
      </c>
      <c r="BI162" t="str" cm="1">
        <f t="array" ref="BI162">_xlfn.IFS(
  L162&gt;0,"Critical Fail",
  M162&gt;0,"Important (Coaching)",
  TRUE,"Clean Pass"
)</f>
        <v>Clean Pass</v>
      </c>
      <c r="BJ162" t="str">
        <f t="shared" si="116"/>
        <v>NA</v>
      </c>
    </row>
    <row r="163" spans="1:62" x14ac:dyDescent="0.3">
      <c r="A163">
        <v>557480</v>
      </c>
      <c r="K163" t="str">
        <f t="shared" si="78"/>
        <v>Pass</v>
      </c>
      <c r="L163" s="15">
        <f t="shared" si="79"/>
        <v>0</v>
      </c>
      <c r="M163" s="15">
        <f t="shared" si="80"/>
        <v>0</v>
      </c>
      <c r="Z163" s="15">
        <f t="shared" si="81"/>
        <v>1</v>
      </c>
      <c r="AA163" s="15">
        <f t="shared" si="82"/>
        <v>1</v>
      </c>
      <c r="AB163" s="15">
        <f t="shared" si="83"/>
        <v>1</v>
      </c>
      <c r="AC163" s="15">
        <f t="shared" si="84"/>
        <v>1</v>
      </c>
      <c r="AD163" s="15">
        <f t="shared" si="85"/>
        <v>1</v>
      </c>
      <c r="AE163" s="15">
        <f t="shared" si="86"/>
        <v>1</v>
      </c>
      <c r="AF163" s="15">
        <f t="shared" si="87"/>
        <v>1</v>
      </c>
      <c r="AG163" s="15">
        <f t="shared" si="88"/>
        <v>1</v>
      </c>
      <c r="AH163" s="15">
        <f t="shared" si="89"/>
        <v>1</v>
      </c>
      <c r="AI163" s="15">
        <f t="shared" si="90"/>
        <v>1</v>
      </c>
      <c r="AJ163" s="15">
        <f t="shared" si="91"/>
        <v>1</v>
      </c>
      <c r="AK163" s="15">
        <f t="shared" si="92"/>
        <v>1</v>
      </c>
      <c r="AL163" s="15">
        <f t="shared" si="93"/>
        <v>1</v>
      </c>
      <c r="AM163" s="15">
        <f t="shared" si="94"/>
        <v>1</v>
      </c>
      <c r="AN163" s="15">
        <f t="shared" si="95"/>
        <v>1</v>
      </c>
      <c r="AO163" s="15">
        <f t="shared" si="96"/>
        <v>1</v>
      </c>
      <c r="AP163" s="15">
        <f t="shared" si="97"/>
        <v>1</v>
      </c>
      <c r="AQ163" s="15">
        <f t="shared" si="98"/>
        <v>1</v>
      </c>
      <c r="AR163" s="15">
        <f t="shared" si="99"/>
        <v>1</v>
      </c>
      <c r="AS163" s="15">
        <f t="shared" si="100"/>
        <v>1</v>
      </c>
      <c r="AT163" s="15">
        <f t="shared" si="101"/>
        <v>1</v>
      </c>
      <c r="AU163" s="15">
        <f t="shared" si="102"/>
        <v>1</v>
      </c>
      <c r="AV163" s="15">
        <f t="shared" si="103"/>
        <v>1</v>
      </c>
      <c r="AW163" s="15">
        <f t="shared" si="104"/>
        <v>1</v>
      </c>
      <c r="AX163" s="15">
        <f t="shared" si="105"/>
        <v>1</v>
      </c>
      <c r="AY163" s="15">
        <f t="shared" si="106"/>
        <v>1</v>
      </c>
      <c r="AZ163" s="15">
        <f t="shared" si="107"/>
        <v>1</v>
      </c>
      <c r="BA163" s="15">
        <f t="shared" si="108"/>
        <v>1</v>
      </c>
      <c r="BB163" s="15">
        <f t="shared" si="109"/>
        <v>0</v>
      </c>
      <c r="BC163" s="15" t="str">
        <f t="shared" si="110"/>
        <v/>
      </c>
      <c r="BD163" s="15" t="str">
        <f t="shared" si="111"/>
        <v/>
      </c>
      <c r="BE163" s="11" t="e">
        <f t="shared" si="112"/>
        <v>#VALUE!</v>
      </c>
      <c r="BF163" s="11" t="e">
        <f t="shared" si="113"/>
        <v>#VALUE!</v>
      </c>
      <c r="BG163" s="11" t="e">
        <f t="shared" si="114"/>
        <v>#VALUE!</v>
      </c>
      <c r="BH163" t="str">
        <f t="shared" si="115"/>
        <v/>
      </c>
      <c r="BI163" t="str" cm="1">
        <f t="array" ref="BI163">_xlfn.IFS(
  L163&gt;0,"Critical Fail",
  M163&gt;0,"Important (Coaching)",
  TRUE,"Clean Pass"
)</f>
        <v>Clean Pass</v>
      </c>
      <c r="BJ163" t="str">
        <f t="shared" si="116"/>
        <v>NA</v>
      </c>
    </row>
    <row r="164" spans="1:62" x14ac:dyDescent="0.3">
      <c r="A164">
        <v>690053</v>
      </c>
      <c r="K164" t="str">
        <f t="shared" si="78"/>
        <v>Pass</v>
      </c>
      <c r="L164" s="15">
        <f t="shared" si="79"/>
        <v>0</v>
      </c>
      <c r="M164" s="15">
        <f t="shared" si="80"/>
        <v>0</v>
      </c>
      <c r="Z164" s="15">
        <f t="shared" si="81"/>
        <v>1</v>
      </c>
      <c r="AA164" s="15">
        <f t="shared" si="82"/>
        <v>1</v>
      </c>
      <c r="AB164" s="15">
        <f t="shared" si="83"/>
        <v>1</v>
      </c>
      <c r="AC164" s="15">
        <f t="shared" si="84"/>
        <v>1</v>
      </c>
      <c r="AD164" s="15">
        <f t="shared" si="85"/>
        <v>1</v>
      </c>
      <c r="AE164" s="15">
        <f t="shared" si="86"/>
        <v>1</v>
      </c>
      <c r="AF164" s="15">
        <f t="shared" si="87"/>
        <v>1</v>
      </c>
      <c r="AG164" s="15">
        <f t="shared" si="88"/>
        <v>1</v>
      </c>
      <c r="AH164" s="15">
        <f t="shared" si="89"/>
        <v>1</v>
      </c>
      <c r="AI164" s="15">
        <f t="shared" si="90"/>
        <v>1</v>
      </c>
      <c r="AJ164" s="15">
        <f t="shared" si="91"/>
        <v>1</v>
      </c>
      <c r="AK164" s="15">
        <f t="shared" si="92"/>
        <v>1</v>
      </c>
      <c r="AL164" s="15">
        <f t="shared" si="93"/>
        <v>1</v>
      </c>
      <c r="AM164" s="15">
        <f t="shared" si="94"/>
        <v>1</v>
      </c>
      <c r="AN164" s="15">
        <f t="shared" si="95"/>
        <v>1</v>
      </c>
      <c r="AO164" s="15">
        <f t="shared" si="96"/>
        <v>1</v>
      </c>
      <c r="AP164" s="15">
        <f t="shared" si="97"/>
        <v>1</v>
      </c>
      <c r="AQ164" s="15">
        <f t="shared" si="98"/>
        <v>1</v>
      </c>
      <c r="AR164" s="15">
        <f t="shared" si="99"/>
        <v>1</v>
      </c>
      <c r="AS164" s="15">
        <f t="shared" si="100"/>
        <v>1</v>
      </c>
      <c r="AT164" s="15">
        <f t="shared" si="101"/>
        <v>1</v>
      </c>
      <c r="AU164" s="15">
        <f t="shared" si="102"/>
        <v>1</v>
      </c>
      <c r="AV164" s="15">
        <f t="shared" si="103"/>
        <v>1</v>
      </c>
      <c r="AW164" s="15">
        <f t="shared" si="104"/>
        <v>1</v>
      </c>
      <c r="AX164" s="15">
        <f t="shared" si="105"/>
        <v>1</v>
      </c>
      <c r="AY164" s="15">
        <f t="shared" si="106"/>
        <v>1</v>
      </c>
      <c r="AZ164" s="15">
        <f t="shared" si="107"/>
        <v>1</v>
      </c>
      <c r="BA164" s="15">
        <f t="shared" si="108"/>
        <v>1</v>
      </c>
      <c r="BB164" s="15">
        <f t="shared" si="109"/>
        <v>0</v>
      </c>
      <c r="BC164" s="15" t="str">
        <f t="shared" si="110"/>
        <v/>
      </c>
      <c r="BD164" s="15" t="str">
        <f t="shared" si="111"/>
        <v/>
      </c>
      <c r="BE164" s="11" t="e">
        <f t="shared" si="112"/>
        <v>#VALUE!</v>
      </c>
      <c r="BF164" s="11" t="e">
        <f t="shared" si="113"/>
        <v>#VALUE!</v>
      </c>
      <c r="BG164" s="11" t="e">
        <f t="shared" si="114"/>
        <v>#VALUE!</v>
      </c>
      <c r="BH164" t="str">
        <f t="shared" si="115"/>
        <v/>
      </c>
      <c r="BI164" t="str" cm="1">
        <f t="array" ref="BI164">_xlfn.IFS(
  L164&gt;0,"Critical Fail",
  M164&gt;0,"Important (Coaching)",
  TRUE,"Clean Pass"
)</f>
        <v>Clean Pass</v>
      </c>
      <c r="BJ164" t="str">
        <f t="shared" si="116"/>
        <v>NA</v>
      </c>
    </row>
    <row r="165" spans="1:62" x14ac:dyDescent="0.3">
      <c r="A165">
        <v>477640</v>
      </c>
      <c r="K165" t="str">
        <f t="shared" si="78"/>
        <v>Pass</v>
      </c>
      <c r="L165" s="15">
        <f t="shared" si="79"/>
        <v>0</v>
      </c>
      <c r="M165" s="15">
        <f t="shared" si="80"/>
        <v>0</v>
      </c>
      <c r="Z165" s="15">
        <f t="shared" si="81"/>
        <v>1</v>
      </c>
      <c r="AA165" s="15">
        <f t="shared" si="82"/>
        <v>1</v>
      </c>
      <c r="AB165" s="15">
        <f t="shared" si="83"/>
        <v>1</v>
      </c>
      <c r="AC165" s="15">
        <f t="shared" si="84"/>
        <v>1</v>
      </c>
      <c r="AD165" s="15">
        <f t="shared" si="85"/>
        <v>1</v>
      </c>
      <c r="AE165" s="15">
        <f t="shared" si="86"/>
        <v>1</v>
      </c>
      <c r="AF165" s="15">
        <f t="shared" si="87"/>
        <v>1</v>
      </c>
      <c r="AG165" s="15">
        <f t="shared" si="88"/>
        <v>1</v>
      </c>
      <c r="AH165" s="15">
        <f t="shared" si="89"/>
        <v>1</v>
      </c>
      <c r="AI165" s="15">
        <f t="shared" si="90"/>
        <v>1</v>
      </c>
      <c r="AJ165" s="15">
        <f t="shared" si="91"/>
        <v>1</v>
      </c>
      <c r="AK165" s="15">
        <f t="shared" si="92"/>
        <v>1</v>
      </c>
      <c r="AL165" s="15">
        <f t="shared" si="93"/>
        <v>1</v>
      </c>
      <c r="AM165" s="15">
        <f t="shared" si="94"/>
        <v>1</v>
      </c>
      <c r="AN165" s="15">
        <f t="shared" si="95"/>
        <v>1</v>
      </c>
      <c r="AO165" s="15">
        <f t="shared" si="96"/>
        <v>1</v>
      </c>
      <c r="AP165" s="15">
        <f t="shared" si="97"/>
        <v>1</v>
      </c>
      <c r="AQ165" s="15">
        <f t="shared" si="98"/>
        <v>1</v>
      </c>
      <c r="AR165" s="15">
        <f t="shared" si="99"/>
        <v>1</v>
      </c>
      <c r="AS165" s="15">
        <f t="shared" si="100"/>
        <v>1</v>
      </c>
      <c r="AT165" s="15">
        <f t="shared" si="101"/>
        <v>1</v>
      </c>
      <c r="AU165" s="15">
        <f t="shared" si="102"/>
        <v>1</v>
      </c>
      <c r="AV165" s="15">
        <f t="shared" si="103"/>
        <v>1</v>
      </c>
      <c r="AW165" s="15">
        <f t="shared" si="104"/>
        <v>1</v>
      </c>
      <c r="AX165" s="15">
        <f t="shared" si="105"/>
        <v>1</v>
      </c>
      <c r="AY165" s="15">
        <f t="shared" si="106"/>
        <v>1</v>
      </c>
      <c r="AZ165" s="15">
        <f t="shared" si="107"/>
        <v>1</v>
      </c>
      <c r="BA165" s="15">
        <f t="shared" si="108"/>
        <v>1</v>
      </c>
      <c r="BB165" s="15">
        <f t="shared" si="109"/>
        <v>0</v>
      </c>
      <c r="BC165" s="15" t="str">
        <f t="shared" si="110"/>
        <v/>
      </c>
      <c r="BD165" s="15" t="str">
        <f t="shared" si="111"/>
        <v/>
      </c>
      <c r="BE165" s="11" t="e">
        <f t="shared" si="112"/>
        <v>#VALUE!</v>
      </c>
      <c r="BF165" s="11" t="e">
        <f t="shared" si="113"/>
        <v>#VALUE!</v>
      </c>
      <c r="BG165" s="11" t="e">
        <f t="shared" si="114"/>
        <v>#VALUE!</v>
      </c>
      <c r="BH165" t="str">
        <f t="shared" si="115"/>
        <v/>
      </c>
      <c r="BI165" t="str" cm="1">
        <f t="array" ref="BI165">_xlfn.IFS(
  L165&gt;0,"Critical Fail",
  M165&gt;0,"Important (Coaching)",
  TRUE,"Clean Pass"
)</f>
        <v>Clean Pass</v>
      </c>
      <c r="BJ165" t="str">
        <f t="shared" si="116"/>
        <v>NA</v>
      </c>
    </row>
    <row r="166" spans="1:62" x14ac:dyDescent="0.3">
      <c r="A166">
        <v>601416</v>
      </c>
      <c r="K166" t="str">
        <f t="shared" si="78"/>
        <v>Pass</v>
      </c>
      <c r="L166" s="15">
        <f t="shared" si="79"/>
        <v>0</v>
      </c>
      <c r="M166" s="15">
        <f t="shared" si="80"/>
        <v>0</v>
      </c>
      <c r="Z166" s="15">
        <f t="shared" si="81"/>
        <v>1</v>
      </c>
      <c r="AA166" s="15">
        <f t="shared" si="82"/>
        <v>1</v>
      </c>
      <c r="AB166" s="15">
        <f t="shared" si="83"/>
        <v>1</v>
      </c>
      <c r="AC166" s="15">
        <f t="shared" si="84"/>
        <v>1</v>
      </c>
      <c r="AD166" s="15">
        <f t="shared" si="85"/>
        <v>1</v>
      </c>
      <c r="AE166" s="15">
        <f t="shared" si="86"/>
        <v>1</v>
      </c>
      <c r="AF166" s="15">
        <f t="shared" si="87"/>
        <v>1</v>
      </c>
      <c r="AG166" s="15">
        <f t="shared" si="88"/>
        <v>1</v>
      </c>
      <c r="AH166" s="15">
        <f t="shared" si="89"/>
        <v>1</v>
      </c>
      <c r="AI166" s="15">
        <f t="shared" si="90"/>
        <v>1</v>
      </c>
      <c r="AJ166" s="15">
        <f t="shared" si="91"/>
        <v>1</v>
      </c>
      <c r="AK166" s="15">
        <f t="shared" si="92"/>
        <v>1</v>
      </c>
      <c r="AL166" s="15">
        <f t="shared" si="93"/>
        <v>1</v>
      </c>
      <c r="AM166" s="15">
        <f t="shared" si="94"/>
        <v>1</v>
      </c>
      <c r="AN166" s="15">
        <f t="shared" si="95"/>
        <v>1</v>
      </c>
      <c r="AO166" s="15">
        <f t="shared" si="96"/>
        <v>1</v>
      </c>
      <c r="AP166" s="15">
        <f t="shared" si="97"/>
        <v>1</v>
      </c>
      <c r="AQ166" s="15">
        <f t="shared" si="98"/>
        <v>1</v>
      </c>
      <c r="AR166" s="15">
        <f t="shared" si="99"/>
        <v>1</v>
      </c>
      <c r="AS166" s="15">
        <f t="shared" si="100"/>
        <v>1</v>
      </c>
      <c r="AT166" s="15">
        <f t="shared" si="101"/>
        <v>1</v>
      </c>
      <c r="AU166" s="15">
        <f t="shared" si="102"/>
        <v>1</v>
      </c>
      <c r="AV166" s="15">
        <f t="shared" si="103"/>
        <v>1</v>
      </c>
      <c r="AW166" s="15">
        <f t="shared" si="104"/>
        <v>1</v>
      </c>
      <c r="AX166" s="15">
        <f t="shared" si="105"/>
        <v>1</v>
      </c>
      <c r="AY166" s="15">
        <f t="shared" si="106"/>
        <v>1</v>
      </c>
      <c r="AZ166" s="15">
        <f t="shared" si="107"/>
        <v>1</v>
      </c>
      <c r="BA166" s="15">
        <f t="shared" si="108"/>
        <v>1</v>
      </c>
      <c r="BB166" s="15">
        <f t="shared" si="109"/>
        <v>0</v>
      </c>
      <c r="BC166" s="15" t="str">
        <f t="shared" si="110"/>
        <v/>
      </c>
      <c r="BD166" s="15" t="str">
        <f t="shared" si="111"/>
        <v/>
      </c>
      <c r="BE166" s="11" t="e">
        <f t="shared" si="112"/>
        <v>#VALUE!</v>
      </c>
      <c r="BF166" s="11" t="e">
        <f t="shared" si="113"/>
        <v>#VALUE!</v>
      </c>
      <c r="BG166" s="11" t="e">
        <f t="shared" si="114"/>
        <v>#VALUE!</v>
      </c>
      <c r="BH166" t="str">
        <f t="shared" si="115"/>
        <v/>
      </c>
      <c r="BI166" t="str" cm="1">
        <f t="array" ref="BI166">_xlfn.IFS(
  L166&gt;0,"Critical Fail",
  M166&gt;0,"Important (Coaching)",
  TRUE,"Clean Pass"
)</f>
        <v>Clean Pass</v>
      </c>
      <c r="BJ166" t="str">
        <f t="shared" si="116"/>
        <v>NA</v>
      </c>
    </row>
    <row r="167" spans="1:62" x14ac:dyDescent="0.3">
      <c r="A167">
        <v>645744</v>
      </c>
      <c r="K167" t="str">
        <f t="shared" si="78"/>
        <v>Pass</v>
      </c>
      <c r="L167" s="15">
        <f t="shared" si="79"/>
        <v>0</v>
      </c>
      <c r="M167" s="15">
        <f t="shared" si="80"/>
        <v>0</v>
      </c>
      <c r="Z167" s="15">
        <f t="shared" si="81"/>
        <v>1</v>
      </c>
      <c r="AA167" s="15">
        <f t="shared" si="82"/>
        <v>1</v>
      </c>
      <c r="AB167" s="15">
        <f t="shared" si="83"/>
        <v>1</v>
      </c>
      <c r="AC167" s="15">
        <f t="shared" si="84"/>
        <v>1</v>
      </c>
      <c r="AD167" s="15">
        <f t="shared" si="85"/>
        <v>1</v>
      </c>
      <c r="AE167" s="15">
        <f t="shared" si="86"/>
        <v>1</v>
      </c>
      <c r="AF167" s="15">
        <f t="shared" si="87"/>
        <v>1</v>
      </c>
      <c r="AG167" s="15">
        <f t="shared" si="88"/>
        <v>1</v>
      </c>
      <c r="AH167" s="15">
        <f t="shared" si="89"/>
        <v>1</v>
      </c>
      <c r="AI167" s="15">
        <f t="shared" si="90"/>
        <v>1</v>
      </c>
      <c r="AJ167" s="15">
        <f t="shared" si="91"/>
        <v>1</v>
      </c>
      <c r="AK167" s="15">
        <f t="shared" si="92"/>
        <v>1</v>
      </c>
      <c r="AL167" s="15">
        <f t="shared" si="93"/>
        <v>1</v>
      </c>
      <c r="AM167" s="15">
        <f t="shared" si="94"/>
        <v>1</v>
      </c>
      <c r="AN167" s="15">
        <f t="shared" si="95"/>
        <v>1</v>
      </c>
      <c r="AO167" s="15">
        <f t="shared" si="96"/>
        <v>1</v>
      </c>
      <c r="AP167" s="15">
        <f t="shared" si="97"/>
        <v>1</v>
      </c>
      <c r="AQ167" s="15">
        <f t="shared" si="98"/>
        <v>1</v>
      </c>
      <c r="AR167" s="15">
        <f t="shared" si="99"/>
        <v>1</v>
      </c>
      <c r="AS167" s="15">
        <f t="shared" si="100"/>
        <v>1</v>
      </c>
      <c r="AT167" s="15">
        <f t="shared" si="101"/>
        <v>1</v>
      </c>
      <c r="AU167" s="15">
        <f t="shared" si="102"/>
        <v>1</v>
      </c>
      <c r="AV167" s="15">
        <f t="shared" si="103"/>
        <v>1</v>
      </c>
      <c r="AW167" s="15">
        <f t="shared" si="104"/>
        <v>1</v>
      </c>
      <c r="AX167" s="15">
        <f t="shared" si="105"/>
        <v>1</v>
      </c>
      <c r="AY167" s="15">
        <f t="shared" si="106"/>
        <v>1</v>
      </c>
      <c r="AZ167" s="15">
        <f t="shared" si="107"/>
        <v>1</v>
      </c>
      <c r="BA167" s="15">
        <f t="shared" si="108"/>
        <v>1</v>
      </c>
      <c r="BB167" s="15">
        <f t="shared" si="109"/>
        <v>0</v>
      </c>
      <c r="BC167" s="15" t="str">
        <f t="shared" si="110"/>
        <v/>
      </c>
      <c r="BD167" s="15" t="str">
        <f t="shared" si="111"/>
        <v/>
      </c>
      <c r="BE167" s="11" t="e">
        <f t="shared" si="112"/>
        <v>#VALUE!</v>
      </c>
      <c r="BF167" s="11" t="e">
        <f t="shared" si="113"/>
        <v>#VALUE!</v>
      </c>
      <c r="BG167" s="11" t="e">
        <f t="shared" si="114"/>
        <v>#VALUE!</v>
      </c>
      <c r="BH167" t="str">
        <f t="shared" si="115"/>
        <v/>
      </c>
      <c r="BI167" t="str" cm="1">
        <f t="array" ref="BI167">_xlfn.IFS(
  L167&gt;0,"Critical Fail",
  M167&gt;0,"Important (Coaching)",
  TRUE,"Clean Pass"
)</f>
        <v>Clean Pass</v>
      </c>
      <c r="BJ167" t="str">
        <f t="shared" si="116"/>
        <v>NA</v>
      </c>
    </row>
    <row r="168" spans="1:62" x14ac:dyDescent="0.3">
      <c r="A168">
        <v>680962</v>
      </c>
      <c r="K168" t="str">
        <f t="shared" si="78"/>
        <v>Pass</v>
      </c>
      <c r="L168" s="15">
        <f t="shared" si="79"/>
        <v>0</v>
      </c>
      <c r="M168" s="15">
        <f t="shared" si="80"/>
        <v>0</v>
      </c>
      <c r="Z168" s="15">
        <f t="shared" si="81"/>
        <v>1</v>
      </c>
      <c r="AA168" s="15">
        <f t="shared" si="82"/>
        <v>1</v>
      </c>
      <c r="AB168" s="15">
        <f t="shared" si="83"/>
        <v>1</v>
      </c>
      <c r="AC168" s="15">
        <f t="shared" si="84"/>
        <v>1</v>
      </c>
      <c r="AD168" s="15">
        <f t="shared" si="85"/>
        <v>1</v>
      </c>
      <c r="AE168" s="15">
        <f t="shared" si="86"/>
        <v>1</v>
      </c>
      <c r="AF168" s="15">
        <f t="shared" si="87"/>
        <v>1</v>
      </c>
      <c r="AG168" s="15">
        <f t="shared" si="88"/>
        <v>1</v>
      </c>
      <c r="AH168" s="15">
        <f t="shared" si="89"/>
        <v>1</v>
      </c>
      <c r="AI168" s="15">
        <f t="shared" si="90"/>
        <v>1</v>
      </c>
      <c r="AJ168" s="15">
        <f t="shared" si="91"/>
        <v>1</v>
      </c>
      <c r="AK168" s="15">
        <f t="shared" si="92"/>
        <v>1</v>
      </c>
      <c r="AL168" s="15">
        <f t="shared" si="93"/>
        <v>1</v>
      </c>
      <c r="AM168" s="15">
        <f t="shared" si="94"/>
        <v>1</v>
      </c>
      <c r="AN168" s="15">
        <f t="shared" si="95"/>
        <v>1</v>
      </c>
      <c r="AO168" s="15">
        <f t="shared" si="96"/>
        <v>1</v>
      </c>
      <c r="AP168" s="15">
        <f t="shared" si="97"/>
        <v>1</v>
      </c>
      <c r="AQ168" s="15">
        <f t="shared" si="98"/>
        <v>1</v>
      </c>
      <c r="AR168" s="15">
        <f t="shared" si="99"/>
        <v>1</v>
      </c>
      <c r="AS168" s="15">
        <f t="shared" si="100"/>
        <v>1</v>
      </c>
      <c r="AT168" s="15">
        <f t="shared" si="101"/>
        <v>1</v>
      </c>
      <c r="AU168" s="15">
        <f t="shared" si="102"/>
        <v>1</v>
      </c>
      <c r="AV168" s="15">
        <f t="shared" si="103"/>
        <v>1</v>
      </c>
      <c r="AW168" s="15">
        <f t="shared" si="104"/>
        <v>1</v>
      </c>
      <c r="AX168" s="15">
        <f t="shared" si="105"/>
        <v>1</v>
      </c>
      <c r="AY168" s="15">
        <f t="shared" si="106"/>
        <v>1</v>
      </c>
      <c r="AZ168" s="15">
        <f t="shared" si="107"/>
        <v>1</v>
      </c>
      <c r="BA168" s="15">
        <f t="shared" si="108"/>
        <v>1</v>
      </c>
      <c r="BB168" s="15">
        <f t="shared" si="109"/>
        <v>0</v>
      </c>
      <c r="BC168" s="15" t="str">
        <f t="shared" si="110"/>
        <v/>
      </c>
      <c r="BD168" s="15" t="str">
        <f t="shared" si="111"/>
        <v/>
      </c>
      <c r="BE168" s="11" t="e">
        <f t="shared" si="112"/>
        <v>#VALUE!</v>
      </c>
      <c r="BF168" s="11" t="e">
        <f t="shared" si="113"/>
        <v>#VALUE!</v>
      </c>
      <c r="BG168" s="11" t="e">
        <f t="shared" si="114"/>
        <v>#VALUE!</v>
      </c>
      <c r="BH168" t="str">
        <f t="shared" si="115"/>
        <v/>
      </c>
      <c r="BI168" t="str" cm="1">
        <f t="array" ref="BI168">_xlfn.IFS(
  L168&gt;0,"Critical Fail",
  M168&gt;0,"Important (Coaching)",
  TRUE,"Clean Pass"
)</f>
        <v>Clean Pass</v>
      </c>
      <c r="BJ168" t="str">
        <f t="shared" si="116"/>
        <v>NA</v>
      </c>
    </row>
    <row r="169" spans="1:62" x14ac:dyDescent="0.3">
      <c r="A169">
        <v>436851</v>
      </c>
      <c r="K169" t="str">
        <f t="shared" si="78"/>
        <v>Pass</v>
      </c>
      <c r="L169" s="15">
        <f t="shared" si="79"/>
        <v>0</v>
      </c>
      <c r="M169" s="15">
        <f t="shared" si="80"/>
        <v>0</v>
      </c>
      <c r="Z169" s="15">
        <f t="shared" si="81"/>
        <v>1</v>
      </c>
      <c r="AA169" s="15">
        <f t="shared" si="82"/>
        <v>1</v>
      </c>
      <c r="AB169" s="15">
        <f t="shared" si="83"/>
        <v>1</v>
      </c>
      <c r="AC169" s="15">
        <f t="shared" si="84"/>
        <v>1</v>
      </c>
      <c r="AD169" s="15">
        <f t="shared" si="85"/>
        <v>1</v>
      </c>
      <c r="AE169" s="15">
        <f t="shared" si="86"/>
        <v>1</v>
      </c>
      <c r="AF169" s="15">
        <f t="shared" si="87"/>
        <v>1</v>
      </c>
      <c r="AG169" s="15">
        <f t="shared" si="88"/>
        <v>1</v>
      </c>
      <c r="AH169" s="15">
        <f t="shared" si="89"/>
        <v>1</v>
      </c>
      <c r="AI169" s="15">
        <f t="shared" si="90"/>
        <v>1</v>
      </c>
      <c r="AJ169" s="15">
        <f t="shared" si="91"/>
        <v>1</v>
      </c>
      <c r="AK169" s="15">
        <f t="shared" si="92"/>
        <v>1</v>
      </c>
      <c r="AL169" s="15">
        <f t="shared" si="93"/>
        <v>1</v>
      </c>
      <c r="AM169" s="15">
        <f t="shared" si="94"/>
        <v>1</v>
      </c>
      <c r="AN169" s="15">
        <f t="shared" si="95"/>
        <v>1</v>
      </c>
      <c r="AO169" s="15">
        <f t="shared" si="96"/>
        <v>1</v>
      </c>
      <c r="AP169" s="15">
        <f t="shared" si="97"/>
        <v>1</v>
      </c>
      <c r="AQ169" s="15">
        <f t="shared" si="98"/>
        <v>1</v>
      </c>
      <c r="AR169" s="15">
        <f t="shared" si="99"/>
        <v>1</v>
      </c>
      <c r="AS169" s="15">
        <f t="shared" si="100"/>
        <v>1</v>
      </c>
      <c r="AT169" s="15">
        <f t="shared" si="101"/>
        <v>1</v>
      </c>
      <c r="AU169" s="15">
        <f t="shared" si="102"/>
        <v>1</v>
      </c>
      <c r="AV169" s="15">
        <f t="shared" si="103"/>
        <v>1</v>
      </c>
      <c r="AW169" s="15">
        <f t="shared" si="104"/>
        <v>1</v>
      </c>
      <c r="AX169" s="15">
        <f t="shared" si="105"/>
        <v>1</v>
      </c>
      <c r="AY169" s="15">
        <f t="shared" si="106"/>
        <v>1</v>
      </c>
      <c r="AZ169" s="15">
        <f t="shared" si="107"/>
        <v>1</v>
      </c>
      <c r="BA169" s="15">
        <f t="shared" si="108"/>
        <v>1</v>
      </c>
      <c r="BB169" s="15">
        <f t="shared" si="109"/>
        <v>0</v>
      </c>
      <c r="BC169" s="15" t="str">
        <f t="shared" si="110"/>
        <v/>
      </c>
      <c r="BD169" s="15" t="str">
        <f t="shared" si="111"/>
        <v/>
      </c>
      <c r="BE169" s="11" t="e">
        <f t="shared" si="112"/>
        <v>#VALUE!</v>
      </c>
      <c r="BF169" s="11" t="e">
        <f t="shared" si="113"/>
        <v>#VALUE!</v>
      </c>
      <c r="BG169" s="11" t="e">
        <f t="shared" si="114"/>
        <v>#VALUE!</v>
      </c>
      <c r="BH169" t="str">
        <f t="shared" si="115"/>
        <v/>
      </c>
      <c r="BI169" t="str" cm="1">
        <f t="array" ref="BI169">_xlfn.IFS(
  L169&gt;0,"Critical Fail",
  M169&gt;0,"Important (Coaching)",
  TRUE,"Clean Pass"
)</f>
        <v>Clean Pass</v>
      </c>
      <c r="BJ169" t="str">
        <f t="shared" si="116"/>
        <v>NA</v>
      </c>
    </row>
    <row r="170" spans="1:62" x14ac:dyDescent="0.3">
      <c r="A170">
        <v>556169</v>
      </c>
      <c r="K170" t="str">
        <f t="shared" si="78"/>
        <v>Pass</v>
      </c>
      <c r="L170" s="15">
        <f t="shared" si="79"/>
        <v>0</v>
      </c>
      <c r="M170" s="15">
        <f t="shared" si="80"/>
        <v>0</v>
      </c>
      <c r="Z170" s="15">
        <f t="shared" si="81"/>
        <v>1</v>
      </c>
      <c r="AA170" s="15">
        <f t="shared" si="82"/>
        <v>1</v>
      </c>
      <c r="AB170" s="15">
        <f t="shared" si="83"/>
        <v>1</v>
      </c>
      <c r="AC170" s="15">
        <f t="shared" si="84"/>
        <v>1</v>
      </c>
      <c r="AD170" s="15">
        <f t="shared" si="85"/>
        <v>1</v>
      </c>
      <c r="AE170" s="15">
        <f t="shared" si="86"/>
        <v>1</v>
      </c>
      <c r="AF170" s="15">
        <f t="shared" si="87"/>
        <v>1</v>
      </c>
      <c r="AG170" s="15">
        <f t="shared" si="88"/>
        <v>1</v>
      </c>
      <c r="AH170" s="15">
        <f t="shared" si="89"/>
        <v>1</v>
      </c>
      <c r="AI170" s="15">
        <f t="shared" si="90"/>
        <v>1</v>
      </c>
      <c r="AJ170" s="15">
        <f t="shared" si="91"/>
        <v>1</v>
      </c>
      <c r="AK170" s="15">
        <f t="shared" si="92"/>
        <v>1</v>
      </c>
      <c r="AL170" s="15">
        <f t="shared" si="93"/>
        <v>1</v>
      </c>
      <c r="AM170" s="15">
        <f t="shared" si="94"/>
        <v>1</v>
      </c>
      <c r="AN170" s="15">
        <f t="shared" si="95"/>
        <v>1</v>
      </c>
      <c r="AO170" s="15">
        <f t="shared" si="96"/>
        <v>1</v>
      </c>
      <c r="AP170" s="15">
        <f t="shared" si="97"/>
        <v>1</v>
      </c>
      <c r="AQ170" s="15">
        <f t="shared" si="98"/>
        <v>1</v>
      </c>
      <c r="AR170" s="15">
        <f t="shared" si="99"/>
        <v>1</v>
      </c>
      <c r="AS170" s="15">
        <f t="shared" si="100"/>
        <v>1</v>
      </c>
      <c r="AT170" s="15">
        <f t="shared" si="101"/>
        <v>1</v>
      </c>
      <c r="AU170" s="15">
        <f t="shared" si="102"/>
        <v>1</v>
      </c>
      <c r="AV170" s="15">
        <f t="shared" si="103"/>
        <v>1</v>
      </c>
      <c r="AW170" s="15">
        <f t="shared" si="104"/>
        <v>1</v>
      </c>
      <c r="AX170" s="15">
        <f t="shared" si="105"/>
        <v>1</v>
      </c>
      <c r="AY170" s="15">
        <f t="shared" si="106"/>
        <v>1</v>
      </c>
      <c r="AZ170" s="15">
        <f t="shared" si="107"/>
        <v>1</v>
      </c>
      <c r="BA170" s="15">
        <f t="shared" si="108"/>
        <v>1</v>
      </c>
      <c r="BB170" s="15">
        <f t="shared" si="109"/>
        <v>0</v>
      </c>
      <c r="BC170" s="15" t="str">
        <f t="shared" si="110"/>
        <v/>
      </c>
      <c r="BD170" s="15" t="str">
        <f t="shared" si="111"/>
        <v/>
      </c>
      <c r="BE170" s="11" t="e">
        <f t="shared" si="112"/>
        <v>#VALUE!</v>
      </c>
      <c r="BF170" s="11" t="e">
        <f t="shared" si="113"/>
        <v>#VALUE!</v>
      </c>
      <c r="BG170" s="11" t="e">
        <f t="shared" si="114"/>
        <v>#VALUE!</v>
      </c>
      <c r="BH170" t="str">
        <f t="shared" si="115"/>
        <v/>
      </c>
      <c r="BI170" t="str" cm="1">
        <f t="array" ref="BI170">_xlfn.IFS(
  L170&gt;0,"Critical Fail",
  M170&gt;0,"Important (Coaching)",
  TRUE,"Clean Pass"
)</f>
        <v>Clean Pass</v>
      </c>
      <c r="BJ170" t="str">
        <f t="shared" si="116"/>
        <v>NA</v>
      </c>
    </row>
    <row r="171" spans="1:62" x14ac:dyDescent="0.3">
      <c r="A171">
        <v>935018</v>
      </c>
      <c r="K171" t="str">
        <f t="shared" si="78"/>
        <v>Pass</v>
      </c>
      <c r="L171" s="15">
        <f t="shared" si="79"/>
        <v>0</v>
      </c>
      <c r="M171" s="15">
        <f t="shared" si="80"/>
        <v>0</v>
      </c>
      <c r="Z171" s="15">
        <f t="shared" si="81"/>
        <v>1</v>
      </c>
      <c r="AA171" s="15">
        <f t="shared" si="82"/>
        <v>1</v>
      </c>
      <c r="AB171" s="15">
        <f t="shared" si="83"/>
        <v>1</v>
      </c>
      <c r="AC171" s="15">
        <f t="shared" si="84"/>
        <v>1</v>
      </c>
      <c r="AD171" s="15">
        <f t="shared" si="85"/>
        <v>1</v>
      </c>
      <c r="AE171" s="15">
        <f t="shared" si="86"/>
        <v>1</v>
      </c>
      <c r="AF171" s="15">
        <f t="shared" si="87"/>
        <v>1</v>
      </c>
      <c r="AG171" s="15">
        <f t="shared" si="88"/>
        <v>1</v>
      </c>
      <c r="AH171" s="15">
        <f t="shared" si="89"/>
        <v>1</v>
      </c>
      <c r="AI171" s="15">
        <f t="shared" si="90"/>
        <v>1</v>
      </c>
      <c r="AJ171" s="15">
        <f t="shared" si="91"/>
        <v>1</v>
      </c>
      <c r="AK171" s="15">
        <f t="shared" si="92"/>
        <v>1</v>
      </c>
      <c r="AL171" s="15">
        <f t="shared" si="93"/>
        <v>1</v>
      </c>
      <c r="AM171" s="15">
        <f t="shared" si="94"/>
        <v>1</v>
      </c>
      <c r="AN171" s="15">
        <f t="shared" si="95"/>
        <v>1</v>
      </c>
      <c r="AO171" s="15">
        <f t="shared" si="96"/>
        <v>1</v>
      </c>
      <c r="AP171" s="15">
        <f t="shared" si="97"/>
        <v>1</v>
      </c>
      <c r="AQ171" s="15">
        <f t="shared" si="98"/>
        <v>1</v>
      </c>
      <c r="AR171" s="15">
        <f t="shared" si="99"/>
        <v>1</v>
      </c>
      <c r="AS171" s="15">
        <f t="shared" si="100"/>
        <v>1</v>
      </c>
      <c r="AT171" s="15">
        <f t="shared" si="101"/>
        <v>1</v>
      </c>
      <c r="AU171" s="15">
        <f t="shared" si="102"/>
        <v>1</v>
      </c>
      <c r="AV171" s="15">
        <f t="shared" si="103"/>
        <v>1</v>
      </c>
      <c r="AW171" s="15">
        <f t="shared" si="104"/>
        <v>1</v>
      </c>
      <c r="AX171" s="15">
        <f t="shared" si="105"/>
        <v>1</v>
      </c>
      <c r="AY171" s="15">
        <f t="shared" si="106"/>
        <v>1</v>
      </c>
      <c r="AZ171" s="15">
        <f t="shared" si="107"/>
        <v>1</v>
      </c>
      <c r="BA171" s="15">
        <f t="shared" si="108"/>
        <v>1</v>
      </c>
      <c r="BB171" s="15">
        <f t="shared" si="109"/>
        <v>0</v>
      </c>
      <c r="BC171" s="15" t="str">
        <f t="shared" si="110"/>
        <v/>
      </c>
      <c r="BD171" s="15" t="str">
        <f t="shared" si="111"/>
        <v/>
      </c>
      <c r="BE171" s="11" t="e">
        <f t="shared" si="112"/>
        <v>#VALUE!</v>
      </c>
      <c r="BF171" s="11" t="e">
        <f t="shared" si="113"/>
        <v>#VALUE!</v>
      </c>
      <c r="BG171" s="11" t="e">
        <f t="shared" si="114"/>
        <v>#VALUE!</v>
      </c>
      <c r="BH171" t="str">
        <f t="shared" si="115"/>
        <v/>
      </c>
      <c r="BI171" t="str" cm="1">
        <f t="array" ref="BI171">_xlfn.IFS(
  L171&gt;0,"Critical Fail",
  M171&gt;0,"Important (Coaching)",
  TRUE,"Clean Pass"
)</f>
        <v>Clean Pass</v>
      </c>
      <c r="BJ171" t="str">
        <f t="shared" si="116"/>
        <v>NA</v>
      </c>
    </row>
    <row r="172" spans="1:62" x14ac:dyDescent="0.3">
      <c r="A172">
        <v>842054</v>
      </c>
      <c r="K172" t="str">
        <f t="shared" si="78"/>
        <v>Pass</v>
      </c>
      <c r="L172" s="15">
        <f t="shared" si="79"/>
        <v>0</v>
      </c>
      <c r="M172" s="15">
        <f t="shared" si="80"/>
        <v>0</v>
      </c>
      <c r="Z172" s="15">
        <f t="shared" si="81"/>
        <v>1</v>
      </c>
      <c r="AA172" s="15">
        <f t="shared" si="82"/>
        <v>1</v>
      </c>
      <c r="AB172" s="15">
        <f t="shared" si="83"/>
        <v>1</v>
      </c>
      <c r="AC172" s="15">
        <f t="shared" si="84"/>
        <v>1</v>
      </c>
      <c r="AD172" s="15">
        <f t="shared" si="85"/>
        <v>1</v>
      </c>
      <c r="AE172" s="15">
        <f t="shared" si="86"/>
        <v>1</v>
      </c>
      <c r="AF172" s="15">
        <f t="shared" si="87"/>
        <v>1</v>
      </c>
      <c r="AG172" s="15">
        <f t="shared" si="88"/>
        <v>1</v>
      </c>
      <c r="AH172" s="15">
        <f t="shared" si="89"/>
        <v>1</v>
      </c>
      <c r="AI172" s="15">
        <f t="shared" si="90"/>
        <v>1</v>
      </c>
      <c r="AJ172" s="15">
        <f t="shared" si="91"/>
        <v>1</v>
      </c>
      <c r="AK172" s="15">
        <f t="shared" si="92"/>
        <v>1</v>
      </c>
      <c r="AL172" s="15">
        <f t="shared" si="93"/>
        <v>1</v>
      </c>
      <c r="AM172" s="15">
        <f t="shared" si="94"/>
        <v>1</v>
      </c>
      <c r="AN172" s="15">
        <f t="shared" si="95"/>
        <v>1</v>
      </c>
      <c r="AO172" s="15">
        <f t="shared" si="96"/>
        <v>1</v>
      </c>
      <c r="AP172" s="15">
        <f t="shared" si="97"/>
        <v>1</v>
      </c>
      <c r="AQ172" s="15">
        <f t="shared" si="98"/>
        <v>1</v>
      </c>
      <c r="AR172" s="15">
        <f t="shared" si="99"/>
        <v>1</v>
      </c>
      <c r="AS172" s="15">
        <f t="shared" si="100"/>
        <v>1</v>
      </c>
      <c r="AT172" s="15">
        <f t="shared" si="101"/>
        <v>1</v>
      </c>
      <c r="AU172" s="15">
        <f t="shared" si="102"/>
        <v>1</v>
      </c>
      <c r="AV172" s="15">
        <f t="shared" si="103"/>
        <v>1</v>
      </c>
      <c r="AW172" s="15">
        <f t="shared" si="104"/>
        <v>1</v>
      </c>
      <c r="AX172" s="15">
        <f t="shared" si="105"/>
        <v>1</v>
      </c>
      <c r="AY172" s="15">
        <f t="shared" si="106"/>
        <v>1</v>
      </c>
      <c r="AZ172" s="15">
        <f t="shared" si="107"/>
        <v>1</v>
      </c>
      <c r="BA172" s="15">
        <f t="shared" si="108"/>
        <v>1</v>
      </c>
      <c r="BB172" s="15">
        <f t="shared" si="109"/>
        <v>0</v>
      </c>
      <c r="BC172" s="15" t="str">
        <f t="shared" si="110"/>
        <v/>
      </c>
      <c r="BD172" s="15" t="str">
        <f t="shared" si="111"/>
        <v/>
      </c>
      <c r="BE172" s="11" t="e">
        <f t="shared" si="112"/>
        <v>#VALUE!</v>
      </c>
      <c r="BF172" s="11" t="e">
        <f t="shared" si="113"/>
        <v>#VALUE!</v>
      </c>
      <c r="BG172" s="11" t="e">
        <f t="shared" si="114"/>
        <v>#VALUE!</v>
      </c>
      <c r="BH172" t="str">
        <f t="shared" si="115"/>
        <v/>
      </c>
      <c r="BI172" t="str" cm="1">
        <f t="array" ref="BI172">_xlfn.IFS(
  L172&gt;0,"Critical Fail",
  M172&gt;0,"Important (Coaching)",
  TRUE,"Clean Pass"
)</f>
        <v>Clean Pass</v>
      </c>
      <c r="BJ172" t="str">
        <f t="shared" si="116"/>
        <v>NA</v>
      </c>
    </row>
    <row r="173" spans="1:62" x14ac:dyDescent="0.3">
      <c r="A173">
        <v>818482</v>
      </c>
      <c r="K173" t="str">
        <f t="shared" si="78"/>
        <v>Pass</v>
      </c>
      <c r="L173" s="15">
        <f t="shared" si="79"/>
        <v>0</v>
      </c>
      <c r="M173" s="15">
        <f t="shared" si="80"/>
        <v>0</v>
      </c>
      <c r="Z173" s="15">
        <f t="shared" si="81"/>
        <v>1</v>
      </c>
      <c r="AA173" s="15">
        <f t="shared" si="82"/>
        <v>1</v>
      </c>
      <c r="AB173" s="15">
        <f t="shared" si="83"/>
        <v>1</v>
      </c>
      <c r="AC173" s="15">
        <f t="shared" si="84"/>
        <v>1</v>
      </c>
      <c r="AD173" s="15">
        <f t="shared" si="85"/>
        <v>1</v>
      </c>
      <c r="AE173" s="15">
        <f t="shared" si="86"/>
        <v>1</v>
      </c>
      <c r="AF173" s="15">
        <f t="shared" si="87"/>
        <v>1</v>
      </c>
      <c r="AG173" s="15">
        <f t="shared" si="88"/>
        <v>1</v>
      </c>
      <c r="AH173" s="15">
        <f t="shared" si="89"/>
        <v>1</v>
      </c>
      <c r="AI173" s="15">
        <f t="shared" si="90"/>
        <v>1</v>
      </c>
      <c r="AJ173" s="15">
        <f t="shared" si="91"/>
        <v>1</v>
      </c>
      <c r="AK173" s="15">
        <f t="shared" si="92"/>
        <v>1</v>
      </c>
      <c r="AL173" s="15">
        <f t="shared" si="93"/>
        <v>1</v>
      </c>
      <c r="AM173" s="15">
        <f t="shared" si="94"/>
        <v>1</v>
      </c>
      <c r="AN173" s="15">
        <f t="shared" si="95"/>
        <v>1</v>
      </c>
      <c r="AO173" s="15">
        <f t="shared" si="96"/>
        <v>1</v>
      </c>
      <c r="AP173" s="15">
        <f t="shared" si="97"/>
        <v>1</v>
      </c>
      <c r="AQ173" s="15">
        <f t="shared" si="98"/>
        <v>1</v>
      </c>
      <c r="AR173" s="15">
        <f t="shared" si="99"/>
        <v>1</v>
      </c>
      <c r="AS173" s="15">
        <f t="shared" si="100"/>
        <v>1</v>
      </c>
      <c r="AT173" s="15">
        <f t="shared" si="101"/>
        <v>1</v>
      </c>
      <c r="AU173" s="15">
        <f t="shared" si="102"/>
        <v>1</v>
      </c>
      <c r="AV173" s="15">
        <f t="shared" si="103"/>
        <v>1</v>
      </c>
      <c r="AW173" s="15">
        <f t="shared" si="104"/>
        <v>1</v>
      </c>
      <c r="AX173" s="15">
        <f t="shared" si="105"/>
        <v>1</v>
      </c>
      <c r="AY173" s="15">
        <f t="shared" si="106"/>
        <v>1</v>
      </c>
      <c r="AZ173" s="15">
        <f t="shared" si="107"/>
        <v>1</v>
      </c>
      <c r="BA173" s="15">
        <f t="shared" si="108"/>
        <v>1</v>
      </c>
      <c r="BB173" s="15">
        <f t="shared" si="109"/>
        <v>0</v>
      </c>
      <c r="BC173" s="15" t="str">
        <f t="shared" si="110"/>
        <v/>
      </c>
      <c r="BD173" s="15" t="str">
        <f t="shared" si="111"/>
        <v/>
      </c>
      <c r="BE173" s="11" t="e">
        <f t="shared" si="112"/>
        <v>#VALUE!</v>
      </c>
      <c r="BF173" s="11" t="e">
        <f t="shared" si="113"/>
        <v>#VALUE!</v>
      </c>
      <c r="BG173" s="11" t="e">
        <f t="shared" si="114"/>
        <v>#VALUE!</v>
      </c>
      <c r="BH173" t="str">
        <f t="shared" si="115"/>
        <v/>
      </c>
      <c r="BI173" t="str" cm="1">
        <f t="array" ref="BI173">_xlfn.IFS(
  L173&gt;0,"Critical Fail",
  M173&gt;0,"Important (Coaching)",
  TRUE,"Clean Pass"
)</f>
        <v>Clean Pass</v>
      </c>
      <c r="BJ173" t="str">
        <f t="shared" si="116"/>
        <v>NA</v>
      </c>
    </row>
    <row r="174" spans="1:62" x14ac:dyDescent="0.3">
      <c r="A174">
        <v>762917</v>
      </c>
      <c r="K174" t="str">
        <f t="shared" si="78"/>
        <v>Pass</v>
      </c>
      <c r="L174" s="15">
        <f t="shared" si="79"/>
        <v>0</v>
      </c>
      <c r="M174" s="15">
        <f t="shared" si="80"/>
        <v>0</v>
      </c>
      <c r="Z174" s="15">
        <f t="shared" si="81"/>
        <v>1</v>
      </c>
      <c r="AA174" s="15">
        <f t="shared" si="82"/>
        <v>1</v>
      </c>
      <c r="AB174" s="15">
        <f t="shared" si="83"/>
        <v>1</v>
      </c>
      <c r="AC174" s="15">
        <f t="shared" si="84"/>
        <v>1</v>
      </c>
      <c r="AD174" s="15">
        <f t="shared" si="85"/>
        <v>1</v>
      </c>
      <c r="AE174" s="15">
        <f t="shared" si="86"/>
        <v>1</v>
      </c>
      <c r="AF174" s="15">
        <f t="shared" si="87"/>
        <v>1</v>
      </c>
      <c r="AG174" s="15">
        <f t="shared" si="88"/>
        <v>1</v>
      </c>
      <c r="AH174" s="15">
        <f t="shared" si="89"/>
        <v>1</v>
      </c>
      <c r="AI174" s="15">
        <f t="shared" si="90"/>
        <v>1</v>
      </c>
      <c r="AJ174" s="15">
        <f t="shared" si="91"/>
        <v>1</v>
      </c>
      <c r="AK174" s="15">
        <f t="shared" si="92"/>
        <v>1</v>
      </c>
      <c r="AL174" s="15">
        <f t="shared" si="93"/>
        <v>1</v>
      </c>
      <c r="AM174" s="15">
        <f t="shared" si="94"/>
        <v>1</v>
      </c>
      <c r="AN174" s="15">
        <f t="shared" si="95"/>
        <v>1</v>
      </c>
      <c r="AO174" s="15">
        <f t="shared" si="96"/>
        <v>1</v>
      </c>
      <c r="AP174" s="15">
        <f t="shared" si="97"/>
        <v>1</v>
      </c>
      <c r="AQ174" s="15">
        <f t="shared" si="98"/>
        <v>1</v>
      </c>
      <c r="AR174" s="15">
        <f t="shared" si="99"/>
        <v>1</v>
      </c>
      <c r="AS174" s="15">
        <f t="shared" si="100"/>
        <v>1</v>
      </c>
      <c r="AT174" s="15">
        <f t="shared" si="101"/>
        <v>1</v>
      </c>
      <c r="AU174" s="15">
        <f t="shared" si="102"/>
        <v>1</v>
      </c>
      <c r="AV174" s="15">
        <f t="shared" si="103"/>
        <v>1</v>
      </c>
      <c r="AW174" s="15">
        <f t="shared" si="104"/>
        <v>1</v>
      </c>
      <c r="AX174" s="15">
        <f t="shared" si="105"/>
        <v>1</v>
      </c>
      <c r="AY174" s="15">
        <f t="shared" si="106"/>
        <v>1</v>
      </c>
      <c r="AZ174" s="15">
        <f t="shared" si="107"/>
        <v>1</v>
      </c>
      <c r="BA174" s="15">
        <f t="shared" si="108"/>
        <v>1</v>
      </c>
      <c r="BB174" s="15">
        <f t="shared" si="109"/>
        <v>0</v>
      </c>
      <c r="BC174" s="15" t="str">
        <f t="shared" si="110"/>
        <v/>
      </c>
      <c r="BD174" s="15" t="str">
        <f t="shared" si="111"/>
        <v/>
      </c>
      <c r="BE174" s="11" t="e">
        <f t="shared" si="112"/>
        <v>#VALUE!</v>
      </c>
      <c r="BF174" s="11" t="e">
        <f t="shared" si="113"/>
        <v>#VALUE!</v>
      </c>
      <c r="BG174" s="11" t="e">
        <f t="shared" si="114"/>
        <v>#VALUE!</v>
      </c>
      <c r="BH174" t="str">
        <f t="shared" si="115"/>
        <v/>
      </c>
      <c r="BI174" t="str" cm="1">
        <f t="array" ref="BI174">_xlfn.IFS(
  L174&gt;0,"Critical Fail",
  M174&gt;0,"Important (Coaching)",
  TRUE,"Clean Pass"
)</f>
        <v>Clean Pass</v>
      </c>
      <c r="BJ174" t="str">
        <f t="shared" si="116"/>
        <v>NA</v>
      </c>
    </row>
    <row r="175" spans="1:62" x14ac:dyDescent="0.3">
      <c r="A175">
        <v>700330</v>
      </c>
      <c r="K175" t="str">
        <f t="shared" si="78"/>
        <v>Pass</v>
      </c>
      <c r="L175" s="15">
        <f t="shared" si="79"/>
        <v>0</v>
      </c>
      <c r="M175" s="15">
        <f t="shared" si="80"/>
        <v>0</v>
      </c>
      <c r="Z175" s="15">
        <f t="shared" si="81"/>
        <v>1</v>
      </c>
      <c r="AA175" s="15">
        <f t="shared" si="82"/>
        <v>1</v>
      </c>
      <c r="AB175" s="15">
        <f t="shared" si="83"/>
        <v>1</v>
      </c>
      <c r="AC175" s="15">
        <f t="shared" si="84"/>
        <v>1</v>
      </c>
      <c r="AD175" s="15">
        <f t="shared" si="85"/>
        <v>1</v>
      </c>
      <c r="AE175" s="15">
        <f t="shared" si="86"/>
        <v>1</v>
      </c>
      <c r="AF175" s="15">
        <f t="shared" si="87"/>
        <v>1</v>
      </c>
      <c r="AG175" s="15">
        <f t="shared" si="88"/>
        <v>1</v>
      </c>
      <c r="AH175" s="15">
        <f t="shared" si="89"/>
        <v>1</v>
      </c>
      <c r="AI175" s="15">
        <f t="shared" si="90"/>
        <v>1</v>
      </c>
      <c r="AJ175" s="15">
        <f t="shared" si="91"/>
        <v>1</v>
      </c>
      <c r="AK175" s="15">
        <f t="shared" si="92"/>
        <v>1</v>
      </c>
      <c r="AL175" s="15">
        <f t="shared" si="93"/>
        <v>1</v>
      </c>
      <c r="AM175" s="15">
        <f t="shared" si="94"/>
        <v>1</v>
      </c>
      <c r="AN175" s="15">
        <f t="shared" si="95"/>
        <v>1</v>
      </c>
      <c r="AO175" s="15">
        <f t="shared" si="96"/>
        <v>1</v>
      </c>
      <c r="AP175" s="15">
        <f t="shared" si="97"/>
        <v>1</v>
      </c>
      <c r="AQ175" s="15">
        <f t="shared" si="98"/>
        <v>1</v>
      </c>
      <c r="AR175" s="15">
        <f t="shared" si="99"/>
        <v>1</v>
      </c>
      <c r="AS175" s="15">
        <f t="shared" si="100"/>
        <v>1</v>
      </c>
      <c r="AT175" s="15">
        <f t="shared" si="101"/>
        <v>1</v>
      </c>
      <c r="AU175" s="15">
        <f t="shared" si="102"/>
        <v>1</v>
      </c>
      <c r="AV175" s="15">
        <f t="shared" si="103"/>
        <v>1</v>
      </c>
      <c r="AW175" s="15">
        <f t="shared" si="104"/>
        <v>1</v>
      </c>
      <c r="AX175" s="15">
        <f t="shared" si="105"/>
        <v>1</v>
      </c>
      <c r="AY175" s="15">
        <f t="shared" si="106"/>
        <v>1</v>
      </c>
      <c r="AZ175" s="15">
        <f t="shared" si="107"/>
        <v>1</v>
      </c>
      <c r="BA175" s="15">
        <f t="shared" si="108"/>
        <v>1</v>
      </c>
      <c r="BB175" s="15">
        <f t="shared" si="109"/>
        <v>0</v>
      </c>
      <c r="BC175" s="15" t="str">
        <f t="shared" si="110"/>
        <v/>
      </c>
      <c r="BD175" s="15" t="str">
        <f t="shared" si="111"/>
        <v/>
      </c>
      <c r="BE175" s="11" t="e">
        <f t="shared" si="112"/>
        <v>#VALUE!</v>
      </c>
      <c r="BF175" s="11" t="e">
        <f t="shared" si="113"/>
        <v>#VALUE!</v>
      </c>
      <c r="BG175" s="11" t="e">
        <f t="shared" si="114"/>
        <v>#VALUE!</v>
      </c>
      <c r="BH175" t="str">
        <f t="shared" si="115"/>
        <v/>
      </c>
      <c r="BI175" t="str" cm="1">
        <f t="array" ref="BI175">_xlfn.IFS(
  L175&gt;0,"Critical Fail",
  M175&gt;0,"Important (Coaching)",
  TRUE,"Clean Pass"
)</f>
        <v>Clean Pass</v>
      </c>
      <c r="BJ175" t="str">
        <f t="shared" si="116"/>
        <v>NA</v>
      </c>
    </row>
    <row r="176" spans="1:62" x14ac:dyDescent="0.3">
      <c r="A176">
        <v>679258</v>
      </c>
      <c r="K176" t="str">
        <f t="shared" si="78"/>
        <v>Pass</v>
      </c>
      <c r="L176" s="15">
        <f t="shared" si="79"/>
        <v>0</v>
      </c>
      <c r="M176" s="15">
        <f t="shared" si="80"/>
        <v>0</v>
      </c>
      <c r="Z176" s="15">
        <f t="shared" si="81"/>
        <v>1</v>
      </c>
      <c r="AA176" s="15">
        <f t="shared" si="82"/>
        <v>1</v>
      </c>
      <c r="AB176" s="15">
        <f t="shared" si="83"/>
        <v>1</v>
      </c>
      <c r="AC176" s="15">
        <f t="shared" si="84"/>
        <v>1</v>
      </c>
      <c r="AD176" s="15">
        <f t="shared" si="85"/>
        <v>1</v>
      </c>
      <c r="AE176" s="15">
        <f t="shared" si="86"/>
        <v>1</v>
      </c>
      <c r="AF176" s="15">
        <f t="shared" si="87"/>
        <v>1</v>
      </c>
      <c r="AG176" s="15">
        <f t="shared" si="88"/>
        <v>1</v>
      </c>
      <c r="AH176" s="15">
        <f t="shared" si="89"/>
        <v>1</v>
      </c>
      <c r="AI176" s="15">
        <f t="shared" si="90"/>
        <v>1</v>
      </c>
      <c r="AJ176" s="15">
        <f t="shared" si="91"/>
        <v>1</v>
      </c>
      <c r="AK176" s="15">
        <f t="shared" si="92"/>
        <v>1</v>
      </c>
      <c r="AL176" s="15">
        <f t="shared" si="93"/>
        <v>1</v>
      </c>
      <c r="AM176" s="15">
        <f t="shared" si="94"/>
        <v>1</v>
      </c>
      <c r="AN176" s="15">
        <f t="shared" si="95"/>
        <v>1</v>
      </c>
      <c r="AO176" s="15">
        <f t="shared" si="96"/>
        <v>1</v>
      </c>
      <c r="AP176" s="15">
        <f t="shared" si="97"/>
        <v>1</v>
      </c>
      <c r="AQ176" s="15">
        <f t="shared" si="98"/>
        <v>1</v>
      </c>
      <c r="AR176" s="15">
        <f t="shared" si="99"/>
        <v>1</v>
      </c>
      <c r="AS176" s="15">
        <f t="shared" si="100"/>
        <v>1</v>
      </c>
      <c r="AT176" s="15">
        <f t="shared" si="101"/>
        <v>1</v>
      </c>
      <c r="AU176" s="15">
        <f t="shared" si="102"/>
        <v>1</v>
      </c>
      <c r="AV176" s="15">
        <f t="shared" si="103"/>
        <v>1</v>
      </c>
      <c r="AW176" s="15">
        <f t="shared" si="104"/>
        <v>1</v>
      </c>
      <c r="AX176" s="15">
        <f t="shared" si="105"/>
        <v>1</v>
      </c>
      <c r="AY176" s="15">
        <f t="shared" si="106"/>
        <v>1</v>
      </c>
      <c r="AZ176" s="15">
        <f t="shared" si="107"/>
        <v>1</v>
      </c>
      <c r="BA176" s="15">
        <f t="shared" si="108"/>
        <v>1</v>
      </c>
      <c r="BB176" s="15">
        <f t="shared" si="109"/>
        <v>0</v>
      </c>
      <c r="BC176" s="15" t="str">
        <f t="shared" si="110"/>
        <v/>
      </c>
      <c r="BD176" s="15" t="str">
        <f t="shared" si="111"/>
        <v/>
      </c>
      <c r="BE176" s="11" t="e">
        <f t="shared" si="112"/>
        <v>#VALUE!</v>
      </c>
      <c r="BF176" s="11" t="e">
        <f t="shared" si="113"/>
        <v>#VALUE!</v>
      </c>
      <c r="BG176" s="11" t="e">
        <f t="shared" si="114"/>
        <v>#VALUE!</v>
      </c>
      <c r="BH176" t="str">
        <f t="shared" si="115"/>
        <v/>
      </c>
      <c r="BI176" t="str" cm="1">
        <f t="array" ref="BI176">_xlfn.IFS(
  L176&gt;0,"Critical Fail",
  M176&gt;0,"Important (Coaching)",
  TRUE,"Clean Pass"
)</f>
        <v>Clean Pass</v>
      </c>
      <c r="BJ176" t="str">
        <f t="shared" si="116"/>
        <v>NA</v>
      </c>
    </row>
    <row r="177" spans="1:62" x14ac:dyDescent="0.3">
      <c r="A177">
        <v>356435</v>
      </c>
      <c r="K177" t="str">
        <f t="shared" si="78"/>
        <v>Pass</v>
      </c>
      <c r="L177" s="15">
        <f t="shared" si="79"/>
        <v>0</v>
      </c>
      <c r="M177" s="15">
        <f t="shared" si="80"/>
        <v>0</v>
      </c>
      <c r="Z177" s="15">
        <f t="shared" si="81"/>
        <v>1</v>
      </c>
      <c r="AA177" s="15">
        <f t="shared" si="82"/>
        <v>1</v>
      </c>
      <c r="AB177" s="15">
        <f t="shared" si="83"/>
        <v>1</v>
      </c>
      <c r="AC177" s="15">
        <f t="shared" si="84"/>
        <v>1</v>
      </c>
      <c r="AD177" s="15">
        <f t="shared" si="85"/>
        <v>1</v>
      </c>
      <c r="AE177" s="15">
        <f t="shared" si="86"/>
        <v>1</v>
      </c>
      <c r="AF177" s="15">
        <f t="shared" si="87"/>
        <v>1</v>
      </c>
      <c r="AG177" s="15">
        <f t="shared" si="88"/>
        <v>1</v>
      </c>
      <c r="AH177" s="15">
        <f t="shared" si="89"/>
        <v>1</v>
      </c>
      <c r="AI177" s="15">
        <f t="shared" si="90"/>
        <v>1</v>
      </c>
      <c r="AJ177" s="15">
        <f t="shared" si="91"/>
        <v>1</v>
      </c>
      <c r="AK177" s="15">
        <f t="shared" si="92"/>
        <v>1</v>
      </c>
      <c r="AL177" s="15">
        <f t="shared" si="93"/>
        <v>1</v>
      </c>
      <c r="AM177" s="15">
        <f t="shared" si="94"/>
        <v>1</v>
      </c>
      <c r="AN177" s="15">
        <f t="shared" si="95"/>
        <v>1</v>
      </c>
      <c r="AO177" s="15">
        <f t="shared" si="96"/>
        <v>1</v>
      </c>
      <c r="AP177" s="15">
        <f t="shared" si="97"/>
        <v>1</v>
      </c>
      <c r="AQ177" s="15">
        <f t="shared" si="98"/>
        <v>1</v>
      </c>
      <c r="AR177" s="15">
        <f t="shared" si="99"/>
        <v>1</v>
      </c>
      <c r="AS177" s="15">
        <f t="shared" si="100"/>
        <v>1</v>
      </c>
      <c r="AT177" s="15">
        <f t="shared" si="101"/>
        <v>1</v>
      </c>
      <c r="AU177" s="15">
        <f t="shared" si="102"/>
        <v>1</v>
      </c>
      <c r="AV177" s="15">
        <f t="shared" si="103"/>
        <v>1</v>
      </c>
      <c r="AW177" s="15">
        <f t="shared" si="104"/>
        <v>1</v>
      </c>
      <c r="AX177" s="15">
        <f t="shared" si="105"/>
        <v>1</v>
      </c>
      <c r="AY177" s="15">
        <f t="shared" si="106"/>
        <v>1</v>
      </c>
      <c r="AZ177" s="15">
        <f t="shared" si="107"/>
        <v>1</v>
      </c>
      <c r="BA177" s="15">
        <f t="shared" si="108"/>
        <v>1</v>
      </c>
      <c r="BB177" s="15">
        <f t="shared" si="109"/>
        <v>0</v>
      </c>
      <c r="BC177" s="15" t="str">
        <f t="shared" si="110"/>
        <v/>
      </c>
      <c r="BD177" s="15" t="str">
        <f t="shared" si="111"/>
        <v/>
      </c>
      <c r="BE177" s="11" t="e">
        <f t="shared" si="112"/>
        <v>#VALUE!</v>
      </c>
      <c r="BF177" s="11" t="e">
        <f t="shared" si="113"/>
        <v>#VALUE!</v>
      </c>
      <c r="BG177" s="11" t="e">
        <f t="shared" si="114"/>
        <v>#VALUE!</v>
      </c>
      <c r="BH177" t="str">
        <f t="shared" si="115"/>
        <v/>
      </c>
      <c r="BI177" t="str" cm="1">
        <f t="array" ref="BI177">_xlfn.IFS(
  L177&gt;0,"Critical Fail",
  M177&gt;0,"Important (Coaching)",
  TRUE,"Clean Pass"
)</f>
        <v>Clean Pass</v>
      </c>
      <c r="BJ177" t="str">
        <f t="shared" si="116"/>
        <v>NA</v>
      </c>
    </row>
    <row r="178" spans="1:62" x14ac:dyDescent="0.3">
      <c r="A178">
        <v>852995</v>
      </c>
      <c r="K178" t="str">
        <f t="shared" si="78"/>
        <v>Pass</v>
      </c>
      <c r="L178" s="15">
        <f t="shared" si="79"/>
        <v>0</v>
      </c>
      <c r="M178" s="15">
        <f t="shared" si="80"/>
        <v>0</v>
      </c>
      <c r="Z178" s="15">
        <f t="shared" si="81"/>
        <v>1</v>
      </c>
      <c r="AA178" s="15">
        <f t="shared" si="82"/>
        <v>1</v>
      </c>
      <c r="AB178" s="15">
        <f t="shared" si="83"/>
        <v>1</v>
      </c>
      <c r="AC178" s="15">
        <f t="shared" si="84"/>
        <v>1</v>
      </c>
      <c r="AD178" s="15">
        <f t="shared" si="85"/>
        <v>1</v>
      </c>
      <c r="AE178" s="15">
        <f t="shared" si="86"/>
        <v>1</v>
      </c>
      <c r="AF178" s="15">
        <f t="shared" si="87"/>
        <v>1</v>
      </c>
      <c r="AG178" s="15">
        <f t="shared" si="88"/>
        <v>1</v>
      </c>
      <c r="AH178" s="15">
        <f t="shared" si="89"/>
        <v>1</v>
      </c>
      <c r="AI178" s="15">
        <f t="shared" si="90"/>
        <v>1</v>
      </c>
      <c r="AJ178" s="15">
        <f t="shared" si="91"/>
        <v>1</v>
      </c>
      <c r="AK178" s="15">
        <f t="shared" si="92"/>
        <v>1</v>
      </c>
      <c r="AL178" s="15">
        <f t="shared" si="93"/>
        <v>1</v>
      </c>
      <c r="AM178" s="15">
        <f t="shared" si="94"/>
        <v>1</v>
      </c>
      <c r="AN178" s="15">
        <f t="shared" si="95"/>
        <v>1</v>
      </c>
      <c r="AO178" s="15">
        <f t="shared" si="96"/>
        <v>1</v>
      </c>
      <c r="AP178" s="15">
        <f t="shared" si="97"/>
        <v>1</v>
      </c>
      <c r="AQ178" s="15">
        <f t="shared" si="98"/>
        <v>1</v>
      </c>
      <c r="AR178" s="15">
        <f t="shared" si="99"/>
        <v>1</v>
      </c>
      <c r="AS178" s="15">
        <f t="shared" si="100"/>
        <v>1</v>
      </c>
      <c r="AT178" s="15">
        <f t="shared" si="101"/>
        <v>1</v>
      </c>
      <c r="AU178" s="15">
        <f t="shared" si="102"/>
        <v>1</v>
      </c>
      <c r="AV178" s="15">
        <f t="shared" si="103"/>
        <v>1</v>
      </c>
      <c r="AW178" s="15">
        <f t="shared" si="104"/>
        <v>1</v>
      </c>
      <c r="AX178" s="15">
        <f t="shared" si="105"/>
        <v>1</v>
      </c>
      <c r="AY178" s="15">
        <f t="shared" si="106"/>
        <v>1</v>
      </c>
      <c r="AZ178" s="15">
        <f t="shared" si="107"/>
        <v>1</v>
      </c>
      <c r="BA178" s="15">
        <f t="shared" si="108"/>
        <v>1</v>
      </c>
      <c r="BB178" s="15">
        <f t="shared" si="109"/>
        <v>0</v>
      </c>
      <c r="BC178" s="15" t="str">
        <f t="shared" si="110"/>
        <v/>
      </c>
      <c r="BD178" s="15" t="str">
        <f t="shared" si="111"/>
        <v/>
      </c>
      <c r="BE178" s="11" t="e">
        <f t="shared" si="112"/>
        <v>#VALUE!</v>
      </c>
      <c r="BF178" s="11" t="e">
        <f t="shared" si="113"/>
        <v>#VALUE!</v>
      </c>
      <c r="BG178" s="11" t="e">
        <f t="shared" si="114"/>
        <v>#VALUE!</v>
      </c>
      <c r="BH178" t="str">
        <f t="shared" si="115"/>
        <v/>
      </c>
      <c r="BI178" t="str" cm="1">
        <f t="array" ref="BI178">_xlfn.IFS(
  L178&gt;0,"Critical Fail",
  M178&gt;0,"Important (Coaching)",
  TRUE,"Clean Pass"
)</f>
        <v>Clean Pass</v>
      </c>
      <c r="BJ178" t="str">
        <f t="shared" si="116"/>
        <v>NA</v>
      </c>
    </row>
    <row r="179" spans="1:62" x14ac:dyDescent="0.3">
      <c r="A179">
        <v>392779</v>
      </c>
      <c r="K179" t="str">
        <f t="shared" si="78"/>
        <v>Pass</v>
      </c>
      <c r="L179" s="15">
        <f t="shared" si="79"/>
        <v>0</v>
      </c>
      <c r="M179" s="15">
        <f t="shared" si="80"/>
        <v>0</v>
      </c>
      <c r="Z179" s="15">
        <f t="shared" si="81"/>
        <v>1</v>
      </c>
      <c r="AA179" s="15">
        <f t="shared" si="82"/>
        <v>1</v>
      </c>
      <c r="AB179" s="15">
        <f t="shared" si="83"/>
        <v>1</v>
      </c>
      <c r="AC179" s="15">
        <f t="shared" si="84"/>
        <v>1</v>
      </c>
      <c r="AD179" s="15">
        <f t="shared" si="85"/>
        <v>1</v>
      </c>
      <c r="AE179" s="15">
        <f t="shared" si="86"/>
        <v>1</v>
      </c>
      <c r="AF179" s="15">
        <f t="shared" si="87"/>
        <v>1</v>
      </c>
      <c r="AG179" s="15">
        <f t="shared" si="88"/>
        <v>1</v>
      </c>
      <c r="AH179" s="15">
        <f t="shared" si="89"/>
        <v>1</v>
      </c>
      <c r="AI179" s="15">
        <f t="shared" si="90"/>
        <v>1</v>
      </c>
      <c r="AJ179" s="15">
        <f t="shared" si="91"/>
        <v>1</v>
      </c>
      <c r="AK179" s="15">
        <f t="shared" si="92"/>
        <v>1</v>
      </c>
      <c r="AL179" s="15">
        <f t="shared" si="93"/>
        <v>1</v>
      </c>
      <c r="AM179" s="15">
        <f t="shared" si="94"/>
        <v>1</v>
      </c>
      <c r="AN179" s="15">
        <f t="shared" si="95"/>
        <v>1</v>
      </c>
      <c r="AO179" s="15">
        <f t="shared" si="96"/>
        <v>1</v>
      </c>
      <c r="AP179" s="15">
        <f t="shared" si="97"/>
        <v>1</v>
      </c>
      <c r="AQ179" s="15">
        <f t="shared" si="98"/>
        <v>1</v>
      </c>
      <c r="AR179" s="15">
        <f t="shared" si="99"/>
        <v>1</v>
      </c>
      <c r="AS179" s="15">
        <f t="shared" si="100"/>
        <v>1</v>
      </c>
      <c r="AT179" s="15">
        <f t="shared" si="101"/>
        <v>1</v>
      </c>
      <c r="AU179" s="15">
        <f t="shared" si="102"/>
        <v>1</v>
      </c>
      <c r="AV179" s="15">
        <f t="shared" si="103"/>
        <v>1</v>
      </c>
      <c r="AW179" s="15">
        <f t="shared" si="104"/>
        <v>1</v>
      </c>
      <c r="AX179" s="15">
        <f t="shared" si="105"/>
        <v>1</v>
      </c>
      <c r="AY179" s="15">
        <f t="shared" si="106"/>
        <v>1</v>
      </c>
      <c r="AZ179" s="15">
        <f t="shared" si="107"/>
        <v>1</v>
      </c>
      <c r="BA179" s="15">
        <f t="shared" si="108"/>
        <v>1</v>
      </c>
      <c r="BB179" s="15">
        <f t="shared" si="109"/>
        <v>0</v>
      </c>
      <c r="BC179" s="15" t="str">
        <f t="shared" si="110"/>
        <v/>
      </c>
      <c r="BD179" s="15" t="str">
        <f t="shared" si="111"/>
        <v/>
      </c>
      <c r="BE179" s="11" t="e">
        <f t="shared" si="112"/>
        <v>#VALUE!</v>
      </c>
      <c r="BF179" s="11" t="e">
        <f t="shared" si="113"/>
        <v>#VALUE!</v>
      </c>
      <c r="BG179" s="11" t="e">
        <f t="shared" si="114"/>
        <v>#VALUE!</v>
      </c>
      <c r="BH179" t="str">
        <f t="shared" si="115"/>
        <v/>
      </c>
      <c r="BI179" t="str" cm="1">
        <f t="array" ref="BI179">_xlfn.IFS(
  L179&gt;0,"Critical Fail",
  M179&gt;0,"Important (Coaching)",
  TRUE,"Clean Pass"
)</f>
        <v>Clean Pass</v>
      </c>
      <c r="BJ179" t="str">
        <f t="shared" si="116"/>
        <v>NA</v>
      </c>
    </row>
    <row r="180" spans="1:62" x14ac:dyDescent="0.3">
      <c r="A180">
        <v>632855</v>
      </c>
      <c r="K180" t="str">
        <f t="shared" si="78"/>
        <v>Pass</v>
      </c>
      <c r="L180" s="15">
        <f t="shared" si="79"/>
        <v>0</v>
      </c>
      <c r="M180" s="15">
        <f t="shared" si="80"/>
        <v>0</v>
      </c>
      <c r="Z180" s="15">
        <f t="shared" si="81"/>
        <v>1</v>
      </c>
      <c r="AA180" s="15">
        <f t="shared" si="82"/>
        <v>1</v>
      </c>
      <c r="AB180" s="15">
        <f t="shared" si="83"/>
        <v>1</v>
      </c>
      <c r="AC180" s="15">
        <f t="shared" si="84"/>
        <v>1</v>
      </c>
      <c r="AD180" s="15">
        <f t="shared" si="85"/>
        <v>1</v>
      </c>
      <c r="AE180" s="15">
        <f t="shared" si="86"/>
        <v>1</v>
      </c>
      <c r="AF180" s="15">
        <f t="shared" si="87"/>
        <v>1</v>
      </c>
      <c r="AG180" s="15">
        <f t="shared" si="88"/>
        <v>1</v>
      </c>
      <c r="AH180" s="15">
        <f t="shared" si="89"/>
        <v>1</v>
      </c>
      <c r="AI180" s="15">
        <f t="shared" si="90"/>
        <v>1</v>
      </c>
      <c r="AJ180" s="15">
        <f t="shared" si="91"/>
        <v>1</v>
      </c>
      <c r="AK180" s="15">
        <f t="shared" si="92"/>
        <v>1</v>
      </c>
      <c r="AL180" s="15">
        <f t="shared" si="93"/>
        <v>1</v>
      </c>
      <c r="AM180" s="15">
        <f t="shared" si="94"/>
        <v>1</v>
      </c>
      <c r="AN180" s="15">
        <f t="shared" si="95"/>
        <v>1</v>
      </c>
      <c r="AO180" s="15">
        <f t="shared" si="96"/>
        <v>1</v>
      </c>
      <c r="AP180" s="15">
        <f t="shared" si="97"/>
        <v>1</v>
      </c>
      <c r="AQ180" s="15">
        <f t="shared" si="98"/>
        <v>1</v>
      </c>
      <c r="AR180" s="15">
        <f t="shared" si="99"/>
        <v>1</v>
      </c>
      <c r="AS180" s="15">
        <f t="shared" si="100"/>
        <v>1</v>
      </c>
      <c r="AT180" s="15">
        <f t="shared" si="101"/>
        <v>1</v>
      </c>
      <c r="AU180" s="15">
        <f t="shared" si="102"/>
        <v>1</v>
      </c>
      <c r="AV180" s="15">
        <f t="shared" si="103"/>
        <v>1</v>
      </c>
      <c r="AW180" s="15">
        <f t="shared" si="104"/>
        <v>1</v>
      </c>
      <c r="AX180" s="15">
        <f t="shared" si="105"/>
        <v>1</v>
      </c>
      <c r="AY180" s="15">
        <f t="shared" si="106"/>
        <v>1</v>
      </c>
      <c r="AZ180" s="15">
        <f t="shared" si="107"/>
        <v>1</v>
      </c>
      <c r="BA180" s="15">
        <f t="shared" si="108"/>
        <v>1</v>
      </c>
      <c r="BB180" s="15">
        <f t="shared" si="109"/>
        <v>0</v>
      </c>
      <c r="BC180" s="15" t="str">
        <f t="shared" si="110"/>
        <v/>
      </c>
      <c r="BD180" s="15" t="str">
        <f t="shared" si="111"/>
        <v/>
      </c>
      <c r="BE180" s="11" t="e">
        <f t="shared" si="112"/>
        <v>#VALUE!</v>
      </c>
      <c r="BF180" s="11" t="e">
        <f t="shared" si="113"/>
        <v>#VALUE!</v>
      </c>
      <c r="BG180" s="11" t="e">
        <f t="shared" si="114"/>
        <v>#VALUE!</v>
      </c>
      <c r="BH180" t="str">
        <f t="shared" si="115"/>
        <v/>
      </c>
      <c r="BI180" t="str" cm="1">
        <f t="array" ref="BI180">_xlfn.IFS(
  L180&gt;0,"Critical Fail",
  M180&gt;0,"Important (Coaching)",
  TRUE,"Clean Pass"
)</f>
        <v>Clean Pass</v>
      </c>
      <c r="BJ180" t="str">
        <f t="shared" si="116"/>
        <v>NA</v>
      </c>
    </row>
    <row r="181" spans="1:62" x14ac:dyDescent="0.3">
      <c r="A181">
        <v>511115</v>
      </c>
      <c r="K181" t="str">
        <f t="shared" si="78"/>
        <v>Pass</v>
      </c>
      <c r="L181" s="15">
        <f t="shared" si="79"/>
        <v>0</v>
      </c>
      <c r="M181" s="15">
        <f t="shared" si="80"/>
        <v>0</v>
      </c>
      <c r="Z181" s="15">
        <f t="shared" si="81"/>
        <v>1</v>
      </c>
      <c r="AA181" s="15">
        <f t="shared" si="82"/>
        <v>1</v>
      </c>
      <c r="AB181" s="15">
        <f t="shared" si="83"/>
        <v>1</v>
      </c>
      <c r="AC181" s="15">
        <f t="shared" si="84"/>
        <v>1</v>
      </c>
      <c r="AD181" s="15">
        <f t="shared" si="85"/>
        <v>1</v>
      </c>
      <c r="AE181" s="15">
        <f t="shared" si="86"/>
        <v>1</v>
      </c>
      <c r="AF181" s="15">
        <f t="shared" si="87"/>
        <v>1</v>
      </c>
      <c r="AG181" s="15">
        <f t="shared" si="88"/>
        <v>1</v>
      </c>
      <c r="AH181" s="15">
        <f t="shared" si="89"/>
        <v>1</v>
      </c>
      <c r="AI181" s="15">
        <f t="shared" si="90"/>
        <v>1</v>
      </c>
      <c r="AJ181" s="15">
        <f t="shared" si="91"/>
        <v>1</v>
      </c>
      <c r="AK181" s="15">
        <f t="shared" si="92"/>
        <v>1</v>
      </c>
      <c r="AL181" s="15">
        <f t="shared" si="93"/>
        <v>1</v>
      </c>
      <c r="AM181" s="15">
        <f t="shared" si="94"/>
        <v>1</v>
      </c>
      <c r="AN181" s="15">
        <f t="shared" si="95"/>
        <v>1</v>
      </c>
      <c r="AO181" s="15">
        <f t="shared" si="96"/>
        <v>1</v>
      </c>
      <c r="AP181" s="15">
        <f t="shared" si="97"/>
        <v>1</v>
      </c>
      <c r="AQ181" s="15">
        <f t="shared" si="98"/>
        <v>1</v>
      </c>
      <c r="AR181" s="15">
        <f t="shared" si="99"/>
        <v>1</v>
      </c>
      <c r="AS181" s="15">
        <f t="shared" si="100"/>
        <v>1</v>
      </c>
      <c r="AT181" s="15">
        <f t="shared" si="101"/>
        <v>1</v>
      </c>
      <c r="AU181" s="15">
        <f t="shared" si="102"/>
        <v>1</v>
      </c>
      <c r="AV181" s="15">
        <f t="shared" si="103"/>
        <v>1</v>
      </c>
      <c r="AW181" s="15">
        <f t="shared" si="104"/>
        <v>1</v>
      </c>
      <c r="AX181" s="15">
        <f t="shared" si="105"/>
        <v>1</v>
      </c>
      <c r="AY181" s="15">
        <f t="shared" si="106"/>
        <v>1</v>
      </c>
      <c r="AZ181" s="15">
        <f t="shared" si="107"/>
        <v>1</v>
      </c>
      <c r="BA181" s="15">
        <f t="shared" si="108"/>
        <v>1</v>
      </c>
      <c r="BB181" s="15">
        <f t="shared" si="109"/>
        <v>0</v>
      </c>
      <c r="BC181" s="15" t="str">
        <f t="shared" si="110"/>
        <v/>
      </c>
      <c r="BD181" s="15" t="str">
        <f t="shared" si="111"/>
        <v/>
      </c>
      <c r="BE181" s="11" t="e">
        <f t="shared" si="112"/>
        <v>#VALUE!</v>
      </c>
      <c r="BF181" s="11" t="e">
        <f t="shared" si="113"/>
        <v>#VALUE!</v>
      </c>
      <c r="BG181" s="11" t="e">
        <f t="shared" si="114"/>
        <v>#VALUE!</v>
      </c>
      <c r="BH181" t="str">
        <f t="shared" si="115"/>
        <v/>
      </c>
      <c r="BI181" t="str" cm="1">
        <f t="array" ref="BI181">_xlfn.IFS(
  L181&gt;0,"Critical Fail",
  M181&gt;0,"Important (Coaching)",
  TRUE,"Clean Pass"
)</f>
        <v>Clean Pass</v>
      </c>
      <c r="BJ181" t="str">
        <f t="shared" si="116"/>
        <v>NA</v>
      </c>
    </row>
    <row r="182" spans="1:62" x14ac:dyDescent="0.3">
      <c r="A182">
        <v>495192</v>
      </c>
      <c r="K182" t="str">
        <f t="shared" si="78"/>
        <v>Pass</v>
      </c>
      <c r="L182" s="15">
        <f t="shared" si="79"/>
        <v>0</v>
      </c>
      <c r="M182" s="15">
        <f t="shared" si="80"/>
        <v>0</v>
      </c>
      <c r="Z182" s="15">
        <f t="shared" si="81"/>
        <v>1</v>
      </c>
      <c r="AA182" s="15">
        <f t="shared" si="82"/>
        <v>1</v>
      </c>
      <c r="AB182" s="15">
        <f t="shared" si="83"/>
        <v>1</v>
      </c>
      <c r="AC182" s="15">
        <f t="shared" si="84"/>
        <v>1</v>
      </c>
      <c r="AD182" s="15">
        <f t="shared" si="85"/>
        <v>1</v>
      </c>
      <c r="AE182" s="15">
        <f t="shared" si="86"/>
        <v>1</v>
      </c>
      <c r="AF182" s="15">
        <f t="shared" si="87"/>
        <v>1</v>
      </c>
      <c r="AG182" s="15">
        <f t="shared" si="88"/>
        <v>1</v>
      </c>
      <c r="AH182" s="15">
        <f t="shared" si="89"/>
        <v>1</v>
      </c>
      <c r="AI182" s="15">
        <f t="shared" si="90"/>
        <v>1</v>
      </c>
      <c r="AJ182" s="15">
        <f t="shared" si="91"/>
        <v>1</v>
      </c>
      <c r="AK182" s="15">
        <f t="shared" si="92"/>
        <v>1</v>
      </c>
      <c r="AL182" s="15">
        <f t="shared" si="93"/>
        <v>1</v>
      </c>
      <c r="AM182" s="15">
        <f t="shared" si="94"/>
        <v>1</v>
      </c>
      <c r="AN182" s="15">
        <f t="shared" si="95"/>
        <v>1</v>
      </c>
      <c r="AO182" s="15">
        <f t="shared" si="96"/>
        <v>1</v>
      </c>
      <c r="AP182" s="15">
        <f t="shared" si="97"/>
        <v>1</v>
      </c>
      <c r="AQ182" s="15">
        <f t="shared" si="98"/>
        <v>1</v>
      </c>
      <c r="AR182" s="15">
        <f t="shared" si="99"/>
        <v>1</v>
      </c>
      <c r="AS182" s="15">
        <f t="shared" si="100"/>
        <v>1</v>
      </c>
      <c r="AT182" s="15">
        <f t="shared" si="101"/>
        <v>1</v>
      </c>
      <c r="AU182" s="15">
        <f t="shared" si="102"/>
        <v>1</v>
      </c>
      <c r="AV182" s="15">
        <f t="shared" si="103"/>
        <v>1</v>
      </c>
      <c r="AW182" s="15">
        <f t="shared" si="104"/>
        <v>1</v>
      </c>
      <c r="AX182" s="15">
        <f t="shared" si="105"/>
        <v>1</v>
      </c>
      <c r="AY182" s="15">
        <f t="shared" si="106"/>
        <v>1</v>
      </c>
      <c r="AZ182" s="15">
        <f t="shared" si="107"/>
        <v>1</v>
      </c>
      <c r="BA182" s="15">
        <f t="shared" si="108"/>
        <v>1</v>
      </c>
      <c r="BB182" s="15">
        <f t="shared" si="109"/>
        <v>0</v>
      </c>
      <c r="BC182" s="15" t="str">
        <f t="shared" si="110"/>
        <v/>
      </c>
      <c r="BD182" s="15" t="str">
        <f t="shared" si="111"/>
        <v/>
      </c>
      <c r="BE182" s="11" t="e">
        <f t="shared" si="112"/>
        <v>#VALUE!</v>
      </c>
      <c r="BF182" s="11" t="e">
        <f t="shared" si="113"/>
        <v>#VALUE!</v>
      </c>
      <c r="BG182" s="11" t="e">
        <f t="shared" si="114"/>
        <v>#VALUE!</v>
      </c>
      <c r="BH182" t="str">
        <f t="shared" si="115"/>
        <v/>
      </c>
      <c r="BI182" t="str" cm="1">
        <f t="array" ref="BI182">_xlfn.IFS(
  L182&gt;0,"Critical Fail",
  M182&gt;0,"Important (Coaching)",
  TRUE,"Clean Pass"
)</f>
        <v>Clean Pass</v>
      </c>
      <c r="BJ182" t="str">
        <f t="shared" si="116"/>
        <v>NA</v>
      </c>
    </row>
    <row r="183" spans="1:62" x14ac:dyDescent="0.3">
      <c r="A183">
        <v>859042</v>
      </c>
      <c r="K183" t="str">
        <f t="shared" si="78"/>
        <v>Pass</v>
      </c>
      <c r="L183" s="15">
        <f t="shared" si="79"/>
        <v>0</v>
      </c>
      <c r="M183" s="15">
        <f t="shared" si="80"/>
        <v>0</v>
      </c>
      <c r="Z183" s="15">
        <f t="shared" si="81"/>
        <v>1</v>
      </c>
      <c r="AA183" s="15">
        <f t="shared" si="82"/>
        <v>1</v>
      </c>
      <c r="AB183" s="15">
        <f t="shared" si="83"/>
        <v>1</v>
      </c>
      <c r="AC183" s="15">
        <f t="shared" si="84"/>
        <v>1</v>
      </c>
      <c r="AD183" s="15">
        <f t="shared" si="85"/>
        <v>1</v>
      </c>
      <c r="AE183" s="15">
        <f t="shared" si="86"/>
        <v>1</v>
      </c>
      <c r="AF183" s="15">
        <f t="shared" si="87"/>
        <v>1</v>
      </c>
      <c r="AG183" s="15">
        <f t="shared" si="88"/>
        <v>1</v>
      </c>
      <c r="AH183" s="15">
        <f t="shared" si="89"/>
        <v>1</v>
      </c>
      <c r="AI183" s="15">
        <f t="shared" si="90"/>
        <v>1</v>
      </c>
      <c r="AJ183" s="15">
        <f t="shared" si="91"/>
        <v>1</v>
      </c>
      <c r="AK183" s="15">
        <f t="shared" si="92"/>
        <v>1</v>
      </c>
      <c r="AL183" s="15">
        <f t="shared" si="93"/>
        <v>1</v>
      </c>
      <c r="AM183" s="15">
        <f t="shared" si="94"/>
        <v>1</v>
      </c>
      <c r="AN183" s="15">
        <f t="shared" si="95"/>
        <v>1</v>
      </c>
      <c r="AO183" s="15">
        <f t="shared" si="96"/>
        <v>1</v>
      </c>
      <c r="AP183" s="15">
        <f t="shared" si="97"/>
        <v>1</v>
      </c>
      <c r="AQ183" s="15">
        <f t="shared" si="98"/>
        <v>1</v>
      </c>
      <c r="AR183" s="15">
        <f t="shared" si="99"/>
        <v>1</v>
      </c>
      <c r="AS183" s="15">
        <f t="shared" si="100"/>
        <v>1</v>
      </c>
      <c r="AT183" s="15">
        <f t="shared" si="101"/>
        <v>1</v>
      </c>
      <c r="AU183" s="15">
        <f t="shared" si="102"/>
        <v>1</v>
      </c>
      <c r="AV183" s="15">
        <f t="shared" si="103"/>
        <v>1</v>
      </c>
      <c r="AW183" s="15">
        <f t="shared" si="104"/>
        <v>1</v>
      </c>
      <c r="AX183" s="15">
        <f t="shared" si="105"/>
        <v>1</v>
      </c>
      <c r="AY183" s="15">
        <f t="shared" si="106"/>
        <v>1</v>
      </c>
      <c r="AZ183" s="15">
        <f t="shared" si="107"/>
        <v>1</v>
      </c>
      <c r="BA183" s="15">
        <f t="shared" si="108"/>
        <v>1</v>
      </c>
      <c r="BB183" s="15">
        <f t="shared" si="109"/>
        <v>0</v>
      </c>
      <c r="BC183" s="15" t="str">
        <f t="shared" si="110"/>
        <v/>
      </c>
      <c r="BD183" s="15" t="str">
        <f t="shared" si="111"/>
        <v/>
      </c>
      <c r="BE183" s="11" t="e">
        <f t="shared" si="112"/>
        <v>#VALUE!</v>
      </c>
      <c r="BF183" s="11" t="e">
        <f t="shared" si="113"/>
        <v>#VALUE!</v>
      </c>
      <c r="BG183" s="11" t="e">
        <f t="shared" si="114"/>
        <v>#VALUE!</v>
      </c>
      <c r="BH183" t="str">
        <f t="shared" si="115"/>
        <v/>
      </c>
      <c r="BI183" t="str" cm="1">
        <f t="array" ref="BI183">_xlfn.IFS(
  L183&gt;0,"Critical Fail",
  M183&gt;0,"Important (Coaching)",
  TRUE,"Clean Pass"
)</f>
        <v>Clean Pass</v>
      </c>
      <c r="BJ183" t="str">
        <f t="shared" si="116"/>
        <v>NA</v>
      </c>
    </row>
    <row r="184" spans="1:62" x14ac:dyDescent="0.3">
      <c r="A184">
        <v>783121</v>
      </c>
      <c r="K184" t="str">
        <f t="shared" si="78"/>
        <v>Pass</v>
      </c>
      <c r="L184" s="15">
        <f t="shared" si="79"/>
        <v>0</v>
      </c>
      <c r="M184" s="15">
        <f t="shared" si="80"/>
        <v>0</v>
      </c>
      <c r="Z184" s="15">
        <f t="shared" si="81"/>
        <v>1</v>
      </c>
      <c r="AA184" s="15">
        <f t="shared" si="82"/>
        <v>1</v>
      </c>
      <c r="AB184" s="15">
        <f t="shared" si="83"/>
        <v>1</v>
      </c>
      <c r="AC184" s="15">
        <f t="shared" si="84"/>
        <v>1</v>
      </c>
      <c r="AD184" s="15">
        <f t="shared" si="85"/>
        <v>1</v>
      </c>
      <c r="AE184" s="15">
        <f t="shared" si="86"/>
        <v>1</v>
      </c>
      <c r="AF184" s="15">
        <f t="shared" si="87"/>
        <v>1</v>
      </c>
      <c r="AG184" s="15">
        <f t="shared" si="88"/>
        <v>1</v>
      </c>
      <c r="AH184" s="15">
        <f t="shared" si="89"/>
        <v>1</v>
      </c>
      <c r="AI184" s="15">
        <f t="shared" si="90"/>
        <v>1</v>
      </c>
      <c r="AJ184" s="15">
        <f t="shared" si="91"/>
        <v>1</v>
      </c>
      <c r="AK184" s="15">
        <f t="shared" si="92"/>
        <v>1</v>
      </c>
      <c r="AL184" s="15">
        <f t="shared" si="93"/>
        <v>1</v>
      </c>
      <c r="AM184" s="15">
        <f t="shared" si="94"/>
        <v>1</v>
      </c>
      <c r="AN184" s="15">
        <f t="shared" si="95"/>
        <v>1</v>
      </c>
      <c r="AO184" s="15">
        <f t="shared" si="96"/>
        <v>1</v>
      </c>
      <c r="AP184" s="15">
        <f t="shared" si="97"/>
        <v>1</v>
      </c>
      <c r="AQ184" s="15">
        <f t="shared" si="98"/>
        <v>1</v>
      </c>
      <c r="AR184" s="15">
        <f t="shared" si="99"/>
        <v>1</v>
      </c>
      <c r="AS184" s="15">
        <f t="shared" si="100"/>
        <v>1</v>
      </c>
      <c r="AT184" s="15">
        <f t="shared" si="101"/>
        <v>1</v>
      </c>
      <c r="AU184" s="15">
        <f t="shared" si="102"/>
        <v>1</v>
      </c>
      <c r="AV184" s="15">
        <f t="shared" si="103"/>
        <v>1</v>
      </c>
      <c r="AW184" s="15">
        <f t="shared" si="104"/>
        <v>1</v>
      </c>
      <c r="AX184" s="15">
        <f t="shared" si="105"/>
        <v>1</v>
      </c>
      <c r="AY184" s="15">
        <f t="shared" si="106"/>
        <v>1</v>
      </c>
      <c r="AZ184" s="15">
        <f t="shared" si="107"/>
        <v>1</v>
      </c>
      <c r="BA184" s="15">
        <f t="shared" si="108"/>
        <v>1</v>
      </c>
      <c r="BB184" s="15">
        <f t="shared" si="109"/>
        <v>0</v>
      </c>
      <c r="BC184" s="15" t="str">
        <f t="shared" si="110"/>
        <v/>
      </c>
      <c r="BD184" s="15" t="str">
        <f t="shared" si="111"/>
        <v/>
      </c>
      <c r="BE184" s="11" t="e">
        <f t="shared" si="112"/>
        <v>#VALUE!</v>
      </c>
      <c r="BF184" s="11" t="e">
        <f t="shared" si="113"/>
        <v>#VALUE!</v>
      </c>
      <c r="BG184" s="11" t="e">
        <f t="shared" si="114"/>
        <v>#VALUE!</v>
      </c>
      <c r="BH184" t="str">
        <f t="shared" si="115"/>
        <v/>
      </c>
      <c r="BI184" t="str" cm="1">
        <f t="array" ref="BI184">_xlfn.IFS(
  L184&gt;0,"Critical Fail",
  M184&gt;0,"Important (Coaching)",
  TRUE,"Clean Pass"
)</f>
        <v>Clean Pass</v>
      </c>
      <c r="BJ184" t="str">
        <f t="shared" si="116"/>
        <v>NA</v>
      </c>
    </row>
    <row r="185" spans="1:62" x14ac:dyDescent="0.3">
      <c r="A185">
        <v>182916</v>
      </c>
      <c r="K185" t="str">
        <f t="shared" si="78"/>
        <v>Pass</v>
      </c>
      <c r="L185" s="15">
        <f t="shared" si="79"/>
        <v>0</v>
      </c>
      <c r="M185" s="15">
        <f t="shared" si="80"/>
        <v>0</v>
      </c>
      <c r="Z185" s="15">
        <f t="shared" si="81"/>
        <v>1</v>
      </c>
      <c r="AA185" s="15">
        <f t="shared" si="82"/>
        <v>1</v>
      </c>
      <c r="AB185" s="15">
        <f t="shared" si="83"/>
        <v>1</v>
      </c>
      <c r="AC185" s="15">
        <f t="shared" si="84"/>
        <v>1</v>
      </c>
      <c r="AD185" s="15">
        <f t="shared" si="85"/>
        <v>1</v>
      </c>
      <c r="AE185" s="15">
        <f t="shared" si="86"/>
        <v>1</v>
      </c>
      <c r="AF185" s="15">
        <f t="shared" si="87"/>
        <v>1</v>
      </c>
      <c r="AG185" s="15">
        <f t="shared" si="88"/>
        <v>1</v>
      </c>
      <c r="AH185" s="15">
        <f t="shared" si="89"/>
        <v>1</v>
      </c>
      <c r="AI185" s="15">
        <f t="shared" si="90"/>
        <v>1</v>
      </c>
      <c r="AJ185" s="15">
        <f t="shared" si="91"/>
        <v>1</v>
      </c>
      <c r="AK185" s="15">
        <f t="shared" si="92"/>
        <v>1</v>
      </c>
      <c r="AL185" s="15">
        <f t="shared" si="93"/>
        <v>1</v>
      </c>
      <c r="AM185" s="15">
        <f t="shared" si="94"/>
        <v>1</v>
      </c>
      <c r="AN185" s="15">
        <f t="shared" si="95"/>
        <v>1</v>
      </c>
      <c r="AO185" s="15">
        <f t="shared" si="96"/>
        <v>1</v>
      </c>
      <c r="AP185" s="15">
        <f t="shared" si="97"/>
        <v>1</v>
      </c>
      <c r="AQ185" s="15">
        <f t="shared" si="98"/>
        <v>1</v>
      </c>
      <c r="AR185" s="15">
        <f t="shared" si="99"/>
        <v>1</v>
      </c>
      <c r="AS185" s="15">
        <f t="shared" si="100"/>
        <v>1</v>
      </c>
      <c r="AT185" s="15">
        <f t="shared" si="101"/>
        <v>1</v>
      </c>
      <c r="AU185" s="15">
        <f t="shared" si="102"/>
        <v>1</v>
      </c>
      <c r="AV185" s="15">
        <f t="shared" si="103"/>
        <v>1</v>
      </c>
      <c r="AW185" s="15">
        <f t="shared" si="104"/>
        <v>1</v>
      </c>
      <c r="AX185" s="15">
        <f t="shared" si="105"/>
        <v>1</v>
      </c>
      <c r="AY185" s="15">
        <f t="shared" si="106"/>
        <v>1</v>
      </c>
      <c r="AZ185" s="15">
        <f t="shared" si="107"/>
        <v>1</v>
      </c>
      <c r="BA185" s="15">
        <f t="shared" si="108"/>
        <v>1</v>
      </c>
      <c r="BB185" s="15">
        <f t="shared" si="109"/>
        <v>0</v>
      </c>
      <c r="BC185" s="15" t="str">
        <f t="shared" si="110"/>
        <v/>
      </c>
      <c r="BD185" s="15" t="str">
        <f t="shared" si="111"/>
        <v/>
      </c>
      <c r="BE185" s="11" t="e">
        <f t="shared" si="112"/>
        <v>#VALUE!</v>
      </c>
      <c r="BF185" s="11" t="e">
        <f t="shared" si="113"/>
        <v>#VALUE!</v>
      </c>
      <c r="BG185" s="11" t="e">
        <f t="shared" si="114"/>
        <v>#VALUE!</v>
      </c>
      <c r="BH185" t="str">
        <f t="shared" si="115"/>
        <v/>
      </c>
      <c r="BI185" t="str" cm="1">
        <f t="array" ref="BI185">_xlfn.IFS(
  L185&gt;0,"Critical Fail",
  M185&gt;0,"Important (Coaching)",
  TRUE,"Clean Pass"
)</f>
        <v>Clean Pass</v>
      </c>
      <c r="BJ185" t="str">
        <f t="shared" si="116"/>
        <v>NA</v>
      </c>
    </row>
    <row r="186" spans="1:62" x14ac:dyDescent="0.3">
      <c r="A186">
        <v>494669</v>
      </c>
      <c r="K186" t="str">
        <f t="shared" si="78"/>
        <v>Pass</v>
      </c>
      <c r="L186" s="15">
        <f t="shared" si="79"/>
        <v>0</v>
      </c>
      <c r="M186" s="15">
        <f t="shared" si="80"/>
        <v>0</v>
      </c>
      <c r="Z186" s="15">
        <f t="shared" si="81"/>
        <v>1</v>
      </c>
      <c r="AA186" s="15">
        <f t="shared" si="82"/>
        <v>1</v>
      </c>
      <c r="AB186" s="15">
        <f t="shared" si="83"/>
        <v>1</v>
      </c>
      <c r="AC186" s="15">
        <f t="shared" si="84"/>
        <v>1</v>
      </c>
      <c r="AD186" s="15">
        <f t="shared" si="85"/>
        <v>1</v>
      </c>
      <c r="AE186" s="15">
        <f t="shared" si="86"/>
        <v>1</v>
      </c>
      <c r="AF186" s="15">
        <f t="shared" si="87"/>
        <v>1</v>
      </c>
      <c r="AG186" s="15">
        <f t="shared" si="88"/>
        <v>1</v>
      </c>
      <c r="AH186" s="15">
        <f t="shared" si="89"/>
        <v>1</v>
      </c>
      <c r="AI186" s="15">
        <f t="shared" si="90"/>
        <v>1</v>
      </c>
      <c r="AJ186" s="15">
        <f t="shared" si="91"/>
        <v>1</v>
      </c>
      <c r="AK186" s="15">
        <f t="shared" si="92"/>
        <v>1</v>
      </c>
      <c r="AL186" s="15">
        <f t="shared" si="93"/>
        <v>1</v>
      </c>
      <c r="AM186" s="15">
        <f t="shared" si="94"/>
        <v>1</v>
      </c>
      <c r="AN186" s="15">
        <f t="shared" si="95"/>
        <v>1</v>
      </c>
      <c r="AO186" s="15">
        <f t="shared" si="96"/>
        <v>1</v>
      </c>
      <c r="AP186" s="15">
        <f t="shared" si="97"/>
        <v>1</v>
      </c>
      <c r="AQ186" s="15">
        <f t="shared" si="98"/>
        <v>1</v>
      </c>
      <c r="AR186" s="15">
        <f t="shared" si="99"/>
        <v>1</v>
      </c>
      <c r="AS186" s="15">
        <f t="shared" si="100"/>
        <v>1</v>
      </c>
      <c r="AT186" s="15">
        <f t="shared" si="101"/>
        <v>1</v>
      </c>
      <c r="AU186" s="15">
        <f t="shared" si="102"/>
        <v>1</v>
      </c>
      <c r="AV186" s="15">
        <f t="shared" si="103"/>
        <v>1</v>
      </c>
      <c r="AW186" s="15">
        <f t="shared" si="104"/>
        <v>1</v>
      </c>
      <c r="AX186" s="15">
        <f t="shared" si="105"/>
        <v>1</v>
      </c>
      <c r="AY186" s="15">
        <f t="shared" si="106"/>
        <v>1</v>
      </c>
      <c r="AZ186" s="15">
        <f t="shared" si="107"/>
        <v>1</v>
      </c>
      <c r="BA186" s="15">
        <f t="shared" si="108"/>
        <v>1</v>
      </c>
      <c r="BB186" s="15">
        <f t="shared" si="109"/>
        <v>0</v>
      </c>
      <c r="BC186" s="15" t="str">
        <f t="shared" si="110"/>
        <v/>
      </c>
      <c r="BD186" s="15" t="str">
        <f t="shared" si="111"/>
        <v/>
      </c>
      <c r="BE186" s="11" t="e">
        <f t="shared" si="112"/>
        <v>#VALUE!</v>
      </c>
      <c r="BF186" s="11" t="e">
        <f t="shared" si="113"/>
        <v>#VALUE!</v>
      </c>
      <c r="BG186" s="11" t="e">
        <f t="shared" si="114"/>
        <v>#VALUE!</v>
      </c>
      <c r="BH186" t="str">
        <f t="shared" si="115"/>
        <v/>
      </c>
      <c r="BI186" t="str" cm="1">
        <f t="array" ref="BI186">_xlfn.IFS(
  L186&gt;0,"Critical Fail",
  M186&gt;0,"Important (Coaching)",
  TRUE,"Clean Pass"
)</f>
        <v>Clean Pass</v>
      </c>
      <c r="BJ186" t="str">
        <f t="shared" si="116"/>
        <v>NA</v>
      </c>
    </row>
    <row r="187" spans="1:62" x14ac:dyDescent="0.3">
      <c r="A187">
        <v>792533</v>
      </c>
      <c r="K187" t="str">
        <f t="shared" si="78"/>
        <v>Pass</v>
      </c>
      <c r="L187" s="15">
        <f t="shared" si="79"/>
        <v>0</v>
      </c>
      <c r="M187" s="15">
        <f t="shared" si="80"/>
        <v>0</v>
      </c>
      <c r="Z187" s="15">
        <f t="shared" si="81"/>
        <v>1</v>
      </c>
      <c r="AA187" s="15">
        <f t="shared" si="82"/>
        <v>1</v>
      </c>
      <c r="AB187" s="15">
        <f t="shared" si="83"/>
        <v>1</v>
      </c>
      <c r="AC187" s="15">
        <f t="shared" si="84"/>
        <v>1</v>
      </c>
      <c r="AD187" s="15">
        <f t="shared" si="85"/>
        <v>1</v>
      </c>
      <c r="AE187" s="15">
        <f t="shared" si="86"/>
        <v>1</v>
      </c>
      <c r="AF187" s="15">
        <f t="shared" si="87"/>
        <v>1</v>
      </c>
      <c r="AG187" s="15">
        <f t="shared" si="88"/>
        <v>1</v>
      </c>
      <c r="AH187" s="15">
        <f t="shared" si="89"/>
        <v>1</v>
      </c>
      <c r="AI187" s="15">
        <f t="shared" si="90"/>
        <v>1</v>
      </c>
      <c r="AJ187" s="15">
        <f t="shared" si="91"/>
        <v>1</v>
      </c>
      <c r="AK187" s="15">
        <f t="shared" si="92"/>
        <v>1</v>
      </c>
      <c r="AL187" s="15">
        <f t="shared" si="93"/>
        <v>1</v>
      </c>
      <c r="AM187" s="15">
        <f t="shared" si="94"/>
        <v>1</v>
      </c>
      <c r="AN187" s="15">
        <f t="shared" si="95"/>
        <v>1</v>
      </c>
      <c r="AO187" s="15">
        <f t="shared" si="96"/>
        <v>1</v>
      </c>
      <c r="AP187" s="15">
        <f t="shared" si="97"/>
        <v>1</v>
      </c>
      <c r="AQ187" s="15">
        <f t="shared" si="98"/>
        <v>1</v>
      </c>
      <c r="AR187" s="15">
        <f t="shared" si="99"/>
        <v>1</v>
      </c>
      <c r="AS187" s="15">
        <f t="shared" si="100"/>
        <v>1</v>
      </c>
      <c r="AT187" s="15">
        <f t="shared" si="101"/>
        <v>1</v>
      </c>
      <c r="AU187" s="15">
        <f t="shared" si="102"/>
        <v>1</v>
      </c>
      <c r="AV187" s="15">
        <f t="shared" si="103"/>
        <v>1</v>
      </c>
      <c r="AW187" s="15">
        <f t="shared" si="104"/>
        <v>1</v>
      </c>
      <c r="AX187" s="15">
        <f t="shared" si="105"/>
        <v>1</v>
      </c>
      <c r="AY187" s="15">
        <f t="shared" si="106"/>
        <v>1</v>
      </c>
      <c r="AZ187" s="15">
        <f t="shared" si="107"/>
        <v>1</v>
      </c>
      <c r="BA187" s="15">
        <f t="shared" si="108"/>
        <v>1</v>
      </c>
      <c r="BB187" s="15">
        <f t="shared" si="109"/>
        <v>0</v>
      </c>
      <c r="BC187" s="15" t="str">
        <f t="shared" si="110"/>
        <v/>
      </c>
      <c r="BD187" s="15" t="str">
        <f t="shared" si="111"/>
        <v/>
      </c>
      <c r="BE187" s="11" t="e">
        <f t="shared" si="112"/>
        <v>#VALUE!</v>
      </c>
      <c r="BF187" s="11" t="e">
        <f t="shared" si="113"/>
        <v>#VALUE!</v>
      </c>
      <c r="BG187" s="11" t="e">
        <f t="shared" si="114"/>
        <v>#VALUE!</v>
      </c>
      <c r="BH187" t="str">
        <f t="shared" si="115"/>
        <v/>
      </c>
      <c r="BI187" t="str" cm="1">
        <f t="array" ref="BI187">_xlfn.IFS(
  L187&gt;0,"Critical Fail",
  M187&gt;0,"Important (Coaching)",
  TRUE,"Clean Pass"
)</f>
        <v>Clean Pass</v>
      </c>
      <c r="BJ187" t="str">
        <f t="shared" si="116"/>
        <v>NA</v>
      </c>
    </row>
    <row r="188" spans="1:62" x14ac:dyDescent="0.3">
      <c r="A188">
        <v>698453</v>
      </c>
      <c r="K188" t="str">
        <f t="shared" si="78"/>
        <v>Pass</v>
      </c>
      <c r="L188" s="15">
        <f t="shared" si="79"/>
        <v>0</v>
      </c>
      <c r="M188" s="15">
        <f t="shared" si="80"/>
        <v>0</v>
      </c>
      <c r="Z188" s="15">
        <f t="shared" si="81"/>
        <v>1</v>
      </c>
      <c r="AA188" s="15">
        <f t="shared" si="82"/>
        <v>1</v>
      </c>
      <c r="AB188" s="15">
        <f t="shared" si="83"/>
        <v>1</v>
      </c>
      <c r="AC188" s="15">
        <f t="shared" si="84"/>
        <v>1</v>
      </c>
      <c r="AD188" s="15">
        <f t="shared" si="85"/>
        <v>1</v>
      </c>
      <c r="AE188" s="15">
        <f t="shared" si="86"/>
        <v>1</v>
      </c>
      <c r="AF188" s="15">
        <f t="shared" si="87"/>
        <v>1</v>
      </c>
      <c r="AG188" s="15">
        <f t="shared" si="88"/>
        <v>1</v>
      </c>
      <c r="AH188" s="15">
        <f t="shared" si="89"/>
        <v>1</v>
      </c>
      <c r="AI188" s="15">
        <f t="shared" si="90"/>
        <v>1</v>
      </c>
      <c r="AJ188" s="15">
        <f t="shared" si="91"/>
        <v>1</v>
      </c>
      <c r="AK188" s="15">
        <f t="shared" si="92"/>
        <v>1</v>
      </c>
      <c r="AL188" s="15">
        <f t="shared" si="93"/>
        <v>1</v>
      </c>
      <c r="AM188" s="15">
        <f t="shared" si="94"/>
        <v>1</v>
      </c>
      <c r="AN188" s="15">
        <f t="shared" si="95"/>
        <v>1</v>
      </c>
      <c r="AO188" s="15">
        <f t="shared" si="96"/>
        <v>1</v>
      </c>
      <c r="AP188" s="15">
        <f t="shared" si="97"/>
        <v>1</v>
      </c>
      <c r="AQ188" s="15">
        <f t="shared" si="98"/>
        <v>1</v>
      </c>
      <c r="AR188" s="15">
        <f t="shared" si="99"/>
        <v>1</v>
      </c>
      <c r="AS188" s="15">
        <f t="shared" si="100"/>
        <v>1</v>
      </c>
      <c r="AT188" s="15">
        <f t="shared" si="101"/>
        <v>1</v>
      </c>
      <c r="AU188" s="15">
        <f t="shared" si="102"/>
        <v>1</v>
      </c>
      <c r="AV188" s="15">
        <f t="shared" si="103"/>
        <v>1</v>
      </c>
      <c r="AW188" s="15">
        <f t="shared" si="104"/>
        <v>1</v>
      </c>
      <c r="AX188" s="15">
        <f t="shared" si="105"/>
        <v>1</v>
      </c>
      <c r="AY188" s="15">
        <f t="shared" si="106"/>
        <v>1</v>
      </c>
      <c r="AZ188" s="15">
        <f t="shared" si="107"/>
        <v>1</v>
      </c>
      <c r="BA188" s="15">
        <f t="shared" si="108"/>
        <v>1</v>
      </c>
      <c r="BB188" s="15">
        <f t="shared" si="109"/>
        <v>0</v>
      </c>
      <c r="BC188" s="15" t="str">
        <f t="shared" si="110"/>
        <v/>
      </c>
      <c r="BD188" s="15" t="str">
        <f t="shared" si="111"/>
        <v/>
      </c>
      <c r="BE188" s="11" t="e">
        <f t="shared" si="112"/>
        <v>#VALUE!</v>
      </c>
      <c r="BF188" s="11" t="e">
        <f t="shared" si="113"/>
        <v>#VALUE!</v>
      </c>
      <c r="BG188" s="11" t="e">
        <f t="shared" si="114"/>
        <v>#VALUE!</v>
      </c>
      <c r="BH188" t="str">
        <f t="shared" si="115"/>
        <v/>
      </c>
      <c r="BI188" t="str" cm="1">
        <f t="array" ref="BI188">_xlfn.IFS(
  L188&gt;0,"Critical Fail",
  M188&gt;0,"Important (Coaching)",
  TRUE,"Clean Pass"
)</f>
        <v>Clean Pass</v>
      </c>
      <c r="BJ188" t="str">
        <f t="shared" si="116"/>
        <v>NA</v>
      </c>
    </row>
    <row r="189" spans="1:62" x14ac:dyDescent="0.3">
      <c r="A189">
        <v>809692</v>
      </c>
      <c r="K189" t="str">
        <f t="shared" si="78"/>
        <v>Pass</v>
      </c>
      <c r="L189" s="15">
        <f t="shared" si="79"/>
        <v>0</v>
      </c>
      <c r="M189" s="15">
        <f t="shared" si="80"/>
        <v>0</v>
      </c>
      <c r="Z189" s="15">
        <f t="shared" si="81"/>
        <v>1</v>
      </c>
      <c r="AA189" s="15">
        <f t="shared" si="82"/>
        <v>1</v>
      </c>
      <c r="AB189" s="15">
        <f t="shared" si="83"/>
        <v>1</v>
      </c>
      <c r="AC189" s="15">
        <f t="shared" si="84"/>
        <v>1</v>
      </c>
      <c r="AD189" s="15">
        <f t="shared" si="85"/>
        <v>1</v>
      </c>
      <c r="AE189" s="15">
        <f t="shared" si="86"/>
        <v>1</v>
      </c>
      <c r="AF189" s="15">
        <f t="shared" si="87"/>
        <v>1</v>
      </c>
      <c r="AG189" s="15">
        <f t="shared" si="88"/>
        <v>1</v>
      </c>
      <c r="AH189" s="15">
        <f t="shared" si="89"/>
        <v>1</v>
      </c>
      <c r="AI189" s="15">
        <f t="shared" si="90"/>
        <v>1</v>
      </c>
      <c r="AJ189" s="15">
        <f t="shared" si="91"/>
        <v>1</v>
      </c>
      <c r="AK189" s="15">
        <f t="shared" si="92"/>
        <v>1</v>
      </c>
      <c r="AL189" s="15">
        <f t="shared" si="93"/>
        <v>1</v>
      </c>
      <c r="AM189" s="15">
        <f t="shared" si="94"/>
        <v>1</v>
      </c>
      <c r="AN189" s="15">
        <f t="shared" si="95"/>
        <v>1</v>
      </c>
      <c r="AO189" s="15">
        <f t="shared" si="96"/>
        <v>1</v>
      </c>
      <c r="AP189" s="15">
        <f t="shared" si="97"/>
        <v>1</v>
      </c>
      <c r="AQ189" s="15">
        <f t="shared" si="98"/>
        <v>1</v>
      </c>
      <c r="AR189" s="15">
        <f t="shared" si="99"/>
        <v>1</v>
      </c>
      <c r="AS189" s="15">
        <f t="shared" si="100"/>
        <v>1</v>
      </c>
      <c r="AT189" s="15">
        <f t="shared" si="101"/>
        <v>1</v>
      </c>
      <c r="AU189" s="15">
        <f t="shared" si="102"/>
        <v>1</v>
      </c>
      <c r="AV189" s="15">
        <f t="shared" si="103"/>
        <v>1</v>
      </c>
      <c r="AW189" s="15">
        <f t="shared" si="104"/>
        <v>1</v>
      </c>
      <c r="AX189" s="15">
        <f t="shared" si="105"/>
        <v>1</v>
      </c>
      <c r="AY189" s="15">
        <f t="shared" si="106"/>
        <v>1</v>
      </c>
      <c r="AZ189" s="15">
        <f t="shared" si="107"/>
        <v>1</v>
      </c>
      <c r="BA189" s="15">
        <f t="shared" si="108"/>
        <v>1</v>
      </c>
      <c r="BB189" s="15">
        <f t="shared" si="109"/>
        <v>0</v>
      </c>
      <c r="BC189" s="15" t="str">
        <f t="shared" si="110"/>
        <v/>
      </c>
      <c r="BD189" s="15" t="str">
        <f t="shared" si="111"/>
        <v/>
      </c>
      <c r="BE189" s="11" t="e">
        <f t="shared" si="112"/>
        <v>#VALUE!</v>
      </c>
      <c r="BF189" s="11" t="e">
        <f t="shared" si="113"/>
        <v>#VALUE!</v>
      </c>
      <c r="BG189" s="11" t="e">
        <f t="shared" si="114"/>
        <v>#VALUE!</v>
      </c>
      <c r="BH189" t="str">
        <f t="shared" si="115"/>
        <v/>
      </c>
      <c r="BI189" t="str" cm="1">
        <f t="array" ref="BI189">_xlfn.IFS(
  L189&gt;0,"Critical Fail",
  M189&gt;0,"Important (Coaching)",
  TRUE,"Clean Pass"
)</f>
        <v>Clean Pass</v>
      </c>
      <c r="BJ189" t="str">
        <f t="shared" si="116"/>
        <v>NA</v>
      </c>
    </row>
    <row r="190" spans="1:62" x14ac:dyDescent="0.3">
      <c r="A190">
        <v>534070</v>
      </c>
      <c r="K190" t="str">
        <f t="shared" si="78"/>
        <v>Pass</v>
      </c>
      <c r="L190" s="15">
        <f t="shared" si="79"/>
        <v>0</v>
      </c>
      <c r="M190" s="15">
        <f t="shared" si="80"/>
        <v>0</v>
      </c>
      <c r="Z190" s="15">
        <f t="shared" si="81"/>
        <v>1</v>
      </c>
      <c r="AA190" s="15">
        <f t="shared" si="82"/>
        <v>1</v>
      </c>
      <c r="AB190" s="15">
        <f t="shared" si="83"/>
        <v>1</v>
      </c>
      <c r="AC190" s="15">
        <f t="shared" si="84"/>
        <v>1</v>
      </c>
      <c r="AD190" s="15">
        <f t="shared" si="85"/>
        <v>1</v>
      </c>
      <c r="AE190" s="15">
        <f t="shared" si="86"/>
        <v>1</v>
      </c>
      <c r="AF190" s="15">
        <f t="shared" si="87"/>
        <v>1</v>
      </c>
      <c r="AG190" s="15">
        <f t="shared" si="88"/>
        <v>1</v>
      </c>
      <c r="AH190" s="15">
        <f t="shared" si="89"/>
        <v>1</v>
      </c>
      <c r="AI190" s="15">
        <f t="shared" si="90"/>
        <v>1</v>
      </c>
      <c r="AJ190" s="15">
        <f t="shared" si="91"/>
        <v>1</v>
      </c>
      <c r="AK190" s="15">
        <f t="shared" si="92"/>
        <v>1</v>
      </c>
      <c r="AL190" s="15">
        <f t="shared" si="93"/>
        <v>1</v>
      </c>
      <c r="AM190" s="15">
        <f t="shared" si="94"/>
        <v>1</v>
      </c>
      <c r="AN190" s="15">
        <f t="shared" si="95"/>
        <v>1</v>
      </c>
      <c r="AO190" s="15">
        <f t="shared" si="96"/>
        <v>1</v>
      </c>
      <c r="AP190" s="15">
        <f t="shared" si="97"/>
        <v>1</v>
      </c>
      <c r="AQ190" s="15">
        <f t="shared" si="98"/>
        <v>1</v>
      </c>
      <c r="AR190" s="15">
        <f t="shared" si="99"/>
        <v>1</v>
      </c>
      <c r="AS190" s="15">
        <f t="shared" si="100"/>
        <v>1</v>
      </c>
      <c r="AT190" s="15">
        <f t="shared" si="101"/>
        <v>1</v>
      </c>
      <c r="AU190" s="15">
        <f t="shared" si="102"/>
        <v>1</v>
      </c>
      <c r="AV190" s="15">
        <f t="shared" si="103"/>
        <v>1</v>
      </c>
      <c r="AW190" s="15">
        <f t="shared" si="104"/>
        <v>1</v>
      </c>
      <c r="AX190" s="15">
        <f t="shared" si="105"/>
        <v>1</v>
      </c>
      <c r="AY190" s="15">
        <f t="shared" si="106"/>
        <v>1</v>
      </c>
      <c r="AZ190" s="15">
        <f t="shared" si="107"/>
        <v>1</v>
      </c>
      <c r="BA190" s="15">
        <f t="shared" si="108"/>
        <v>1</v>
      </c>
      <c r="BB190" s="15">
        <f t="shared" si="109"/>
        <v>0</v>
      </c>
      <c r="BC190" s="15" t="str">
        <f t="shared" si="110"/>
        <v/>
      </c>
      <c r="BD190" s="15" t="str">
        <f t="shared" si="111"/>
        <v/>
      </c>
      <c r="BE190" s="11" t="e">
        <f t="shared" si="112"/>
        <v>#VALUE!</v>
      </c>
      <c r="BF190" s="11" t="e">
        <f t="shared" si="113"/>
        <v>#VALUE!</v>
      </c>
      <c r="BG190" s="11" t="e">
        <f t="shared" si="114"/>
        <v>#VALUE!</v>
      </c>
      <c r="BH190" t="str">
        <f t="shared" si="115"/>
        <v/>
      </c>
      <c r="BI190" t="str" cm="1">
        <f t="array" ref="BI190">_xlfn.IFS(
  L190&gt;0,"Critical Fail",
  M190&gt;0,"Important (Coaching)",
  TRUE,"Clean Pass"
)</f>
        <v>Clean Pass</v>
      </c>
      <c r="BJ190" t="str">
        <f t="shared" si="116"/>
        <v>NA</v>
      </c>
    </row>
    <row r="191" spans="1:62" x14ac:dyDescent="0.3">
      <c r="A191">
        <v>865299</v>
      </c>
      <c r="K191" t="str">
        <f t="shared" si="78"/>
        <v>Pass</v>
      </c>
      <c r="L191" s="15">
        <f t="shared" si="79"/>
        <v>0</v>
      </c>
      <c r="M191" s="15">
        <f t="shared" si="80"/>
        <v>0</v>
      </c>
      <c r="Z191" s="15">
        <f t="shared" si="81"/>
        <v>1</v>
      </c>
      <c r="AA191" s="15">
        <f t="shared" si="82"/>
        <v>1</v>
      </c>
      <c r="AB191" s="15">
        <f t="shared" si="83"/>
        <v>1</v>
      </c>
      <c r="AC191" s="15">
        <f t="shared" si="84"/>
        <v>1</v>
      </c>
      <c r="AD191" s="15">
        <f t="shared" si="85"/>
        <v>1</v>
      </c>
      <c r="AE191" s="15">
        <f t="shared" si="86"/>
        <v>1</v>
      </c>
      <c r="AF191" s="15">
        <f t="shared" si="87"/>
        <v>1</v>
      </c>
      <c r="AG191" s="15">
        <f t="shared" si="88"/>
        <v>1</v>
      </c>
      <c r="AH191" s="15">
        <f t="shared" si="89"/>
        <v>1</v>
      </c>
      <c r="AI191" s="15">
        <f t="shared" si="90"/>
        <v>1</v>
      </c>
      <c r="AJ191" s="15">
        <f t="shared" si="91"/>
        <v>1</v>
      </c>
      <c r="AK191" s="15">
        <f t="shared" si="92"/>
        <v>1</v>
      </c>
      <c r="AL191" s="15">
        <f t="shared" si="93"/>
        <v>1</v>
      </c>
      <c r="AM191" s="15">
        <f t="shared" si="94"/>
        <v>1</v>
      </c>
      <c r="AN191" s="15">
        <f t="shared" si="95"/>
        <v>1</v>
      </c>
      <c r="AO191" s="15">
        <f t="shared" si="96"/>
        <v>1</v>
      </c>
      <c r="AP191" s="15">
        <f t="shared" si="97"/>
        <v>1</v>
      </c>
      <c r="AQ191" s="15">
        <f t="shared" si="98"/>
        <v>1</v>
      </c>
      <c r="AR191" s="15">
        <f t="shared" si="99"/>
        <v>1</v>
      </c>
      <c r="AS191" s="15">
        <f t="shared" si="100"/>
        <v>1</v>
      </c>
      <c r="AT191" s="15">
        <f t="shared" si="101"/>
        <v>1</v>
      </c>
      <c r="AU191" s="15">
        <f t="shared" si="102"/>
        <v>1</v>
      </c>
      <c r="AV191" s="15">
        <f t="shared" si="103"/>
        <v>1</v>
      </c>
      <c r="AW191" s="15">
        <f t="shared" si="104"/>
        <v>1</v>
      </c>
      <c r="AX191" s="15">
        <f t="shared" si="105"/>
        <v>1</v>
      </c>
      <c r="AY191" s="15">
        <f t="shared" si="106"/>
        <v>1</v>
      </c>
      <c r="AZ191" s="15">
        <f t="shared" si="107"/>
        <v>1</v>
      </c>
      <c r="BA191" s="15">
        <f t="shared" si="108"/>
        <v>1</v>
      </c>
      <c r="BB191" s="15">
        <f t="shared" si="109"/>
        <v>0</v>
      </c>
      <c r="BC191" s="15" t="str">
        <f t="shared" si="110"/>
        <v/>
      </c>
      <c r="BD191" s="15" t="str">
        <f t="shared" si="111"/>
        <v/>
      </c>
      <c r="BE191" s="11" t="e">
        <f t="shared" si="112"/>
        <v>#VALUE!</v>
      </c>
      <c r="BF191" s="11" t="e">
        <f t="shared" si="113"/>
        <v>#VALUE!</v>
      </c>
      <c r="BG191" s="11" t="e">
        <f t="shared" si="114"/>
        <v>#VALUE!</v>
      </c>
      <c r="BH191" t="str">
        <f t="shared" si="115"/>
        <v/>
      </c>
      <c r="BI191" t="str" cm="1">
        <f t="array" ref="BI191">_xlfn.IFS(
  L191&gt;0,"Critical Fail",
  M191&gt;0,"Important (Coaching)",
  TRUE,"Clean Pass"
)</f>
        <v>Clean Pass</v>
      </c>
      <c r="BJ191" t="str">
        <f t="shared" si="116"/>
        <v>NA</v>
      </c>
    </row>
    <row r="192" spans="1:62" x14ac:dyDescent="0.3">
      <c r="A192">
        <v>595383</v>
      </c>
      <c r="K192" t="str">
        <f t="shared" si="78"/>
        <v>Pass</v>
      </c>
      <c r="L192" s="15">
        <f t="shared" si="79"/>
        <v>0</v>
      </c>
      <c r="M192" s="15">
        <f t="shared" si="80"/>
        <v>0</v>
      </c>
      <c r="Z192" s="15">
        <f t="shared" si="81"/>
        <v>1</v>
      </c>
      <c r="AA192" s="15">
        <f t="shared" si="82"/>
        <v>1</v>
      </c>
      <c r="AB192" s="15">
        <f t="shared" si="83"/>
        <v>1</v>
      </c>
      <c r="AC192" s="15">
        <f t="shared" si="84"/>
        <v>1</v>
      </c>
      <c r="AD192" s="15">
        <f t="shared" si="85"/>
        <v>1</v>
      </c>
      <c r="AE192" s="15">
        <f t="shared" si="86"/>
        <v>1</v>
      </c>
      <c r="AF192" s="15">
        <f t="shared" si="87"/>
        <v>1</v>
      </c>
      <c r="AG192" s="15">
        <f t="shared" si="88"/>
        <v>1</v>
      </c>
      <c r="AH192" s="15">
        <f t="shared" si="89"/>
        <v>1</v>
      </c>
      <c r="AI192" s="15">
        <f t="shared" si="90"/>
        <v>1</v>
      </c>
      <c r="AJ192" s="15">
        <f t="shared" si="91"/>
        <v>1</v>
      </c>
      <c r="AK192" s="15">
        <f t="shared" si="92"/>
        <v>1</v>
      </c>
      <c r="AL192" s="15">
        <f t="shared" si="93"/>
        <v>1</v>
      </c>
      <c r="AM192" s="15">
        <f t="shared" si="94"/>
        <v>1</v>
      </c>
      <c r="AN192" s="15">
        <f t="shared" si="95"/>
        <v>1</v>
      </c>
      <c r="AO192" s="15">
        <f t="shared" si="96"/>
        <v>1</v>
      </c>
      <c r="AP192" s="15">
        <f t="shared" si="97"/>
        <v>1</v>
      </c>
      <c r="AQ192" s="15">
        <f t="shared" si="98"/>
        <v>1</v>
      </c>
      <c r="AR192" s="15">
        <f t="shared" si="99"/>
        <v>1</v>
      </c>
      <c r="AS192" s="15">
        <f t="shared" si="100"/>
        <v>1</v>
      </c>
      <c r="AT192" s="15">
        <f t="shared" si="101"/>
        <v>1</v>
      </c>
      <c r="AU192" s="15">
        <f t="shared" si="102"/>
        <v>1</v>
      </c>
      <c r="AV192" s="15">
        <f t="shared" si="103"/>
        <v>1</v>
      </c>
      <c r="AW192" s="15">
        <f t="shared" si="104"/>
        <v>1</v>
      </c>
      <c r="AX192" s="15">
        <f t="shared" si="105"/>
        <v>1</v>
      </c>
      <c r="AY192" s="15">
        <f t="shared" si="106"/>
        <v>1</v>
      </c>
      <c r="AZ192" s="15">
        <f t="shared" si="107"/>
        <v>1</v>
      </c>
      <c r="BA192" s="15">
        <f t="shared" si="108"/>
        <v>1</v>
      </c>
      <c r="BB192" s="15">
        <f t="shared" si="109"/>
        <v>0</v>
      </c>
      <c r="BC192" s="15" t="str">
        <f t="shared" si="110"/>
        <v/>
      </c>
      <c r="BD192" s="15" t="str">
        <f t="shared" si="111"/>
        <v/>
      </c>
      <c r="BE192" s="11" t="e">
        <f t="shared" si="112"/>
        <v>#VALUE!</v>
      </c>
      <c r="BF192" s="11" t="e">
        <f t="shared" si="113"/>
        <v>#VALUE!</v>
      </c>
      <c r="BG192" s="11" t="e">
        <f t="shared" si="114"/>
        <v>#VALUE!</v>
      </c>
      <c r="BH192" t="str">
        <f t="shared" si="115"/>
        <v/>
      </c>
      <c r="BI192" t="str" cm="1">
        <f t="array" ref="BI192">_xlfn.IFS(
  L192&gt;0,"Critical Fail",
  M192&gt;0,"Important (Coaching)",
  TRUE,"Clean Pass"
)</f>
        <v>Clean Pass</v>
      </c>
      <c r="BJ192" t="str">
        <f t="shared" si="116"/>
        <v>NA</v>
      </c>
    </row>
    <row r="193" spans="1:62" x14ac:dyDescent="0.3">
      <c r="A193">
        <v>869699</v>
      </c>
      <c r="K193" t="str">
        <f t="shared" si="78"/>
        <v>Pass</v>
      </c>
      <c r="L193" s="15">
        <f t="shared" si="79"/>
        <v>0</v>
      </c>
      <c r="M193" s="15">
        <f t="shared" si="80"/>
        <v>0</v>
      </c>
      <c r="Z193" s="15">
        <f t="shared" si="81"/>
        <v>1</v>
      </c>
      <c r="AA193" s="15">
        <f t="shared" si="82"/>
        <v>1</v>
      </c>
      <c r="AB193" s="15">
        <f t="shared" si="83"/>
        <v>1</v>
      </c>
      <c r="AC193" s="15">
        <f t="shared" si="84"/>
        <v>1</v>
      </c>
      <c r="AD193" s="15">
        <f t="shared" si="85"/>
        <v>1</v>
      </c>
      <c r="AE193" s="15">
        <f t="shared" si="86"/>
        <v>1</v>
      </c>
      <c r="AF193" s="15">
        <f t="shared" si="87"/>
        <v>1</v>
      </c>
      <c r="AG193" s="15">
        <f t="shared" si="88"/>
        <v>1</v>
      </c>
      <c r="AH193" s="15">
        <f t="shared" si="89"/>
        <v>1</v>
      </c>
      <c r="AI193" s="15">
        <f t="shared" si="90"/>
        <v>1</v>
      </c>
      <c r="AJ193" s="15">
        <f t="shared" si="91"/>
        <v>1</v>
      </c>
      <c r="AK193" s="15">
        <f t="shared" si="92"/>
        <v>1</v>
      </c>
      <c r="AL193" s="15">
        <f t="shared" si="93"/>
        <v>1</v>
      </c>
      <c r="AM193" s="15">
        <f t="shared" si="94"/>
        <v>1</v>
      </c>
      <c r="AN193" s="15">
        <f t="shared" si="95"/>
        <v>1</v>
      </c>
      <c r="AO193" s="15">
        <f t="shared" si="96"/>
        <v>1</v>
      </c>
      <c r="AP193" s="15">
        <f t="shared" si="97"/>
        <v>1</v>
      </c>
      <c r="AQ193" s="15">
        <f t="shared" si="98"/>
        <v>1</v>
      </c>
      <c r="AR193" s="15">
        <f t="shared" si="99"/>
        <v>1</v>
      </c>
      <c r="AS193" s="15">
        <f t="shared" si="100"/>
        <v>1</v>
      </c>
      <c r="AT193" s="15">
        <f t="shared" si="101"/>
        <v>1</v>
      </c>
      <c r="AU193" s="15">
        <f t="shared" si="102"/>
        <v>1</v>
      </c>
      <c r="AV193" s="15">
        <f t="shared" si="103"/>
        <v>1</v>
      </c>
      <c r="AW193" s="15">
        <f t="shared" si="104"/>
        <v>1</v>
      </c>
      <c r="AX193" s="15">
        <f t="shared" si="105"/>
        <v>1</v>
      </c>
      <c r="AY193" s="15">
        <f t="shared" si="106"/>
        <v>1</v>
      </c>
      <c r="AZ193" s="15">
        <f t="shared" si="107"/>
        <v>1</v>
      </c>
      <c r="BA193" s="15">
        <f t="shared" si="108"/>
        <v>1</v>
      </c>
      <c r="BB193" s="15">
        <f t="shared" si="109"/>
        <v>0</v>
      </c>
      <c r="BC193" s="15" t="str">
        <f t="shared" si="110"/>
        <v/>
      </c>
      <c r="BD193" s="15" t="str">
        <f t="shared" si="111"/>
        <v/>
      </c>
      <c r="BE193" s="11" t="e">
        <f t="shared" si="112"/>
        <v>#VALUE!</v>
      </c>
      <c r="BF193" s="11" t="e">
        <f t="shared" si="113"/>
        <v>#VALUE!</v>
      </c>
      <c r="BG193" s="11" t="e">
        <f t="shared" si="114"/>
        <v>#VALUE!</v>
      </c>
      <c r="BH193" t="str">
        <f t="shared" si="115"/>
        <v/>
      </c>
      <c r="BI193" t="str" cm="1">
        <f t="array" ref="BI193">_xlfn.IFS(
  L193&gt;0,"Critical Fail",
  M193&gt;0,"Important (Coaching)",
  TRUE,"Clean Pass"
)</f>
        <v>Clean Pass</v>
      </c>
      <c r="BJ193" t="str">
        <f t="shared" si="116"/>
        <v>NA</v>
      </c>
    </row>
    <row r="194" spans="1:62" x14ac:dyDescent="0.3">
      <c r="A194">
        <v>678690</v>
      </c>
      <c r="K194" t="str">
        <f t="shared" ref="K194:K257" si="117">IF(L194="","",IF(L194&gt;0,"Fail","Pass"))</f>
        <v>Pass</v>
      </c>
      <c r="L194" s="15">
        <f t="shared" ref="L194:L257" si="118">COUNTA(N194,P194,R194)</f>
        <v>0</v>
      </c>
      <c r="M194" s="15">
        <f t="shared" ref="M194:M257" si="119">COUNTA(T194,V194,X194)</f>
        <v>0</v>
      </c>
      <c r="Z194" s="15">
        <f t="shared" ref="Z194:Z257" si="120">IF(AND(G194="DV",ISNUMBER(SEARCH("C1",N194&amp;P194&amp;R194&amp;T194&amp;V194&amp;X194))),0,1)</f>
        <v>1</v>
      </c>
      <c r="AA194" s="15">
        <f t="shared" ref="AA194:AA257" si="121">IF(AND(G194="DV",ISNUMBER(SEARCH("C2",N194&amp;P194&amp;R194&amp;T194&amp;V194&amp;X194))),0,1)</f>
        <v>1</v>
      </c>
      <c r="AB194" s="15">
        <f t="shared" ref="AB194:AB257" si="122">IF(AND(G194="DV",ISNUMBER(SEARCH("C3",N194&amp;P194&amp;R194&amp;T194&amp;V194&amp;X194))),0,1)</f>
        <v>1</v>
      </c>
      <c r="AC194" s="15">
        <f t="shared" ref="AC194:AC257" si="123">IF(AND(G194="DV",ISNUMBER(SEARCH("C4",N194&amp;P194&amp;R194&amp;T194&amp;V194&amp;X194))),0,1)</f>
        <v>1</v>
      </c>
      <c r="AD194" s="15">
        <f t="shared" ref="AD194:AD257" si="124">IF(AND(G194="DV",ISNUMBER(SEARCH("C5",N194&amp;P194&amp;R194&amp;T194&amp;V194&amp;X194))),0,1)</f>
        <v>1</v>
      </c>
      <c r="AE194" s="15">
        <f t="shared" ref="AE194:AE257" si="125">IF(AND(G194="DV",ISNUMBER(SEARCH("C6",N194&amp;P194&amp;R194&amp;T194&amp;V194&amp;X194))),0,1)</f>
        <v>1</v>
      </c>
      <c r="AF194" s="15">
        <f t="shared" ref="AF194:AF257" si="126">IF(AND(G194="DV",ISNUMBER(SEARCH("C7",N194&amp;P194&amp;R194&amp;T194&amp;V194&amp;X194))),0,1)</f>
        <v>1</v>
      </c>
      <c r="AG194" s="15">
        <f t="shared" ref="AG194:AG257" si="127">IF(AND(G194="DV",ISNUMBER(SEARCH("C8",N194&amp;P194&amp;R194&amp;T194&amp;V194&amp;X194))),0,1)</f>
        <v>1</v>
      </c>
      <c r="AH194" s="15">
        <f t="shared" ref="AH194:AH257" si="128">IF(AND(G194="DV",ISNUMBER(SEARCH("C9",N194&amp;P194&amp;R194&amp;T194&amp;V194&amp;X194))),0,1)</f>
        <v>1</v>
      </c>
      <c r="AI194" s="15">
        <f t="shared" ref="AI194:AI257" si="129">IF(AND(G194="DV",ISNUMBER(SEARCH("I1",N194&amp;P194&amp;R194&amp;T194&amp;V194&amp;X194))),0,1)</f>
        <v>1</v>
      </c>
      <c r="AJ194" s="15">
        <f t="shared" ref="AJ194:AJ257" si="130">IF(AND(G194="DV",ISNUMBER(SEARCH("I2",N194&amp;P194&amp;R194&amp;T194&amp;V194&amp;X194))),0,1)</f>
        <v>1</v>
      </c>
      <c r="AK194" s="15">
        <f t="shared" ref="AK194:AK257" si="131">IF(AND(G194="DV",ISNUMBER(SEARCH("I3",N194&amp;P194&amp;R194&amp;T194&amp;V194&amp;X194))),0,1)</f>
        <v>1</v>
      </c>
      <c r="AL194" s="15">
        <f t="shared" ref="AL194:AL257" si="132">IF(AND(G194="AL",ISNUMBER(SEARCH("C1",N194&amp;P194&amp;R194&amp;T194&amp;V194&amp;X194))),0,1)</f>
        <v>1</v>
      </c>
      <c r="AM194" s="15">
        <f t="shared" ref="AM194:AM257" si="133">IF(AND(G194="AL",ISNUMBER(SEARCH("C2",N194&amp;P194&amp;R194&amp;T194&amp;V194&amp;X194))),0,1)</f>
        <v>1</v>
      </c>
      <c r="AN194" s="15">
        <f t="shared" ref="AN194:AN257" si="134">IF(AND(G194="AL",ISNUMBER(SEARCH("C3",N194&amp;P194&amp;R194&amp;T194&amp;V194&amp;X194))),0,1)</f>
        <v>1</v>
      </c>
      <c r="AO194" s="15">
        <f t="shared" ref="AO194:AO257" si="135">IF(AND(G194="AL",ISNUMBER(SEARCH("C4",N194&amp;P194&amp;R194&amp;T194&amp;V194&amp;X194))),0,1)</f>
        <v>1</v>
      </c>
      <c r="AP194" s="15">
        <f t="shared" ref="AP194:AP257" si="136">IF(AND(G194="AL",ISNUMBER(SEARCH("C5",N194&amp;P194&amp;R194&amp;T194&amp;V194&amp;X194))),0,1)</f>
        <v>1</v>
      </c>
      <c r="AQ194" s="15">
        <f t="shared" ref="AQ194:AQ257" si="137">IF(AND(G194="AL",ISNUMBER(SEARCH("C6",N194&amp;P194&amp;R194&amp;T194&amp;V194&amp;X194))),0,1)</f>
        <v>1</v>
      </c>
      <c r="AR194" s="15">
        <f t="shared" ref="AR194:AR257" si="138">IF(AND(G194="AL",ISNUMBER(SEARCH("C7",N194&amp;P194&amp;R194&amp;T194&amp;V194&amp;X194))),0,1)</f>
        <v>1</v>
      </c>
      <c r="AS194" s="15">
        <f t="shared" ref="AS194:AS257" si="139">IF(AND(G194="AL",ISNUMBER(SEARCH("C8",N194&amp;P194&amp;R194&amp;T194&amp;V194&amp;X194))),0,1)</f>
        <v>1</v>
      </c>
      <c r="AT194" s="15">
        <f t="shared" ref="AT194:AT257" si="140">IF(AND(G194="AL",ISNUMBER(SEARCH("C9",N194&amp;P194&amp;R194&amp;T194&amp;V194&amp;X194))),0,1)</f>
        <v>1</v>
      </c>
      <c r="AU194" s="15">
        <f t="shared" ref="AU194:AU257" si="141">IF(AND(G194="AL",ISNUMBER(SEARCH("C10",N194&amp;P194&amp;R194&amp;T194&amp;V194&amp;X194))),0,1)</f>
        <v>1</v>
      </c>
      <c r="AV194" s="15">
        <f t="shared" ref="AV194:AV257" si="142">IF(AND(G194="AL",ISNUMBER(SEARCH("C11",N194&amp;P194&amp;R194&amp;T194&amp;V194&amp;X194))),0,1)</f>
        <v>1</v>
      </c>
      <c r="AW194" s="15">
        <f t="shared" ref="AW194:AW257" si="143">IF(AND(G194="AL",ISNUMBER(SEARCH("C12",N194&amp;P194&amp;R194&amp;T194&amp;V194&amp;X194))),0,1)</f>
        <v>1</v>
      </c>
      <c r="AX194" s="15">
        <f t="shared" ref="AX194:AX257" si="144">IF(AND(G194="AL",ISNUMBER(SEARCH("C13",N194&amp;P194&amp;R194&amp;T194&amp;V194&amp;X194))),0,1)</f>
        <v>1</v>
      </c>
      <c r="AY194" s="15">
        <f t="shared" ref="AY194:AY257" si="145">IF(AND(G194="AL",ISNUMBER(SEARCH("I1",N194&amp;P194&amp;R194&amp;T194&amp;V194&amp;X194))),0,1)</f>
        <v>1</v>
      </c>
      <c r="AZ194" s="15">
        <f t="shared" ref="AZ194:AZ257" si="146">IF(AND(G194="AL",ISNUMBER(SEARCH("I2",N194&amp;P194&amp;R194&amp;T194&amp;V194&amp;X194))),0,1)</f>
        <v>1</v>
      </c>
      <c r="BA194" s="15">
        <f t="shared" ref="BA194:BA257" si="147">IF(AND(G194="AL",ISNUMBER(SEARCH("I3",N194&amp;P194&amp;R194&amp;T194&amp;V194&amp;X194))),0,1)</f>
        <v>1</v>
      </c>
      <c r="BB194" s="15">
        <f t="shared" ref="BB194:BB257" si="148">IF(L194&gt;0,1,0)</f>
        <v>0</v>
      </c>
      <c r="BC194" s="15" t="str">
        <f t="shared" ref="BC194:BC257" si="149">IF(G194="DV",9,IF(G194="AL",13,""))</f>
        <v/>
      </c>
      <c r="BD194" s="15" t="str">
        <f t="shared" ref="BD194:BD257" si="150">IF(G194="DV",3,IF(G194="AL",3,""))</f>
        <v/>
      </c>
      <c r="BE194" s="11" t="e">
        <f t="shared" ref="BE194:BE257" si="151">IF(BC194=0,1,(BC194-L194)/BC194)</f>
        <v>#VALUE!</v>
      </c>
      <c r="BF194" s="11" t="e">
        <f t="shared" ref="BF194:BF257" si="152">IF(BD194=0,1,(BD194-M194)/BD194)</f>
        <v>#VALUE!</v>
      </c>
      <c r="BG194" s="11" t="e">
        <f t="shared" ref="BG194:BG257" si="153">(BE194*0.7)+(BF194*0.3)</f>
        <v>#VALUE!</v>
      </c>
      <c r="BH194" t="str">
        <f t="shared" ref="BH194:BH257" si="154">_xlfn.TEXTJOIN(",",TRUE,N194,P194,R194)</f>
        <v/>
      </c>
      <c r="BI194" t="str" cm="1">
        <f t="array" ref="BI194">_xlfn.IFS(
  L194&gt;0,"Critical Fail",
  M194&gt;0,"Important (Coaching)",
  TRUE,"Clean Pass"
)</f>
        <v>Clean Pass</v>
      </c>
      <c r="BJ194" t="str">
        <f t="shared" ref="BJ194:BJ257" si="155">IF(COUNTA(N194:Y194)=0,"NA",_xlfn.TEXTJOIN(",",TRUE,N194:Y194))</f>
        <v>NA</v>
      </c>
    </row>
    <row r="195" spans="1:62" x14ac:dyDescent="0.3">
      <c r="A195">
        <v>179166</v>
      </c>
      <c r="K195" t="str">
        <f t="shared" si="117"/>
        <v>Pass</v>
      </c>
      <c r="L195" s="15">
        <f t="shared" si="118"/>
        <v>0</v>
      </c>
      <c r="M195" s="15">
        <f t="shared" si="119"/>
        <v>0</v>
      </c>
      <c r="Z195" s="15">
        <f t="shared" si="120"/>
        <v>1</v>
      </c>
      <c r="AA195" s="15">
        <f t="shared" si="121"/>
        <v>1</v>
      </c>
      <c r="AB195" s="15">
        <f t="shared" si="122"/>
        <v>1</v>
      </c>
      <c r="AC195" s="15">
        <f t="shared" si="123"/>
        <v>1</v>
      </c>
      <c r="AD195" s="15">
        <f t="shared" si="124"/>
        <v>1</v>
      </c>
      <c r="AE195" s="15">
        <f t="shared" si="125"/>
        <v>1</v>
      </c>
      <c r="AF195" s="15">
        <f t="shared" si="126"/>
        <v>1</v>
      </c>
      <c r="AG195" s="15">
        <f t="shared" si="127"/>
        <v>1</v>
      </c>
      <c r="AH195" s="15">
        <f t="shared" si="128"/>
        <v>1</v>
      </c>
      <c r="AI195" s="15">
        <f t="shared" si="129"/>
        <v>1</v>
      </c>
      <c r="AJ195" s="15">
        <f t="shared" si="130"/>
        <v>1</v>
      </c>
      <c r="AK195" s="15">
        <f t="shared" si="131"/>
        <v>1</v>
      </c>
      <c r="AL195" s="15">
        <f t="shared" si="132"/>
        <v>1</v>
      </c>
      <c r="AM195" s="15">
        <f t="shared" si="133"/>
        <v>1</v>
      </c>
      <c r="AN195" s="15">
        <f t="shared" si="134"/>
        <v>1</v>
      </c>
      <c r="AO195" s="15">
        <f t="shared" si="135"/>
        <v>1</v>
      </c>
      <c r="AP195" s="15">
        <f t="shared" si="136"/>
        <v>1</v>
      </c>
      <c r="AQ195" s="15">
        <f t="shared" si="137"/>
        <v>1</v>
      </c>
      <c r="AR195" s="15">
        <f t="shared" si="138"/>
        <v>1</v>
      </c>
      <c r="AS195" s="15">
        <f t="shared" si="139"/>
        <v>1</v>
      </c>
      <c r="AT195" s="15">
        <f t="shared" si="140"/>
        <v>1</v>
      </c>
      <c r="AU195" s="15">
        <f t="shared" si="141"/>
        <v>1</v>
      </c>
      <c r="AV195" s="15">
        <f t="shared" si="142"/>
        <v>1</v>
      </c>
      <c r="AW195" s="15">
        <f t="shared" si="143"/>
        <v>1</v>
      </c>
      <c r="AX195" s="15">
        <f t="shared" si="144"/>
        <v>1</v>
      </c>
      <c r="AY195" s="15">
        <f t="shared" si="145"/>
        <v>1</v>
      </c>
      <c r="AZ195" s="15">
        <f t="shared" si="146"/>
        <v>1</v>
      </c>
      <c r="BA195" s="15">
        <f t="shared" si="147"/>
        <v>1</v>
      </c>
      <c r="BB195" s="15">
        <f t="shared" si="148"/>
        <v>0</v>
      </c>
      <c r="BC195" s="15" t="str">
        <f t="shared" si="149"/>
        <v/>
      </c>
      <c r="BD195" s="15" t="str">
        <f t="shared" si="150"/>
        <v/>
      </c>
      <c r="BE195" s="11" t="e">
        <f t="shared" si="151"/>
        <v>#VALUE!</v>
      </c>
      <c r="BF195" s="11" t="e">
        <f t="shared" si="152"/>
        <v>#VALUE!</v>
      </c>
      <c r="BG195" s="11" t="e">
        <f t="shared" si="153"/>
        <v>#VALUE!</v>
      </c>
      <c r="BH195" t="str">
        <f t="shared" si="154"/>
        <v/>
      </c>
      <c r="BI195" t="str" cm="1">
        <f t="array" ref="BI195">_xlfn.IFS(
  L195&gt;0,"Critical Fail",
  M195&gt;0,"Important (Coaching)",
  TRUE,"Clean Pass"
)</f>
        <v>Clean Pass</v>
      </c>
      <c r="BJ195" t="str">
        <f t="shared" si="155"/>
        <v>NA</v>
      </c>
    </row>
    <row r="196" spans="1:62" x14ac:dyDescent="0.3">
      <c r="A196">
        <v>678274</v>
      </c>
      <c r="K196" t="str">
        <f t="shared" si="117"/>
        <v>Pass</v>
      </c>
      <c r="L196" s="15">
        <f t="shared" si="118"/>
        <v>0</v>
      </c>
      <c r="M196" s="15">
        <f t="shared" si="119"/>
        <v>0</v>
      </c>
      <c r="Z196" s="15">
        <f t="shared" si="120"/>
        <v>1</v>
      </c>
      <c r="AA196" s="15">
        <f t="shared" si="121"/>
        <v>1</v>
      </c>
      <c r="AB196" s="15">
        <f t="shared" si="122"/>
        <v>1</v>
      </c>
      <c r="AC196" s="15">
        <f t="shared" si="123"/>
        <v>1</v>
      </c>
      <c r="AD196" s="15">
        <f t="shared" si="124"/>
        <v>1</v>
      </c>
      <c r="AE196" s="15">
        <f t="shared" si="125"/>
        <v>1</v>
      </c>
      <c r="AF196" s="15">
        <f t="shared" si="126"/>
        <v>1</v>
      </c>
      <c r="AG196" s="15">
        <f t="shared" si="127"/>
        <v>1</v>
      </c>
      <c r="AH196" s="15">
        <f t="shared" si="128"/>
        <v>1</v>
      </c>
      <c r="AI196" s="15">
        <f t="shared" si="129"/>
        <v>1</v>
      </c>
      <c r="AJ196" s="15">
        <f t="shared" si="130"/>
        <v>1</v>
      </c>
      <c r="AK196" s="15">
        <f t="shared" si="131"/>
        <v>1</v>
      </c>
      <c r="AL196" s="15">
        <f t="shared" si="132"/>
        <v>1</v>
      </c>
      <c r="AM196" s="15">
        <f t="shared" si="133"/>
        <v>1</v>
      </c>
      <c r="AN196" s="15">
        <f t="shared" si="134"/>
        <v>1</v>
      </c>
      <c r="AO196" s="15">
        <f t="shared" si="135"/>
        <v>1</v>
      </c>
      <c r="AP196" s="15">
        <f t="shared" si="136"/>
        <v>1</v>
      </c>
      <c r="AQ196" s="15">
        <f t="shared" si="137"/>
        <v>1</v>
      </c>
      <c r="AR196" s="15">
        <f t="shared" si="138"/>
        <v>1</v>
      </c>
      <c r="AS196" s="15">
        <f t="shared" si="139"/>
        <v>1</v>
      </c>
      <c r="AT196" s="15">
        <f t="shared" si="140"/>
        <v>1</v>
      </c>
      <c r="AU196" s="15">
        <f t="shared" si="141"/>
        <v>1</v>
      </c>
      <c r="AV196" s="15">
        <f t="shared" si="142"/>
        <v>1</v>
      </c>
      <c r="AW196" s="15">
        <f t="shared" si="143"/>
        <v>1</v>
      </c>
      <c r="AX196" s="15">
        <f t="shared" si="144"/>
        <v>1</v>
      </c>
      <c r="AY196" s="15">
        <f t="shared" si="145"/>
        <v>1</v>
      </c>
      <c r="AZ196" s="15">
        <f t="shared" si="146"/>
        <v>1</v>
      </c>
      <c r="BA196" s="15">
        <f t="shared" si="147"/>
        <v>1</v>
      </c>
      <c r="BB196" s="15">
        <f t="shared" si="148"/>
        <v>0</v>
      </c>
      <c r="BC196" s="15" t="str">
        <f t="shared" si="149"/>
        <v/>
      </c>
      <c r="BD196" s="15" t="str">
        <f t="shared" si="150"/>
        <v/>
      </c>
      <c r="BE196" s="11" t="e">
        <f t="shared" si="151"/>
        <v>#VALUE!</v>
      </c>
      <c r="BF196" s="11" t="e">
        <f t="shared" si="152"/>
        <v>#VALUE!</v>
      </c>
      <c r="BG196" s="11" t="e">
        <f t="shared" si="153"/>
        <v>#VALUE!</v>
      </c>
      <c r="BH196" t="str">
        <f t="shared" si="154"/>
        <v/>
      </c>
      <c r="BI196" t="str" cm="1">
        <f t="array" ref="BI196">_xlfn.IFS(
  L196&gt;0,"Critical Fail",
  M196&gt;0,"Important (Coaching)",
  TRUE,"Clean Pass"
)</f>
        <v>Clean Pass</v>
      </c>
      <c r="BJ196" t="str">
        <f t="shared" si="155"/>
        <v>NA</v>
      </c>
    </row>
    <row r="197" spans="1:62" x14ac:dyDescent="0.3">
      <c r="A197">
        <v>720595</v>
      </c>
      <c r="K197" t="str">
        <f t="shared" si="117"/>
        <v>Pass</v>
      </c>
      <c r="L197" s="15">
        <f t="shared" si="118"/>
        <v>0</v>
      </c>
      <c r="M197" s="15">
        <f t="shared" si="119"/>
        <v>0</v>
      </c>
      <c r="Z197" s="15">
        <f t="shared" si="120"/>
        <v>1</v>
      </c>
      <c r="AA197" s="15">
        <f t="shared" si="121"/>
        <v>1</v>
      </c>
      <c r="AB197" s="15">
        <f t="shared" si="122"/>
        <v>1</v>
      </c>
      <c r="AC197" s="15">
        <f t="shared" si="123"/>
        <v>1</v>
      </c>
      <c r="AD197" s="15">
        <f t="shared" si="124"/>
        <v>1</v>
      </c>
      <c r="AE197" s="15">
        <f t="shared" si="125"/>
        <v>1</v>
      </c>
      <c r="AF197" s="15">
        <f t="shared" si="126"/>
        <v>1</v>
      </c>
      <c r="AG197" s="15">
        <f t="shared" si="127"/>
        <v>1</v>
      </c>
      <c r="AH197" s="15">
        <f t="shared" si="128"/>
        <v>1</v>
      </c>
      <c r="AI197" s="15">
        <f t="shared" si="129"/>
        <v>1</v>
      </c>
      <c r="AJ197" s="15">
        <f t="shared" si="130"/>
        <v>1</v>
      </c>
      <c r="AK197" s="15">
        <f t="shared" si="131"/>
        <v>1</v>
      </c>
      <c r="AL197" s="15">
        <f t="shared" si="132"/>
        <v>1</v>
      </c>
      <c r="AM197" s="15">
        <f t="shared" si="133"/>
        <v>1</v>
      </c>
      <c r="AN197" s="15">
        <f t="shared" si="134"/>
        <v>1</v>
      </c>
      <c r="AO197" s="15">
        <f t="shared" si="135"/>
        <v>1</v>
      </c>
      <c r="AP197" s="15">
        <f t="shared" si="136"/>
        <v>1</v>
      </c>
      <c r="AQ197" s="15">
        <f t="shared" si="137"/>
        <v>1</v>
      </c>
      <c r="AR197" s="15">
        <f t="shared" si="138"/>
        <v>1</v>
      </c>
      <c r="AS197" s="15">
        <f t="shared" si="139"/>
        <v>1</v>
      </c>
      <c r="AT197" s="15">
        <f t="shared" si="140"/>
        <v>1</v>
      </c>
      <c r="AU197" s="15">
        <f t="shared" si="141"/>
        <v>1</v>
      </c>
      <c r="AV197" s="15">
        <f t="shared" si="142"/>
        <v>1</v>
      </c>
      <c r="AW197" s="15">
        <f t="shared" si="143"/>
        <v>1</v>
      </c>
      <c r="AX197" s="15">
        <f t="shared" si="144"/>
        <v>1</v>
      </c>
      <c r="AY197" s="15">
        <f t="shared" si="145"/>
        <v>1</v>
      </c>
      <c r="AZ197" s="15">
        <f t="shared" si="146"/>
        <v>1</v>
      </c>
      <c r="BA197" s="15">
        <f t="shared" si="147"/>
        <v>1</v>
      </c>
      <c r="BB197" s="15">
        <f t="shared" si="148"/>
        <v>0</v>
      </c>
      <c r="BC197" s="15" t="str">
        <f t="shared" si="149"/>
        <v/>
      </c>
      <c r="BD197" s="15" t="str">
        <f t="shared" si="150"/>
        <v/>
      </c>
      <c r="BE197" s="11" t="e">
        <f t="shared" si="151"/>
        <v>#VALUE!</v>
      </c>
      <c r="BF197" s="11" t="e">
        <f t="shared" si="152"/>
        <v>#VALUE!</v>
      </c>
      <c r="BG197" s="11" t="e">
        <f t="shared" si="153"/>
        <v>#VALUE!</v>
      </c>
      <c r="BH197" t="str">
        <f t="shared" si="154"/>
        <v/>
      </c>
      <c r="BI197" t="str" cm="1">
        <f t="array" ref="BI197">_xlfn.IFS(
  L197&gt;0,"Critical Fail",
  M197&gt;0,"Important (Coaching)",
  TRUE,"Clean Pass"
)</f>
        <v>Clean Pass</v>
      </c>
      <c r="BJ197" t="str">
        <f t="shared" si="155"/>
        <v>NA</v>
      </c>
    </row>
    <row r="198" spans="1:62" x14ac:dyDescent="0.3">
      <c r="A198">
        <v>123492</v>
      </c>
      <c r="K198" t="str">
        <f t="shared" si="117"/>
        <v>Pass</v>
      </c>
      <c r="L198" s="15">
        <f t="shared" si="118"/>
        <v>0</v>
      </c>
      <c r="M198" s="15">
        <f t="shared" si="119"/>
        <v>0</v>
      </c>
      <c r="Z198" s="15">
        <f t="shared" si="120"/>
        <v>1</v>
      </c>
      <c r="AA198" s="15">
        <f t="shared" si="121"/>
        <v>1</v>
      </c>
      <c r="AB198" s="15">
        <f t="shared" si="122"/>
        <v>1</v>
      </c>
      <c r="AC198" s="15">
        <f t="shared" si="123"/>
        <v>1</v>
      </c>
      <c r="AD198" s="15">
        <f t="shared" si="124"/>
        <v>1</v>
      </c>
      <c r="AE198" s="15">
        <f t="shared" si="125"/>
        <v>1</v>
      </c>
      <c r="AF198" s="15">
        <f t="shared" si="126"/>
        <v>1</v>
      </c>
      <c r="AG198" s="15">
        <f t="shared" si="127"/>
        <v>1</v>
      </c>
      <c r="AH198" s="15">
        <f t="shared" si="128"/>
        <v>1</v>
      </c>
      <c r="AI198" s="15">
        <f t="shared" si="129"/>
        <v>1</v>
      </c>
      <c r="AJ198" s="15">
        <f t="shared" si="130"/>
        <v>1</v>
      </c>
      <c r="AK198" s="15">
        <f t="shared" si="131"/>
        <v>1</v>
      </c>
      <c r="AL198" s="15">
        <f t="shared" si="132"/>
        <v>1</v>
      </c>
      <c r="AM198" s="15">
        <f t="shared" si="133"/>
        <v>1</v>
      </c>
      <c r="AN198" s="15">
        <f t="shared" si="134"/>
        <v>1</v>
      </c>
      <c r="AO198" s="15">
        <f t="shared" si="135"/>
        <v>1</v>
      </c>
      <c r="AP198" s="15">
        <f t="shared" si="136"/>
        <v>1</v>
      </c>
      <c r="AQ198" s="15">
        <f t="shared" si="137"/>
        <v>1</v>
      </c>
      <c r="AR198" s="15">
        <f t="shared" si="138"/>
        <v>1</v>
      </c>
      <c r="AS198" s="15">
        <f t="shared" si="139"/>
        <v>1</v>
      </c>
      <c r="AT198" s="15">
        <f t="shared" si="140"/>
        <v>1</v>
      </c>
      <c r="AU198" s="15">
        <f t="shared" si="141"/>
        <v>1</v>
      </c>
      <c r="AV198" s="15">
        <f t="shared" si="142"/>
        <v>1</v>
      </c>
      <c r="AW198" s="15">
        <f t="shared" si="143"/>
        <v>1</v>
      </c>
      <c r="AX198" s="15">
        <f t="shared" si="144"/>
        <v>1</v>
      </c>
      <c r="AY198" s="15">
        <f t="shared" si="145"/>
        <v>1</v>
      </c>
      <c r="AZ198" s="15">
        <f t="shared" si="146"/>
        <v>1</v>
      </c>
      <c r="BA198" s="15">
        <f t="shared" si="147"/>
        <v>1</v>
      </c>
      <c r="BB198" s="15">
        <f t="shared" si="148"/>
        <v>0</v>
      </c>
      <c r="BC198" s="15" t="str">
        <f t="shared" si="149"/>
        <v/>
      </c>
      <c r="BD198" s="15" t="str">
        <f t="shared" si="150"/>
        <v/>
      </c>
      <c r="BE198" s="11" t="e">
        <f t="shared" si="151"/>
        <v>#VALUE!</v>
      </c>
      <c r="BF198" s="11" t="e">
        <f t="shared" si="152"/>
        <v>#VALUE!</v>
      </c>
      <c r="BG198" s="11" t="e">
        <f t="shared" si="153"/>
        <v>#VALUE!</v>
      </c>
      <c r="BH198" t="str">
        <f t="shared" si="154"/>
        <v/>
      </c>
      <c r="BI198" t="str" cm="1">
        <f t="array" ref="BI198">_xlfn.IFS(
  L198&gt;0,"Critical Fail",
  M198&gt;0,"Important (Coaching)",
  TRUE,"Clean Pass"
)</f>
        <v>Clean Pass</v>
      </c>
      <c r="BJ198" t="str">
        <f t="shared" si="155"/>
        <v>NA</v>
      </c>
    </row>
    <row r="199" spans="1:62" x14ac:dyDescent="0.3">
      <c r="A199">
        <v>246831</v>
      </c>
      <c r="K199" t="str">
        <f t="shared" si="117"/>
        <v>Pass</v>
      </c>
      <c r="L199" s="15">
        <f t="shared" si="118"/>
        <v>0</v>
      </c>
      <c r="M199" s="15">
        <f t="shared" si="119"/>
        <v>0</v>
      </c>
      <c r="Z199" s="15">
        <f t="shared" si="120"/>
        <v>1</v>
      </c>
      <c r="AA199" s="15">
        <f t="shared" si="121"/>
        <v>1</v>
      </c>
      <c r="AB199" s="15">
        <f t="shared" si="122"/>
        <v>1</v>
      </c>
      <c r="AC199" s="15">
        <f t="shared" si="123"/>
        <v>1</v>
      </c>
      <c r="AD199" s="15">
        <f t="shared" si="124"/>
        <v>1</v>
      </c>
      <c r="AE199" s="15">
        <f t="shared" si="125"/>
        <v>1</v>
      </c>
      <c r="AF199" s="15">
        <f t="shared" si="126"/>
        <v>1</v>
      </c>
      <c r="AG199" s="15">
        <f t="shared" si="127"/>
        <v>1</v>
      </c>
      <c r="AH199" s="15">
        <f t="shared" si="128"/>
        <v>1</v>
      </c>
      <c r="AI199" s="15">
        <f t="shared" si="129"/>
        <v>1</v>
      </c>
      <c r="AJ199" s="15">
        <f t="shared" si="130"/>
        <v>1</v>
      </c>
      <c r="AK199" s="15">
        <f t="shared" si="131"/>
        <v>1</v>
      </c>
      <c r="AL199" s="15">
        <f t="shared" si="132"/>
        <v>1</v>
      </c>
      <c r="AM199" s="15">
        <f t="shared" si="133"/>
        <v>1</v>
      </c>
      <c r="AN199" s="15">
        <f t="shared" si="134"/>
        <v>1</v>
      </c>
      <c r="AO199" s="15">
        <f t="shared" si="135"/>
        <v>1</v>
      </c>
      <c r="AP199" s="15">
        <f t="shared" si="136"/>
        <v>1</v>
      </c>
      <c r="AQ199" s="15">
        <f t="shared" si="137"/>
        <v>1</v>
      </c>
      <c r="AR199" s="15">
        <f t="shared" si="138"/>
        <v>1</v>
      </c>
      <c r="AS199" s="15">
        <f t="shared" si="139"/>
        <v>1</v>
      </c>
      <c r="AT199" s="15">
        <f t="shared" si="140"/>
        <v>1</v>
      </c>
      <c r="AU199" s="15">
        <f t="shared" si="141"/>
        <v>1</v>
      </c>
      <c r="AV199" s="15">
        <f t="shared" si="142"/>
        <v>1</v>
      </c>
      <c r="AW199" s="15">
        <f t="shared" si="143"/>
        <v>1</v>
      </c>
      <c r="AX199" s="15">
        <f t="shared" si="144"/>
        <v>1</v>
      </c>
      <c r="AY199" s="15">
        <f t="shared" si="145"/>
        <v>1</v>
      </c>
      <c r="AZ199" s="15">
        <f t="shared" si="146"/>
        <v>1</v>
      </c>
      <c r="BA199" s="15">
        <f t="shared" si="147"/>
        <v>1</v>
      </c>
      <c r="BB199" s="15">
        <f t="shared" si="148"/>
        <v>0</v>
      </c>
      <c r="BC199" s="15" t="str">
        <f t="shared" si="149"/>
        <v/>
      </c>
      <c r="BD199" s="15" t="str">
        <f t="shared" si="150"/>
        <v/>
      </c>
      <c r="BE199" s="11" t="e">
        <f t="shared" si="151"/>
        <v>#VALUE!</v>
      </c>
      <c r="BF199" s="11" t="e">
        <f t="shared" si="152"/>
        <v>#VALUE!</v>
      </c>
      <c r="BG199" s="11" t="e">
        <f t="shared" si="153"/>
        <v>#VALUE!</v>
      </c>
      <c r="BH199" t="str">
        <f t="shared" si="154"/>
        <v/>
      </c>
      <c r="BI199" t="str" cm="1">
        <f t="array" ref="BI199">_xlfn.IFS(
  L199&gt;0,"Critical Fail",
  M199&gt;0,"Important (Coaching)",
  TRUE,"Clean Pass"
)</f>
        <v>Clean Pass</v>
      </c>
      <c r="BJ199" t="str">
        <f t="shared" si="155"/>
        <v>NA</v>
      </c>
    </row>
    <row r="200" spans="1:62" x14ac:dyDescent="0.3">
      <c r="A200">
        <v>460906</v>
      </c>
      <c r="K200" t="str">
        <f t="shared" si="117"/>
        <v>Pass</v>
      </c>
      <c r="L200" s="15">
        <f t="shared" si="118"/>
        <v>0</v>
      </c>
      <c r="M200" s="15">
        <f t="shared" si="119"/>
        <v>0</v>
      </c>
      <c r="Z200" s="15">
        <f t="shared" si="120"/>
        <v>1</v>
      </c>
      <c r="AA200" s="15">
        <f t="shared" si="121"/>
        <v>1</v>
      </c>
      <c r="AB200" s="15">
        <f t="shared" si="122"/>
        <v>1</v>
      </c>
      <c r="AC200" s="15">
        <f t="shared" si="123"/>
        <v>1</v>
      </c>
      <c r="AD200" s="15">
        <f t="shared" si="124"/>
        <v>1</v>
      </c>
      <c r="AE200" s="15">
        <f t="shared" si="125"/>
        <v>1</v>
      </c>
      <c r="AF200" s="15">
        <f t="shared" si="126"/>
        <v>1</v>
      </c>
      <c r="AG200" s="15">
        <f t="shared" si="127"/>
        <v>1</v>
      </c>
      <c r="AH200" s="15">
        <f t="shared" si="128"/>
        <v>1</v>
      </c>
      <c r="AI200" s="15">
        <f t="shared" si="129"/>
        <v>1</v>
      </c>
      <c r="AJ200" s="15">
        <f t="shared" si="130"/>
        <v>1</v>
      </c>
      <c r="AK200" s="15">
        <f t="shared" si="131"/>
        <v>1</v>
      </c>
      <c r="AL200" s="15">
        <f t="shared" si="132"/>
        <v>1</v>
      </c>
      <c r="AM200" s="15">
        <f t="shared" si="133"/>
        <v>1</v>
      </c>
      <c r="AN200" s="15">
        <f t="shared" si="134"/>
        <v>1</v>
      </c>
      <c r="AO200" s="15">
        <f t="shared" si="135"/>
        <v>1</v>
      </c>
      <c r="AP200" s="15">
        <f t="shared" si="136"/>
        <v>1</v>
      </c>
      <c r="AQ200" s="15">
        <f t="shared" si="137"/>
        <v>1</v>
      </c>
      <c r="AR200" s="15">
        <f t="shared" si="138"/>
        <v>1</v>
      </c>
      <c r="AS200" s="15">
        <f t="shared" si="139"/>
        <v>1</v>
      </c>
      <c r="AT200" s="15">
        <f t="shared" si="140"/>
        <v>1</v>
      </c>
      <c r="AU200" s="15">
        <f t="shared" si="141"/>
        <v>1</v>
      </c>
      <c r="AV200" s="15">
        <f t="shared" si="142"/>
        <v>1</v>
      </c>
      <c r="AW200" s="15">
        <f t="shared" si="143"/>
        <v>1</v>
      </c>
      <c r="AX200" s="15">
        <f t="shared" si="144"/>
        <v>1</v>
      </c>
      <c r="AY200" s="15">
        <f t="shared" si="145"/>
        <v>1</v>
      </c>
      <c r="AZ200" s="15">
        <f t="shared" si="146"/>
        <v>1</v>
      </c>
      <c r="BA200" s="15">
        <f t="shared" si="147"/>
        <v>1</v>
      </c>
      <c r="BB200" s="15">
        <f t="shared" si="148"/>
        <v>0</v>
      </c>
      <c r="BC200" s="15" t="str">
        <f t="shared" si="149"/>
        <v/>
      </c>
      <c r="BD200" s="15" t="str">
        <f t="shared" si="150"/>
        <v/>
      </c>
      <c r="BE200" s="11" t="e">
        <f t="shared" si="151"/>
        <v>#VALUE!</v>
      </c>
      <c r="BF200" s="11" t="e">
        <f t="shared" si="152"/>
        <v>#VALUE!</v>
      </c>
      <c r="BG200" s="11" t="e">
        <f t="shared" si="153"/>
        <v>#VALUE!</v>
      </c>
      <c r="BH200" t="str">
        <f t="shared" si="154"/>
        <v/>
      </c>
      <c r="BI200" t="str" cm="1">
        <f t="array" ref="BI200">_xlfn.IFS(
  L200&gt;0,"Critical Fail",
  M200&gt;0,"Important (Coaching)",
  TRUE,"Clean Pass"
)</f>
        <v>Clean Pass</v>
      </c>
      <c r="BJ200" t="str">
        <f t="shared" si="155"/>
        <v>NA</v>
      </c>
    </row>
    <row r="201" spans="1:62" x14ac:dyDescent="0.3">
      <c r="A201">
        <v>198521</v>
      </c>
      <c r="K201" t="str">
        <f t="shared" si="117"/>
        <v>Pass</v>
      </c>
      <c r="L201" s="15">
        <f t="shared" si="118"/>
        <v>0</v>
      </c>
      <c r="M201" s="15">
        <f t="shared" si="119"/>
        <v>0</v>
      </c>
      <c r="Z201" s="15">
        <f t="shared" si="120"/>
        <v>1</v>
      </c>
      <c r="AA201" s="15">
        <f t="shared" si="121"/>
        <v>1</v>
      </c>
      <c r="AB201" s="15">
        <f t="shared" si="122"/>
        <v>1</v>
      </c>
      <c r="AC201" s="15">
        <f t="shared" si="123"/>
        <v>1</v>
      </c>
      <c r="AD201" s="15">
        <f t="shared" si="124"/>
        <v>1</v>
      </c>
      <c r="AE201" s="15">
        <f t="shared" si="125"/>
        <v>1</v>
      </c>
      <c r="AF201" s="15">
        <f t="shared" si="126"/>
        <v>1</v>
      </c>
      <c r="AG201" s="15">
        <f t="shared" si="127"/>
        <v>1</v>
      </c>
      <c r="AH201" s="15">
        <f t="shared" si="128"/>
        <v>1</v>
      </c>
      <c r="AI201" s="15">
        <f t="shared" si="129"/>
        <v>1</v>
      </c>
      <c r="AJ201" s="15">
        <f t="shared" si="130"/>
        <v>1</v>
      </c>
      <c r="AK201" s="15">
        <f t="shared" si="131"/>
        <v>1</v>
      </c>
      <c r="AL201" s="15">
        <f t="shared" si="132"/>
        <v>1</v>
      </c>
      <c r="AM201" s="15">
        <f t="shared" si="133"/>
        <v>1</v>
      </c>
      <c r="AN201" s="15">
        <f t="shared" si="134"/>
        <v>1</v>
      </c>
      <c r="AO201" s="15">
        <f t="shared" si="135"/>
        <v>1</v>
      </c>
      <c r="AP201" s="15">
        <f t="shared" si="136"/>
        <v>1</v>
      </c>
      <c r="AQ201" s="15">
        <f t="shared" si="137"/>
        <v>1</v>
      </c>
      <c r="AR201" s="15">
        <f t="shared" si="138"/>
        <v>1</v>
      </c>
      <c r="AS201" s="15">
        <f t="shared" si="139"/>
        <v>1</v>
      </c>
      <c r="AT201" s="15">
        <f t="shared" si="140"/>
        <v>1</v>
      </c>
      <c r="AU201" s="15">
        <f t="shared" si="141"/>
        <v>1</v>
      </c>
      <c r="AV201" s="15">
        <f t="shared" si="142"/>
        <v>1</v>
      </c>
      <c r="AW201" s="15">
        <f t="shared" si="143"/>
        <v>1</v>
      </c>
      <c r="AX201" s="15">
        <f t="shared" si="144"/>
        <v>1</v>
      </c>
      <c r="AY201" s="15">
        <f t="shared" si="145"/>
        <v>1</v>
      </c>
      <c r="AZ201" s="15">
        <f t="shared" si="146"/>
        <v>1</v>
      </c>
      <c r="BA201" s="15">
        <f t="shared" si="147"/>
        <v>1</v>
      </c>
      <c r="BB201" s="15">
        <f t="shared" si="148"/>
        <v>0</v>
      </c>
      <c r="BC201" s="15" t="str">
        <f t="shared" si="149"/>
        <v/>
      </c>
      <c r="BD201" s="15" t="str">
        <f t="shared" si="150"/>
        <v/>
      </c>
      <c r="BE201" s="11" t="e">
        <f t="shared" si="151"/>
        <v>#VALUE!</v>
      </c>
      <c r="BF201" s="11" t="e">
        <f t="shared" si="152"/>
        <v>#VALUE!</v>
      </c>
      <c r="BG201" s="11" t="e">
        <f t="shared" si="153"/>
        <v>#VALUE!</v>
      </c>
      <c r="BH201" t="str">
        <f t="shared" si="154"/>
        <v/>
      </c>
      <c r="BI201" t="str" cm="1">
        <f t="array" ref="BI201">_xlfn.IFS(
  L201&gt;0,"Critical Fail",
  M201&gt;0,"Important (Coaching)",
  TRUE,"Clean Pass"
)</f>
        <v>Clean Pass</v>
      </c>
      <c r="BJ201" t="str">
        <f t="shared" si="155"/>
        <v>NA</v>
      </c>
    </row>
    <row r="202" spans="1:62" x14ac:dyDescent="0.3">
      <c r="A202">
        <v>739722</v>
      </c>
      <c r="K202" t="str">
        <f t="shared" si="117"/>
        <v>Pass</v>
      </c>
      <c r="L202" s="15">
        <f t="shared" si="118"/>
        <v>0</v>
      </c>
      <c r="M202" s="15">
        <f t="shared" si="119"/>
        <v>0</v>
      </c>
      <c r="Z202" s="15">
        <f t="shared" si="120"/>
        <v>1</v>
      </c>
      <c r="AA202" s="15">
        <f t="shared" si="121"/>
        <v>1</v>
      </c>
      <c r="AB202" s="15">
        <f t="shared" si="122"/>
        <v>1</v>
      </c>
      <c r="AC202" s="15">
        <f t="shared" si="123"/>
        <v>1</v>
      </c>
      <c r="AD202" s="15">
        <f t="shared" si="124"/>
        <v>1</v>
      </c>
      <c r="AE202" s="15">
        <f t="shared" si="125"/>
        <v>1</v>
      </c>
      <c r="AF202" s="15">
        <f t="shared" si="126"/>
        <v>1</v>
      </c>
      <c r="AG202" s="15">
        <f t="shared" si="127"/>
        <v>1</v>
      </c>
      <c r="AH202" s="15">
        <f t="shared" si="128"/>
        <v>1</v>
      </c>
      <c r="AI202" s="15">
        <f t="shared" si="129"/>
        <v>1</v>
      </c>
      <c r="AJ202" s="15">
        <f t="shared" si="130"/>
        <v>1</v>
      </c>
      <c r="AK202" s="15">
        <f t="shared" si="131"/>
        <v>1</v>
      </c>
      <c r="AL202" s="15">
        <f t="shared" si="132"/>
        <v>1</v>
      </c>
      <c r="AM202" s="15">
        <f t="shared" si="133"/>
        <v>1</v>
      </c>
      <c r="AN202" s="15">
        <f t="shared" si="134"/>
        <v>1</v>
      </c>
      <c r="AO202" s="15">
        <f t="shared" si="135"/>
        <v>1</v>
      </c>
      <c r="AP202" s="15">
        <f t="shared" si="136"/>
        <v>1</v>
      </c>
      <c r="AQ202" s="15">
        <f t="shared" si="137"/>
        <v>1</v>
      </c>
      <c r="AR202" s="15">
        <f t="shared" si="138"/>
        <v>1</v>
      </c>
      <c r="AS202" s="15">
        <f t="shared" si="139"/>
        <v>1</v>
      </c>
      <c r="AT202" s="15">
        <f t="shared" si="140"/>
        <v>1</v>
      </c>
      <c r="AU202" s="15">
        <f t="shared" si="141"/>
        <v>1</v>
      </c>
      <c r="AV202" s="15">
        <f t="shared" si="142"/>
        <v>1</v>
      </c>
      <c r="AW202" s="15">
        <f t="shared" si="143"/>
        <v>1</v>
      </c>
      <c r="AX202" s="15">
        <f t="shared" si="144"/>
        <v>1</v>
      </c>
      <c r="AY202" s="15">
        <f t="shared" si="145"/>
        <v>1</v>
      </c>
      <c r="AZ202" s="15">
        <f t="shared" si="146"/>
        <v>1</v>
      </c>
      <c r="BA202" s="15">
        <f t="shared" si="147"/>
        <v>1</v>
      </c>
      <c r="BB202" s="15">
        <f t="shared" si="148"/>
        <v>0</v>
      </c>
      <c r="BC202" s="15" t="str">
        <f t="shared" si="149"/>
        <v/>
      </c>
      <c r="BD202" s="15" t="str">
        <f t="shared" si="150"/>
        <v/>
      </c>
      <c r="BE202" s="11" t="e">
        <f t="shared" si="151"/>
        <v>#VALUE!</v>
      </c>
      <c r="BF202" s="11" t="e">
        <f t="shared" si="152"/>
        <v>#VALUE!</v>
      </c>
      <c r="BG202" s="11" t="e">
        <f t="shared" si="153"/>
        <v>#VALUE!</v>
      </c>
      <c r="BH202" t="str">
        <f t="shared" si="154"/>
        <v/>
      </c>
      <c r="BI202" t="str" cm="1">
        <f t="array" ref="BI202">_xlfn.IFS(
  L202&gt;0,"Critical Fail",
  M202&gt;0,"Important (Coaching)",
  TRUE,"Clean Pass"
)</f>
        <v>Clean Pass</v>
      </c>
      <c r="BJ202" t="str">
        <f t="shared" si="155"/>
        <v>NA</v>
      </c>
    </row>
    <row r="203" spans="1:62" x14ac:dyDescent="0.3">
      <c r="A203">
        <v>974471</v>
      </c>
      <c r="K203" t="str">
        <f t="shared" si="117"/>
        <v>Pass</v>
      </c>
      <c r="L203" s="15">
        <f t="shared" si="118"/>
        <v>0</v>
      </c>
      <c r="M203" s="15">
        <f t="shared" si="119"/>
        <v>0</v>
      </c>
      <c r="Z203" s="15">
        <f t="shared" si="120"/>
        <v>1</v>
      </c>
      <c r="AA203" s="15">
        <f t="shared" si="121"/>
        <v>1</v>
      </c>
      <c r="AB203" s="15">
        <f t="shared" si="122"/>
        <v>1</v>
      </c>
      <c r="AC203" s="15">
        <f t="shared" si="123"/>
        <v>1</v>
      </c>
      <c r="AD203" s="15">
        <f t="shared" si="124"/>
        <v>1</v>
      </c>
      <c r="AE203" s="15">
        <f t="shared" si="125"/>
        <v>1</v>
      </c>
      <c r="AF203" s="15">
        <f t="shared" si="126"/>
        <v>1</v>
      </c>
      <c r="AG203" s="15">
        <f t="shared" si="127"/>
        <v>1</v>
      </c>
      <c r="AH203" s="15">
        <f t="shared" si="128"/>
        <v>1</v>
      </c>
      <c r="AI203" s="15">
        <f t="shared" si="129"/>
        <v>1</v>
      </c>
      <c r="AJ203" s="15">
        <f t="shared" si="130"/>
        <v>1</v>
      </c>
      <c r="AK203" s="15">
        <f t="shared" si="131"/>
        <v>1</v>
      </c>
      <c r="AL203" s="15">
        <f t="shared" si="132"/>
        <v>1</v>
      </c>
      <c r="AM203" s="15">
        <f t="shared" si="133"/>
        <v>1</v>
      </c>
      <c r="AN203" s="15">
        <f t="shared" si="134"/>
        <v>1</v>
      </c>
      <c r="AO203" s="15">
        <f t="shared" si="135"/>
        <v>1</v>
      </c>
      <c r="AP203" s="15">
        <f t="shared" si="136"/>
        <v>1</v>
      </c>
      <c r="AQ203" s="15">
        <f t="shared" si="137"/>
        <v>1</v>
      </c>
      <c r="AR203" s="15">
        <f t="shared" si="138"/>
        <v>1</v>
      </c>
      <c r="AS203" s="15">
        <f t="shared" si="139"/>
        <v>1</v>
      </c>
      <c r="AT203" s="15">
        <f t="shared" si="140"/>
        <v>1</v>
      </c>
      <c r="AU203" s="15">
        <f t="shared" si="141"/>
        <v>1</v>
      </c>
      <c r="AV203" s="15">
        <f t="shared" si="142"/>
        <v>1</v>
      </c>
      <c r="AW203" s="15">
        <f t="shared" si="143"/>
        <v>1</v>
      </c>
      <c r="AX203" s="15">
        <f t="shared" si="144"/>
        <v>1</v>
      </c>
      <c r="AY203" s="15">
        <f t="shared" si="145"/>
        <v>1</v>
      </c>
      <c r="AZ203" s="15">
        <f t="shared" si="146"/>
        <v>1</v>
      </c>
      <c r="BA203" s="15">
        <f t="shared" si="147"/>
        <v>1</v>
      </c>
      <c r="BB203" s="15">
        <f t="shared" si="148"/>
        <v>0</v>
      </c>
      <c r="BC203" s="15" t="str">
        <f t="shared" si="149"/>
        <v/>
      </c>
      <c r="BD203" s="15" t="str">
        <f t="shared" si="150"/>
        <v/>
      </c>
      <c r="BE203" s="11" t="e">
        <f t="shared" si="151"/>
        <v>#VALUE!</v>
      </c>
      <c r="BF203" s="11" t="e">
        <f t="shared" si="152"/>
        <v>#VALUE!</v>
      </c>
      <c r="BG203" s="11" t="e">
        <f t="shared" si="153"/>
        <v>#VALUE!</v>
      </c>
      <c r="BH203" t="str">
        <f t="shared" si="154"/>
        <v/>
      </c>
      <c r="BI203" t="str" cm="1">
        <f t="array" ref="BI203">_xlfn.IFS(
  L203&gt;0,"Critical Fail",
  M203&gt;0,"Important (Coaching)",
  TRUE,"Clean Pass"
)</f>
        <v>Clean Pass</v>
      </c>
      <c r="BJ203" t="str">
        <f t="shared" si="155"/>
        <v>NA</v>
      </c>
    </row>
    <row r="204" spans="1:62" x14ac:dyDescent="0.3">
      <c r="A204">
        <v>132168</v>
      </c>
      <c r="K204" t="str">
        <f t="shared" si="117"/>
        <v>Pass</v>
      </c>
      <c r="L204" s="15">
        <f t="shared" si="118"/>
        <v>0</v>
      </c>
      <c r="M204" s="15">
        <f t="shared" si="119"/>
        <v>0</v>
      </c>
      <c r="Z204" s="15">
        <f t="shared" si="120"/>
        <v>1</v>
      </c>
      <c r="AA204" s="15">
        <f t="shared" si="121"/>
        <v>1</v>
      </c>
      <c r="AB204" s="15">
        <f t="shared" si="122"/>
        <v>1</v>
      </c>
      <c r="AC204" s="15">
        <f t="shared" si="123"/>
        <v>1</v>
      </c>
      <c r="AD204" s="15">
        <f t="shared" si="124"/>
        <v>1</v>
      </c>
      <c r="AE204" s="15">
        <f t="shared" si="125"/>
        <v>1</v>
      </c>
      <c r="AF204" s="15">
        <f t="shared" si="126"/>
        <v>1</v>
      </c>
      <c r="AG204" s="15">
        <f t="shared" si="127"/>
        <v>1</v>
      </c>
      <c r="AH204" s="15">
        <f t="shared" si="128"/>
        <v>1</v>
      </c>
      <c r="AI204" s="15">
        <f t="shared" si="129"/>
        <v>1</v>
      </c>
      <c r="AJ204" s="15">
        <f t="shared" si="130"/>
        <v>1</v>
      </c>
      <c r="AK204" s="15">
        <f t="shared" si="131"/>
        <v>1</v>
      </c>
      <c r="AL204" s="15">
        <f t="shared" si="132"/>
        <v>1</v>
      </c>
      <c r="AM204" s="15">
        <f t="shared" si="133"/>
        <v>1</v>
      </c>
      <c r="AN204" s="15">
        <f t="shared" si="134"/>
        <v>1</v>
      </c>
      <c r="AO204" s="15">
        <f t="shared" si="135"/>
        <v>1</v>
      </c>
      <c r="AP204" s="15">
        <f t="shared" si="136"/>
        <v>1</v>
      </c>
      <c r="AQ204" s="15">
        <f t="shared" si="137"/>
        <v>1</v>
      </c>
      <c r="AR204" s="15">
        <f t="shared" si="138"/>
        <v>1</v>
      </c>
      <c r="AS204" s="15">
        <f t="shared" si="139"/>
        <v>1</v>
      </c>
      <c r="AT204" s="15">
        <f t="shared" si="140"/>
        <v>1</v>
      </c>
      <c r="AU204" s="15">
        <f t="shared" si="141"/>
        <v>1</v>
      </c>
      <c r="AV204" s="15">
        <f t="shared" si="142"/>
        <v>1</v>
      </c>
      <c r="AW204" s="15">
        <f t="shared" si="143"/>
        <v>1</v>
      </c>
      <c r="AX204" s="15">
        <f t="shared" si="144"/>
        <v>1</v>
      </c>
      <c r="AY204" s="15">
        <f t="shared" si="145"/>
        <v>1</v>
      </c>
      <c r="AZ204" s="15">
        <f t="shared" si="146"/>
        <v>1</v>
      </c>
      <c r="BA204" s="15">
        <f t="shared" si="147"/>
        <v>1</v>
      </c>
      <c r="BB204" s="15">
        <f t="shared" si="148"/>
        <v>0</v>
      </c>
      <c r="BC204" s="15" t="str">
        <f t="shared" si="149"/>
        <v/>
      </c>
      <c r="BD204" s="15" t="str">
        <f t="shared" si="150"/>
        <v/>
      </c>
      <c r="BE204" s="11" t="e">
        <f t="shared" si="151"/>
        <v>#VALUE!</v>
      </c>
      <c r="BF204" s="11" t="e">
        <f t="shared" si="152"/>
        <v>#VALUE!</v>
      </c>
      <c r="BG204" s="11" t="e">
        <f t="shared" si="153"/>
        <v>#VALUE!</v>
      </c>
      <c r="BH204" t="str">
        <f t="shared" si="154"/>
        <v/>
      </c>
      <c r="BI204" t="str" cm="1">
        <f t="array" ref="BI204">_xlfn.IFS(
  L204&gt;0,"Critical Fail",
  M204&gt;0,"Important (Coaching)",
  TRUE,"Clean Pass"
)</f>
        <v>Clean Pass</v>
      </c>
      <c r="BJ204" t="str">
        <f t="shared" si="155"/>
        <v>NA</v>
      </c>
    </row>
    <row r="205" spans="1:62" x14ac:dyDescent="0.3">
      <c r="A205">
        <v>223835</v>
      </c>
      <c r="K205" t="str">
        <f t="shared" si="117"/>
        <v>Pass</v>
      </c>
      <c r="L205" s="15">
        <f t="shared" si="118"/>
        <v>0</v>
      </c>
      <c r="M205" s="15">
        <f t="shared" si="119"/>
        <v>0</v>
      </c>
      <c r="Z205" s="15">
        <f t="shared" si="120"/>
        <v>1</v>
      </c>
      <c r="AA205" s="15">
        <f t="shared" si="121"/>
        <v>1</v>
      </c>
      <c r="AB205" s="15">
        <f t="shared" si="122"/>
        <v>1</v>
      </c>
      <c r="AC205" s="15">
        <f t="shared" si="123"/>
        <v>1</v>
      </c>
      <c r="AD205" s="15">
        <f t="shared" si="124"/>
        <v>1</v>
      </c>
      <c r="AE205" s="15">
        <f t="shared" si="125"/>
        <v>1</v>
      </c>
      <c r="AF205" s="15">
        <f t="shared" si="126"/>
        <v>1</v>
      </c>
      <c r="AG205" s="15">
        <f t="shared" si="127"/>
        <v>1</v>
      </c>
      <c r="AH205" s="15">
        <f t="shared" si="128"/>
        <v>1</v>
      </c>
      <c r="AI205" s="15">
        <f t="shared" si="129"/>
        <v>1</v>
      </c>
      <c r="AJ205" s="15">
        <f t="shared" si="130"/>
        <v>1</v>
      </c>
      <c r="AK205" s="15">
        <f t="shared" si="131"/>
        <v>1</v>
      </c>
      <c r="AL205" s="15">
        <f t="shared" si="132"/>
        <v>1</v>
      </c>
      <c r="AM205" s="15">
        <f t="shared" si="133"/>
        <v>1</v>
      </c>
      <c r="AN205" s="15">
        <f t="shared" si="134"/>
        <v>1</v>
      </c>
      <c r="AO205" s="15">
        <f t="shared" si="135"/>
        <v>1</v>
      </c>
      <c r="AP205" s="15">
        <f t="shared" si="136"/>
        <v>1</v>
      </c>
      <c r="AQ205" s="15">
        <f t="shared" si="137"/>
        <v>1</v>
      </c>
      <c r="AR205" s="15">
        <f t="shared" si="138"/>
        <v>1</v>
      </c>
      <c r="AS205" s="15">
        <f t="shared" si="139"/>
        <v>1</v>
      </c>
      <c r="AT205" s="15">
        <f t="shared" si="140"/>
        <v>1</v>
      </c>
      <c r="AU205" s="15">
        <f t="shared" si="141"/>
        <v>1</v>
      </c>
      <c r="AV205" s="15">
        <f t="shared" si="142"/>
        <v>1</v>
      </c>
      <c r="AW205" s="15">
        <f t="shared" si="143"/>
        <v>1</v>
      </c>
      <c r="AX205" s="15">
        <f t="shared" si="144"/>
        <v>1</v>
      </c>
      <c r="AY205" s="15">
        <f t="shared" si="145"/>
        <v>1</v>
      </c>
      <c r="AZ205" s="15">
        <f t="shared" si="146"/>
        <v>1</v>
      </c>
      <c r="BA205" s="15">
        <f t="shared" si="147"/>
        <v>1</v>
      </c>
      <c r="BB205" s="15">
        <f t="shared" si="148"/>
        <v>0</v>
      </c>
      <c r="BC205" s="15" t="str">
        <f t="shared" si="149"/>
        <v/>
      </c>
      <c r="BD205" s="15" t="str">
        <f t="shared" si="150"/>
        <v/>
      </c>
      <c r="BE205" s="11" t="e">
        <f t="shared" si="151"/>
        <v>#VALUE!</v>
      </c>
      <c r="BF205" s="11" t="e">
        <f t="shared" si="152"/>
        <v>#VALUE!</v>
      </c>
      <c r="BG205" s="11" t="e">
        <f t="shared" si="153"/>
        <v>#VALUE!</v>
      </c>
      <c r="BH205" t="str">
        <f t="shared" si="154"/>
        <v/>
      </c>
      <c r="BI205" t="str" cm="1">
        <f t="array" ref="BI205">_xlfn.IFS(
  L205&gt;0,"Critical Fail",
  M205&gt;0,"Important (Coaching)",
  TRUE,"Clean Pass"
)</f>
        <v>Clean Pass</v>
      </c>
      <c r="BJ205" t="str">
        <f t="shared" si="155"/>
        <v>NA</v>
      </c>
    </row>
    <row r="206" spans="1:62" x14ac:dyDescent="0.3">
      <c r="A206">
        <v>618027</v>
      </c>
      <c r="K206" t="str">
        <f t="shared" si="117"/>
        <v>Pass</v>
      </c>
      <c r="L206" s="15">
        <f t="shared" si="118"/>
        <v>0</v>
      </c>
      <c r="M206" s="15">
        <f t="shared" si="119"/>
        <v>0</v>
      </c>
      <c r="Z206" s="15">
        <f t="shared" si="120"/>
        <v>1</v>
      </c>
      <c r="AA206" s="15">
        <f t="shared" si="121"/>
        <v>1</v>
      </c>
      <c r="AB206" s="15">
        <f t="shared" si="122"/>
        <v>1</v>
      </c>
      <c r="AC206" s="15">
        <f t="shared" si="123"/>
        <v>1</v>
      </c>
      <c r="AD206" s="15">
        <f t="shared" si="124"/>
        <v>1</v>
      </c>
      <c r="AE206" s="15">
        <f t="shared" si="125"/>
        <v>1</v>
      </c>
      <c r="AF206" s="15">
        <f t="shared" si="126"/>
        <v>1</v>
      </c>
      <c r="AG206" s="15">
        <f t="shared" si="127"/>
        <v>1</v>
      </c>
      <c r="AH206" s="15">
        <f t="shared" si="128"/>
        <v>1</v>
      </c>
      <c r="AI206" s="15">
        <f t="shared" si="129"/>
        <v>1</v>
      </c>
      <c r="AJ206" s="15">
        <f t="shared" si="130"/>
        <v>1</v>
      </c>
      <c r="AK206" s="15">
        <f t="shared" si="131"/>
        <v>1</v>
      </c>
      <c r="AL206" s="15">
        <f t="shared" si="132"/>
        <v>1</v>
      </c>
      <c r="AM206" s="15">
        <f t="shared" si="133"/>
        <v>1</v>
      </c>
      <c r="AN206" s="15">
        <f t="shared" si="134"/>
        <v>1</v>
      </c>
      <c r="AO206" s="15">
        <f t="shared" si="135"/>
        <v>1</v>
      </c>
      <c r="AP206" s="15">
        <f t="shared" si="136"/>
        <v>1</v>
      </c>
      <c r="AQ206" s="15">
        <f t="shared" si="137"/>
        <v>1</v>
      </c>
      <c r="AR206" s="15">
        <f t="shared" si="138"/>
        <v>1</v>
      </c>
      <c r="AS206" s="15">
        <f t="shared" si="139"/>
        <v>1</v>
      </c>
      <c r="AT206" s="15">
        <f t="shared" si="140"/>
        <v>1</v>
      </c>
      <c r="AU206" s="15">
        <f t="shared" si="141"/>
        <v>1</v>
      </c>
      <c r="AV206" s="15">
        <f t="shared" si="142"/>
        <v>1</v>
      </c>
      <c r="AW206" s="15">
        <f t="shared" si="143"/>
        <v>1</v>
      </c>
      <c r="AX206" s="15">
        <f t="shared" si="144"/>
        <v>1</v>
      </c>
      <c r="AY206" s="15">
        <f t="shared" si="145"/>
        <v>1</v>
      </c>
      <c r="AZ206" s="15">
        <f t="shared" si="146"/>
        <v>1</v>
      </c>
      <c r="BA206" s="15">
        <f t="shared" si="147"/>
        <v>1</v>
      </c>
      <c r="BB206" s="15">
        <f t="shared" si="148"/>
        <v>0</v>
      </c>
      <c r="BC206" s="15" t="str">
        <f t="shared" si="149"/>
        <v/>
      </c>
      <c r="BD206" s="15" t="str">
        <f t="shared" si="150"/>
        <v/>
      </c>
      <c r="BE206" s="11" t="e">
        <f t="shared" si="151"/>
        <v>#VALUE!</v>
      </c>
      <c r="BF206" s="11" t="e">
        <f t="shared" si="152"/>
        <v>#VALUE!</v>
      </c>
      <c r="BG206" s="11" t="e">
        <f t="shared" si="153"/>
        <v>#VALUE!</v>
      </c>
      <c r="BH206" t="str">
        <f t="shared" si="154"/>
        <v/>
      </c>
      <c r="BI206" t="str" cm="1">
        <f t="array" ref="BI206">_xlfn.IFS(
  L206&gt;0,"Critical Fail",
  M206&gt;0,"Important (Coaching)",
  TRUE,"Clean Pass"
)</f>
        <v>Clean Pass</v>
      </c>
      <c r="BJ206" t="str">
        <f t="shared" si="155"/>
        <v>NA</v>
      </c>
    </row>
    <row r="207" spans="1:62" x14ac:dyDescent="0.3">
      <c r="A207">
        <v>307932</v>
      </c>
      <c r="K207" t="str">
        <f t="shared" si="117"/>
        <v>Pass</v>
      </c>
      <c r="L207" s="15">
        <f t="shared" si="118"/>
        <v>0</v>
      </c>
      <c r="M207" s="15">
        <f t="shared" si="119"/>
        <v>0</v>
      </c>
      <c r="Z207" s="15">
        <f t="shared" si="120"/>
        <v>1</v>
      </c>
      <c r="AA207" s="15">
        <f t="shared" si="121"/>
        <v>1</v>
      </c>
      <c r="AB207" s="15">
        <f t="shared" si="122"/>
        <v>1</v>
      </c>
      <c r="AC207" s="15">
        <f t="shared" si="123"/>
        <v>1</v>
      </c>
      <c r="AD207" s="15">
        <f t="shared" si="124"/>
        <v>1</v>
      </c>
      <c r="AE207" s="15">
        <f t="shared" si="125"/>
        <v>1</v>
      </c>
      <c r="AF207" s="15">
        <f t="shared" si="126"/>
        <v>1</v>
      </c>
      <c r="AG207" s="15">
        <f t="shared" si="127"/>
        <v>1</v>
      </c>
      <c r="AH207" s="15">
        <f t="shared" si="128"/>
        <v>1</v>
      </c>
      <c r="AI207" s="15">
        <f t="shared" si="129"/>
        <v>1</v>
      </c>
      <c r="AJ207" s="15">
        <f t="shared" si="130"/>
        <v>1</v>
      </c>
      <c r="AK207" s="15">
        <f t="shared" si="131"/>
        <v>1</v>
      </c>
      <c r="AL207" s="15">
        <f t="shared" si="132"/>
        <v>1</v>
      </c>
      <c r="AM207" s="15">
        <f t="shared" si="133"/>
        <v>1</v>
      </c>
      <c r="AN207" s="15">
        <f t="shared" si="134"/>
        <v>1</v>
      </c>
      <c r="AO207" s="15">
        <f t="shared" si="135"/>
        <v>1</v>
      </c>
      <c r="AP207" s="15">
        <f t="shared" si="136"/>
        <v>1</v>
      </c>
      <c r="AQ207" s="15">
        <f t="shared" si="137"/>
        <v>1</v>
      </c>
      <c r="AR207" s="15">
        <f t="shared" si="138"/>
        <v>1</v>
      </c>
      <c r="AS207" s="15">
        <f t="shared" si="139"/>
        <v>1</v>
      </c>
      <c r="AT207" s="15">
        <f t="shared" si="140"/>
        <v>1</v>
      </c>
      <c r="AU207" s="15">
        <f t="shared" si="141"/>
        <v>1</v>
      </c>
      <c r="AV207" s="15">
        <f t="shared" si="142"/>
        <v>1</v>
      </c>
      <c r="AW207" s="15">
        <f t="shared" si="143"/>
        <v>1</v>
      </c>
      <c r="AX207" s="15">
        <f t="shared" si="144"/>
        <v>1</v>
      </c>
      <c r="AY207" s="15">
        <f t="shared" si="145"/>
        <v>1</v>
      </c>
      <c r="AZ207" s="15">
        <f t="shared" si="146"/>
        <v>1</v>
      </c>
      <c r="BA207" s="15">
        <f t="shared" si="147"/>
        <v>1</v>
      </c>
      <c r="BB207" s="15">
        <f t="shared" si="148"/>
        <v>0</v>
      </c>
      <c r="BC207" s="15" t="str">
        <f t="shared" si="149"/>
        <v/>
      </c>
      <c r="BD207" s="15" t="str">
        <f t="shared" si="150"/>
        <v/>
      </c>
      <c r="BE207" s="11" t="e">
        <f t="shared" si="151"/>
        <v>#VALUE!</v>
      </c>
      <c r="BF207" s="11" t="e">
        <f t="shared" si="152"/>
        <v>#VALUE!</v>
      </c>
      <c r="BG207" s="11" t="e">
        <f t="shared" si="153"/>
        <v>#VALUE!</v>
      </c>
      <c r="BH207" t="str">
        <f t="shared" si="154"/>
        <v/>
      </c>
      <c r="BI207" t="str" cm="1">
        <f t="array" ref="BI207">_xlfn.IFS(
  L207&gt;0,"Critical Fail",
  M207&gt;0,"Important (Coaching)",
  TRUE,"Clean Pass"
)</f>
        <v>Clean Pass</v>
      </c>
      <c r="BJ207" t="str">
        <f t="shared" si="155"/>
        <v>NA</v>
      </c>
    </row>
    <row r="208" spans="1:62" x14ac:dyDescent="0.3">
      <c r="A208">
        <v>532787</v>
      </c>
      <c r="K208" t="str">
        <f t="shared" si="117"/>
        <v>Pass</v>
      </c>
      <c r="L208" s="15">
        <f t="shared" si="118"/>
        <v>0</v>
      </c>
      <c r="M208" s="15">
        <f t="shared" si="119"/>
        <v>0</v>
      </c>
      <c r="Z208" s="15">
        <f t="shared" si="120"/>
        <v>1</v>
      </c>
      <c r="AA208" s="15">
        <f t="shared" si="121"/>
        <v>1</v>
      </c>
      <c r="AB208" s="15">
        <f t="shared" si="122"/>
        <v>1</v>
      </c>
      <c r="AC208" s="15">
        <f t="shared" si="123"/>
        <v>1</v>
      </c>
      <c r="AD208" s="15">
        <f t="shared" si="124"/>
        <v>1</v>
      </c>
      <c r="AE208" s="15">
        <f t="shared" si="125"/>
        <v>1</v>
      </c>
      <c r="AF208" s="15">
        <f t="shared" si="126"/>
        <v>1</v>
      </c>
      <c r="AG208" s="15">
        <f t="shared" si="127"/>
        <v>1</v>
      </c>
      <c r="AH208" s="15">
        <f t="shared" si="128"/>
        <v>1</v>
      </c>
      <c r="AI208" s="15">
        <f t="shared" si="129"/>
        <v>1</v>
      </c>
      <c r="AJ208" s="15">
        <f t="shared" si="130"/>
        <v>1</v>
      </c>
      <c r="AK208" s="15">
        <f t="shared" si="131"/>
        <v>1</v>
      </c>
      <c r="AL208" s="15">
        <f t="shared" si="132"/>
        <v>1</v>
      </c>
      <c r="AM208" s="15">
        <f t="shared" si="133"/>
        <v>1</v>
      </c>
      <c r="AN208" s="15">
        <f t="shared" si="134"/>
        <v>1</v>
      </c>
      <c r="AO208" s="15">
        <f t="shared" si="135"/>
        <v>1</v>
      </c>
      <c r="AP208" s="15">
        <f t="shared" si="136"/>
        <v>1</v>
      </c>
      <c r="AQ208" s="15">
        <f t="shared" si="137"/>
        <v>1</v>
      </c>
      <c r="AR208" s="15">
        <f t="shared" si="138"/>
        <v>1</v>
      </c>
      <c r="AS208" s="15">
        <f t="shared" si="139"/>
        <v>1</v>
      </c>
      <c r="AT208" s="15">
        <f t="shared" si="140"/>
        <v>1</v>
      </c>
      <c r="AU208" s="15">
        <f t="shared" si="141"/>
        <v>1</v>
      </c>
      <c r="AV208" s="15">
        <f t="shared" si="142"/>
        <v>1</v>
      </c>
      <c r="AW208" s="15">
        <f t="shared" si="143"/>
        <v>1</v>
      </c>
      <c r="AX208" s="15">
        <f t="shared" si="144"/>
        <v>1</v>
      </c>
      <c r="AY208" s="15">
        <f t="shared" si="145"/>
        <v>1</v>
      </c>
      <c r="AZ208" s="15">
        <f t="shared" si="146"/>
        <v>1</v>
      </c>
      <c r="BA208" s="15">
        <f t="shared" si="147"/>
        <v>1</v>
      </c>
      <c r="BB208" s="15">
        <f t="shared" si="148"/>
        <v>0</v>
      </c>
      <c r="BC208" s="15" t="str">
        <f t="shared" si="149"/>
        <v/>
      </c>
      <c r="BD208" s="15" t="str">
        <f t="shared" si="150"/>
        <v/>
      </c>
      <c r="BE208" s="11" t="e">
        <f t="shared" si="151"/>
        <v>#VALUE!</v>
      </c>
      <c r="BF208" s="11" t="e">
        <f t="shared" si="152"/>
        <v>#VALUE!</v>
      </c>
      <c r="BG208" s="11" t="e">
        <f t="shared" si="153"/>
        <v>#VALUE!</v>
      </c>
      <c r="BH208" t="str">
        <f t="shared" si="154"/>
        <v/>
      </c>
      <c r="BI208" t="str" cm="1">
        <f t="array" ref="BI208">_xlfn.IFS(
  L208&gt;0,"Critical Fail",
  M208&gt;0,"Important (Coaching)",
  TRUE,"Clean Pass"
)</f>
        <v>Clean Pass</v>
      </c>
      <c r="BJ208" t="str">
        <f t="shared" si="155"/>
        <v>NA</v>
      </c>
    </row>
    <row r="209" spans="1:62" x14ac:dyDescent="0.3">
      <c r="A209">
        <v>865836</v>
      </c>
      <c r="K209" t="str">
        <f t="shared" si="117"/>
        <v>Pass</v>
      </c>
      <c r="L209" s="15">
        <f t="shared" si="118"/>
        <v>0</v>
      </c>
      <c r="M209" s="15">
        <f t="shared" si="119"/>
        <v>0</v>
      </c>
      <c r="Z209" s="15">
        <f t="shared" si="120"/>
        <v>1</v>
      </c>
      <c r="AA209" s="15">
        <f t="shared" si="121"/>
        <v>1</v>
      </c>
      <c r="AB209" s="15">
        <f t="shared" si="122"/>
        <v>1</v>
      </c>
      <c r="AC209" s="15">
        <f t="shared" si="123"/>
        <v>1</v>
      </c>
      <c r="AD209" s="15">
        <f t="shared" si="124"/>
        <v>1</v>
      </c>
      <c r="AE209" s="15">
        <f t="shared" si="125"/>
        <v>1</v>
      </c>
      <c r="AF209" s="15">
        <f t="shared" si="126"/>
        <v>1</v>
      </c>
      <c r="AG209" s="15">
        <f t="shared" si="127"/>
        <v>1</v>
      </c>
      <c r="AH209" s="15">
        <f t="shared" si="128"/>
        <v>1</v>
      </c>
      <c r="AI209" s="15">
        <f t="shared" si="129"/>
        <v>1</v>
      </c>
      <c r="AJ209" s="15">
        <f t="shared" si="130"/>
        <v>1</v>
      </c>
      <c r="AK209" s="15">
        <f t="shared" si="131"/>
        <v>1</v>
      </c>
      <c r="AL209" s="15">
        <f t="shared" si="132"/>
        <v>1</v>
      </c>
      <c r="AM209" s="15">
        <f t="shared" si="133"/>
        <v>1</v>
      </c>
      <c r="AN209" s="15">
        <f t="shared" si="134"/>
        <v>1</v>
      </c>
      <c r="AO209" s="15">
        <f t="shared" si="135"/>
        <v>1</v>
      </c>
      <c r="AP209" s="15">
        <f t="shared" si="136"/>
        <v>1</v>
      </c>
      <c r="AQ209" s="15">
        <f t="shared" si="137"/>
        <v>1</v>
      </c>
      <c r="AR209" s="15">
        <f t="shared" si="138"/>
        <v>1</v>
      </c>
      <c r="AS209" s="15">
        <f t="shared" si="139"/>
        <v>1</v>
      </c>
      <c r="AT209" s="15">
        <f t="shared" si="140"/>
        <v>1</v>
      </c>
      <c r="AU209" s="15">
        <f t="shared" si="141"/>
        <v>1</v>
      </c>
      <c r="AV209" s="15">
        <f t="shared" si="142"/>
        <v>1</v>
      </c>
      <c r="AW209" s="15">
        <f t="shared" si="143"/>
        <v>1</v>
      </c>
      <c r="AX209" s="15">
        <f t="shared" si="144"/>
        <v>1</v>
      </c>
      <c r="AY209" s="15">
        <f t="shared" si="145"/>
        <v>1</v>
      </c>
      <c r="AZ209" s="15">
        <f t="shared" si="146"/>
        <v>1</v>
      </c>
      <c r="BA209" s="15">
        <f t="shared" si="147"/>
        <v>1</v>
      </c>
      <c r="BB209" s="15">
        <f t="shared" si="148"/>
        <v>0</v>
      </c>
      <c r="BC209" s="15" t="str">
        <f t="shared" si="149"/>
        <v/>
      </c>
      <c r="BD209" s="15" t="str">
        <f t="shared" si="150"/>
        <v/>
      </c>
      <c r="BE209" s="11" t="e">
        <f t="shared" si="151"/>
        <v>#VALUE!</v>
      </c>
      <c r="BF209" s="11" t="e">
        <f t="shared" si="152"/>
        <v>#VALUE!</v>
      </c>
      <c r="BG209" s="11" t="e">
        <f t="shared" si="153"/>
        <v>#VALUE!</v>
      </c>
      <c r="BH209" t="str">
        <f t="shared" si="154"/>
        <v/>
      </c>
      <c r="BI209" t="str" cm="1">
        <f t="array" ref="BI209">_xlfn.IFS(
  L209&gt;0,"Critical Fail",
  M209&gt;0,"Important (Coaching)",
  TRUE,"Clean Pass"
)</f>
        <v>Clean Pass</v>
      </c>
      <c r="BJ209" t="str">
        <f t="shared" si="155"/>
        <v>NA</v>
      </c>
    </row>
    <row r="210" spans="1:62" x14ac:dyDescent="0.3">
      <c r="A210">
        <v>636323</v>
      </c>
      <c r="K210" t="str">
        <f t="shared" si="117"/>
        <v>Pass</v>
      </c>
      <c r="L210" s="15">
        <f t="shared" si="118"/>
        <v>0</v>
      </c>
      <c r="M210" s="15">
        <f t="shared" si="119"/>
        <v>0</v>
      </c>
      <c r="Z210" s="15">
        <f t="shared" si="120"/>
        <v>1</v>
      </c>
      <c r="AA210" s="15">
        <f t="shared" si="121"/>
        <v>1</v>
      </c>
      <c r="AB210" s="15">
        <f t="shared" si="122"/>
        <v>1</v>
      </c>
      <c r="AC210" s="15">
        <f t="shared" si="123"/>
        <v>1</v>
      </c>
      <c r="AD210" s="15">
        <f t="shared" si="124"/>
        <v>1</v>
      </c>
      <c r="AE210" s="15">
        <f t="shared" si="125"/>
        <v>1</v>
      </c>
      <c r="AF210" s="15">
        <f t="shared" si="126"/>
        <v>1</v>
      </c>
      <c r="AG210" s="15">
        <f t="shared" si="127"/>
        <v>1</v>
      </c>
      <c r="AH210" s="15">
        <f t="shared" si="128"/>
        <v>1</v>
      </c>
      <c r="AI210" s="15">
        <f t="shared" si="129"/>
        <v>1</v>
      </c>
      <c r="AJ210" s="15">
        <f t="shared" si="130"/>
        <v>1</v>
      </c>
      <c r="AK210" s="15">
        <f t="shared" si="131"/>
        <v>1</v>
      </c>
      <c r="AL210" s="15">
        <f t="shared" si="132"/>
        <v>1</v>
      </c>
      <c r="AM210" s="15">
        <f t="shared" si="133"/>
        <v>1</v>
      </c>
      <c r="AN210" s="15">
        <f t="shared" si="134"/>
        <v>1</v>
      </c>
      <c r="AO210" s="15">
        <f t="shared" si="135"/>
        <v>1</v>
      </c>
      <c r="AP210" s="15">
        <f t="shared" si="136"/>
        <v>1</v>
      </c>
      <c r="AQ210" s="15">
        <f t="shared" si="137"/>
        <v>1</v>
      </c>
      <c r="AR210" s="15">
        <f t="shared" si="138"/>
        <v>1</v>
      </c>
      <c r="AS210" s="15">
        <f t="shared" si="139"/>
        <v>1</v>
      </c>
      <c r="AT210" s="15">
        <f t="shared" si="140"/>
        <v>1</v>
      </c>
      <c r="AU210" s="15">
        <f t="shared" si="141"/>
        <v>1</v>
      </c>
      <c r="AV210" s="15">
        <f t="shared" si="142"/>
        <v>1</v>
      </c>
      <c r="AW210" s="15">
        <f t="shared" si="143"/>
        <v>1</v>
      </c>
      <c r="AX210" s="15">
        <f t="shared" si="144"/>
        <v>1</v>
      </c>
      <c r="AY210" s="15">
        <f t="shared" si="145"/>
        <v>1</v>
      </c>
      <c r="AZ210" s="15">
        <f t="shared" si="146"/>
        <v>1</v>
      </c>
      <c r="BA210" s="15">
        <f t="shared" si="147"/>
        <v>1</v>
      </c>
      <c r="BB210" s="15">
        <f t="shared" si="148"/>
        <v>0</v>
      </c>
      <c r="BC210" s="15" t="str">
        <f t="shared" si="149"/>
        <v/>
      </c>
      <c r="BD210" s="15" t="str">
        <f t="shared" si="150"/>
        <v/>
      </c>
      <c r="BE210" s="11" t="e">
        <f t="shared" si="151"/>
        <v>#VALUE!</v>
      </c>
      <c r="BF210" s="11" t="e">
        <f t="shared" si="152"/>
        <v>#VALUE!</v>
      </c>
      <c r="BG210" s="11" t="e">
        <f t="shared" si="153"/>
        <v>#VALUE!</v>
      </c>
      <c r="BH210" t="str">
        <f t="shared" si="154"/>
        <v/>
      </c>
      <c r="BI210" t="str" cm="1">
        <f t="array" ref="BI210">_xlfn.IFS(
  L210&gt;0,"Critical Fail",
  M210&gt;0,"Important (Coaching)",
  TRUE,"Clean Pass"
)</f>
        <v>Clean Pass</v>
      </c>
      <c r="BJ210" t="str">
        <f t="shared" si="155"/>
        <v>NA</v>
      </c>
    </row>
    <row r="211" spans="1:62" x14ac:dyDescent="0.3">
      <c r="A211">
        <v>510906</v>
      </c>
      <c r="K211" t="str">
        <f t="shared" si="117"/>
        <v>Pass</v>
      </c>
      <c r="L211" s="15">
        <f t="shared" si="118"/>
        <v>0</v>
      </c>
      <c r="M211" s="15">
        <f t="shared" si="119"/>
        <v>0</v>
      </c>
      <c r="Z211" s="15">
        <f t="shared" si="120"/>
        <v>1</v>
      </c>
      <c r="AA211" s="15">
        <f t="shared" si="121"/>
        <v>1</v>
      </c>
      <c r="AB211" s="15">
        <f t="shared" si="122"/>
        <v>1</v>
      </c>
      <c r="AC211" s="15">
        <f t="shared" si="123"/>
        <v>1</v>
      </c>
      <c r="AD211" s="15">
        <f t="shared" si="124"/>
        <v>1</v>
      </c>
      <c r="AE211" s="15">
        <f t="shared" si="125"/>
        <v>1</v>
      </c>
      <c r="AF211" s="15">
        <f t="shared" si="126"/>
        <v>1</v>
      </c>
      <c r="AG211" s="15">
        <f t="shared" si="127"/>
        <v>1</v>
      </c>
      <c r="AH211" s="15">
        <f t="shared" si="128"/>
        <v>1</v>
      </c>
      <c r="AI211" s="15">
        <f t="shared" si="129"/>
        <v>1</v>
      </c>
      <c r="AJ211" s="15">
        <f t="shared" si="130"/>
        <v>1</v>
      </c>
      <c r="AK211" s="15">
        <f t="shared" si="131"/>
        <v>1</v>
      </c>
      <c r="AL211" s="15">
        <f t="shared" si="132"/>
        <v>1</v>
      </c>
      <c r="AM211" s="15">
        <f t="shared" si="133"/>
        <v>1</v>
      </c>
      <c r="AN211" s="15">
        <f t="shared" si="134"/>
        <v>1</v>
      </c>
      <c r="AO211" s="15">
        <f t="shared" si="135"/>
        <v>1</v>
      </c>
      <c r="AP211" s="15">
        <f t="shared" si="136"/>
        <v>1</v>
      </c>
      <c r="AQ211" s="15">
        <f t="shared" si="137"/>
        <v>1</v>
      </c>
      <c r="AR211" s="15">
        <f t="shared" si="138"/>
        <v>1</v>
      </c>
      <c r="AS211" s="15">
        <f t="shared" si="139"/>
        <v>1</v>
      </c>
      <c r="AT211" s="15">
        <f t="shared" si="140"/>
        <v>1</v>
      </c>
      <c r="AU211" s="15">
        <f t="shared" si="141"/>
        <v>1</v>
      </c>
      <c r="AV211" s="15">
        <f t="shared" si="142"/>
        <v>1</v>
      </c>
      <c r="AW211" s="15">
        <f t="shared" si="143"/>
        <v>1</v>
      </c>
      <c r="AX211" s="15">
        <f t="shared" si="144"/>
        <v>1</v>
      </c>
      <c r="AY211" s="15">
        <f t="shared" si="145"/>
        <v>1</v>
      </c>
      <c r="AZ211" s="15">
        <f t="shared" si="146"/>
        <v>1</v>
      </c>
      <c r="BA211" s="15">
        <f t="shared" si="147"/>
        <v>1</v>
      </c>
      <c r="BB211" s="15">
        <f t="shared" si="148"/>
        <v>0</v>
      </c>
      <c r="BC211" s="15" t="str">
        <f t="shared" si="149"/>
        <v/>
      </c>
      <c r="BD211" s="15" t="str">
        <f t="shared" si="150"/>
        <v/>
      </c>
      <c r="BE211" s="11" t="e">
        <f t="shared" si="151"/>
        <v>#VALUE!</v>
      </c>
      <c r="BF211" s="11" t="e">
        <f t="shared" si="152"/>
        <v>#VALUE!</v>
      </c>
      <c r="BG211" s="11" t="e">
        <f t="shared" si="153"/>
        <v>#VALUE!</v>
      </c>
      <c r="BH211" t="str">
        <f t="shared" si="154"/>
        <v/>
      </c>
      <c r="BI211" t="str" cm="1">
        <f t="array" ref="BI211">_xlfn.IFS(
  L211&gt;0,"Critical Fail",
  M211&gt;0,"Important (Coaching)",
  TRUE,"Clean Pass"
)</f>
        <v>Clean Pass</v>
      </c>
      <c r="BJ211" t="str">
        <f t="shared" si="155"/>
        <v>NA</v>
      </c>
    </row>
    <row r="212" spans="1:62" x14ac:dyDescent="0.3">
      <c r="A212">
        <v>727334</v>
      </c>
      <c r="K212" t="str">
        <f t="shared" si="117"/>
        <v>Pass</v>
      </c>
      <c r="L212" s="15">
        <f t="shared" si="118"/>
        <v>0</v>
      </c>
      <c r="M212" s="15">
        <f t="shared" si="119"/>
        <v>0</v>
      </c>
      <c r="Z212" s="15">
        <f t="shared" si="120"/>
        <v>1</v>
      </c>
      <c r="AA212" s="15">
        <f t="shared" si="121"/>
        <v>1</v>
      </c>
      <c r="AB212" s="15">
        <f t="shared" si="122"/>
        <v>1</v>
      </c>
      <c r="AC212" s="15">
        <f t="shared" si="123"/>
        <v>1</v>
      </c>
      <c r="AD212" s="15">
        <f t="shared" si="124"/>
        <v>1</v>
      </c>
      <c r="AE212" s="15">
        <f t="shared" si="125"/>
        <v>1</v>
      </c>
      <c r="AF212" s="15">
        <f t="shared" si="126"/>
        <v>1</v>
      </c>
      <c r="AG212" s="15">
        <f t="shared" si="127"/>
        <v>1</v>
      </c>
      <c r="AH212" s="15">
        <f t="shared" si="128"/>
        <v>1</v>
      </c>
      <c r="AI212" s="15">
        <f t="shared" si="129"/>
        <v>1</v>
      </c>
      <c r="AJ212" s="15">
        <f t="shared" si="130"/>
        <v>1</v>
      </c>
      <c r="AK212" s="15">
        <f t="shared" si="131"/>
        <v>1</v>
      </c>
      <c r="AL212" s="15">
        <f t="shared" si="132"/>
        <v>1</v>
      </c>
      <c r="AM212" s="15">
        <f t="shared" si="133"/>
        <v>1</v>
      </c>
      <c r="AN212" s="15">
        <f t="shared" si="134"/>
        <v>1</v>
      </c>
      <c r="AO212" s="15">
        <f t="shared" si="135"/>
        <v>1</v>
      </c>
      <c r="AP212" s="15">
        <f t="shared" si="136"/>
        <v>1</v>
      </c>
      <c r="AQ212" s="15">
        <f t="shared" si="137"/>
        <v>1</v>
      </c>
      <c r="AR212" s="15">
        <f t="shared" si="138"/>
        <v>1</v>
      </c>
      <c r="AS212" s="15">
        <f t="shared" si="139"/>
        <v>1</v>
      </c>
      <c r="AT212" s="15">
        <f t="shared" si="140"/>
        <v>1</v>
      </c>
      <c r="AU212" s="15">
        <f t="shared" si="141"/>
        <v>1</v>
      </c>
      <c r="AV212" s="15">
        <f t="shared" si="142"/>
        <v>1</v>
      </c>
      <c r="AW212" s="15">
        <f t="shared" si="143"/>
        <v>1</v>
      </c>
      <c r="AX212" s="15">
        <f t="shared" si="144"/>
        <v>1</v>
      </c>
      <c r="AY212" s="15">
        <f t="shared" si="145"/>
        <v>1</v>
      </c>
      <c r="AZ212" s="15">
        <f t="shared" si="146"/>
        <v>1</v>
      </c>
      <c r="BA212" s="15">
        <f t="shared" si="147"/>
        <v>1</v>
      </c>
      <c r="BB212" s="15">
        <f t="shared" si="148"/>
        <v>0</v>
      </c>
      <c r="BC212" s="15" t="str">
        <f t="shared" si="149"/>
        <v/>
      </c>
      <c r="BD212" s="15" t="str">
        <f t="shared" si="150"/>
        <v/>
      </c>
      <c r="BE212" s="11" t="e">
        <f t="shared" si="151"/>
        <v>#VALUE!</v>
      </c>
      <c r="BF212" s="11" t="e">
        <f t="shared" si="152"/>
        <v>#VALUE!</v>
      </c>
      <c r="BG212" s="11" t="e">
        <f t="shared" si="153"/>
        <v>#VALUE!</v>
      </c>
      <c r="BH212" t="str">
        <f t="shared" si="154"/>
        <v/>
      </c>
      <c r="BI212" t="str" cm="1">
        <f t="array" ref="BI212">_xlfn.IFS(
  L212&gt;0,"Critical Fail",
  M212&gt;0,"Important (Coaching)",
  TRUE,"Clean Pass"
)</f>
        <v>Clean Pass</v>
      </c>
      <c r="BJ212" t="str">
        <f t="shared" si="155"/>
        <v>NA</v>
      </c>
    </row>
    <row r="213" spans="1:62" x14ac:dyDescent="0.3">
      <c r="A213">
        <v>115529</v>
      </c>
      <c r="K213" t="str">
        <f t="shared" si="117"/>
        <v>Pass</v>
      </c>
      <c r="L213" s="15">
        <f t="shared" si="118"/>
        <v>0</v>
      </c>
      <c r="M213" s="15">
        <f t="shared" si="119"/>
        <v>0</v>
      </c>
      <c r="Z213" s="15">
        <f t="shared" si="120"/>
        <v>1</v>
      </c>
      <c r="AA213" s="15">
        <f t="shared" si="121"/>
        <v>1</v>
      </c>
      <c r="AB213" s="15">
        <f t="shared" si="122"/>
        <v>1</v>
      </c>
      <c r="AC213" s="15">
        <f t="shared" si="123"/>
        <v>1</v>
      </c>
      <c r="AD213" s="15">
        <f t="shared" si="124"/>
        <v>1</v>
      </c>
      <c r="AE213" s="15">
        <f t="shared" si="125"/>
        <v>1</v>
      </c>
      <c r="AF213" s="15">
        <f t="shared" si="126"/>
        <v>1</v>
      </c>
      <c r="AG213" s="15">
        <f t="shared" si="127"/>
        <v>1</v>
      </c>
      <c r="AH213" s="15">
        <f t="shared" si="128"/>
        <v>1</v>
      </c>
      <c r="AI213" s="15">
        <f t="shared" si="129"/>
        <v>1</v>
      </c>
      <c r="AJ213" s="15">
        <f t="shared" si="130"/>
        <v>1</v>
      </c>
      <c r="AK213" s="15">
        <f t="shared" si="131"/>
        <v>1</v>
      </c>
      <c r="AL213" s="15">
        <f t="shared" si="132"/>
        <v>1</v>
      </c>
      <c r="AM213" s="15">
        <f t="shared" si="133"/>
        <v>1</v>
      </c>
      <c r="AN213" s="15">
        <f t="shared" si="134"/>
        <v>1</v>
      </c>
      <c r="AO213" s="15">
        <f t="shared" si="135"/>
        <v>1</v>
      </c>
      <c r="AP213" s="15">
        <f t="shared" si="136"/>
        <v>1</v>
      </c>
      <c r="AQ213" s="15">
        <f t="shared" si="137"/>
        <v>1</v>
      </c>
      <c r="AR213" s="15">
        <f t="shared" si="138"/>
        <v>1</v>
      </c>
      <c r="AS213" s="15">
        <f t="shared" si="139"/>
        <v>1</v>
      </c>
      <c r="AT213" s="15">
        <f t="shared" si="140"/>
        <v>1</v>
      </c>
      <c r="AU213" s="15">
        <f t="shared" si="141"/>
        <v>1</v>
      </c>
      <c r="AV213" s="15">
        <f t="shared" si="142"/>
        <v>1</v>
      </c>
      <c r="AW213" s="15">
        <f t="shared" si="143"/>
        <v>1</v>
      </c>
      <c r="AX213" s="15">
        <f t="shared" si="144"/>
        <v>1</v>
      </c>
      <c r="AY213" s="15">
        <f t="shared" si="145"/>
        <v>1</v>
      </c>
      <c r="AZ213" s="15">
        <f t="shared" si="146"/>
        <v>1</v>
      </c>
      <c r="BA213" s="15">
        <f t="shared" si="147"/>
        <v>1</v>
      </c>
      <c r="BB213" s="15">
        <f t="shared" si="148"/>
        <v>0</v>
      </c>
      <c r="BC213" s="15" t="str">
        <f t="shared" si="149"/>
        <v/>
      </c>
      <c r="BD213" s="15" t="str">
        <f t="shared" si="150"/>
        <v/>
      </c>
      <c r="BE213" s="11" t="e">
        <f t="shared" si="151"/>
        <v>#VALUE!</v>
      </c>
      <c r="BF213" s="11" t="e">
        <f t="shared" si="152"/>
        <v>#VALUE!</v>
      </c>
      <c r="BG213" s="11" t="e">
        <f t="shared" si="153"/>
        <v>#VALUE!</v>
      </c>
      <c r="BH213" t="str">
        <f t="shared" si="154"/>
        <v/>
      </c>
      <c r="BI213" t="str" cm="1">
        <f t="array" ref="BI213">_xlfn.IFS(
  L213&gt;0,"Critical Fail",
  M213&gt;0,"Important (Coaching)",
  TRUE,"Clean Pass"
)</f>
        <v>Clean Pass</v>
      </c>
      <c r="BJ213" t="str">
        <f t="shared" si="155"/>
        <v>NA</v>
      </c>
    </row>
    <row r="214" spans="1:62" x14ac:dyDescent="0.3">
      <c r="A214">
        <v>706003</v>
      </c>
      <c r="K214" t="str">
        <f t="shared" si="117"/>
        <v>Pass</v>
      </c>
      <c r="L214" s="15">
        <f t="shared" si="118"/>
        <v>0</v>
      </c>
      <c r="M214" s="15">
        <f t="shared" si="119"/>
        <v>0</v>
      </c>
      <c r="Z214" s="15">
        <f t="shared" si="120"/>
        <v>1</v>
      </c>
      <c r="AA214" s="15">
        <f t="shared" si="121"/>
        <v>1</v>
      </c>
      <c r="AB214" s="15">
        <f t="shared" si="122"/>
        <v>1</v>
      </c>
      <c r="AC214" s="15">
        <f t="shared" si="123"/>
        <v>1</v>
      </c>
      <c r="AD214" s="15">
        <f t="shared" si="124"/>
        <v>1</v>
      </c>
      <c r="AE214" s="15">
        <f t="shared" si="125"/>
        <v>1</v>
      </c>
      <c r="AF214" s="15">
        <f t="shared" si="126"/>
        <v>1</v>
      </c>
      <c r="AG214" s="15">
        <f t="shared" si="127"/>
        <v>1</v>
      </c>
      <c r="AH214" s="15">
        <f t="shared" si="128"/>
        <v>1</v>
      </c>
      <c r="AI214" s="15">
        <f t="shared" si="129"/>
        <v>1</v>
      </c>
      <c r="AJ214" s="15">
        <f t="shared" si="130"/>
        <v>1</v>
      </c>
      <c r="AK214" s="15">
        <f t="shared" si="131"/>
        <v>1</v>
      </c>
      <c r="AL214" s="15">
        <f t="shared" si="132"/>
        <v>1</v>
      </c>
      <c r="AM214" s="15">
        <f t="shared" si="133"/>
        <v>1</v>
      </c>
      <c r="AN214" s="15">
        <f t="shared" si="134"/>
        <v>1</v>
      </c>
      <c r="AO214" s="15">
        <f t="shared" si="135"/>
        <v>1</v>
      </c>
      <c r="AP214" s="15">
        <f t="shared" si="136"/>
        <v>1</v>
      </c>
      <c r="AQ214" s="15">
        <f t="shared" si="137"/>
        <v>1</v>
      </c>
      <c r="AR214" s="15">
        <f t="shared" si="138"/>
        <v>1</v>
      </c>
      <c r="AS214" s="15">
        <f t="shared" si="139"/>
        <v>1</v>
      </c>
      <c r="AT214" s="15">
        <f t="shared" si="140"/>
        <v>1</v>
      </c>
      <c r="AU214" s="15">
        <f t="shared" si="141"/>
        <v>1</v>
      </c>
      <c r="AV214" s="15">
        <f t="shared" si="142"/>
        <v>1</v>
      </c>
      <c r="AW214" s="15">
        <f t="shared" si="143"/>
        <v>1</v>
      </c>
      <c r="AX214" s="15">
        <f t="shared" si="144"/>
        <v>1</v>
      </c>
      <c r="AY214" s="15">
        <f t="shared" si="145"/>
        <v>1</v>
      </c>
      <c r="AZ214" s="15">
        <f t="shared" si="146"/>
        <v>1</v>
      </c>
      <c r="BA214" s="15">
        <f t="shared" si="147"/>
        <v>1</v>
      </c>
      <c r="BB214" s="15">
        <f t="shared" si="148"/>
        <v>0</v>
      </c>
      <c r="BC214" s="15" t="str">
        <f t="shared" si="149"/>
        <v/>
      </c>
      <c r="BD214" s="15" t="str">
        <f t="shared" si="150"/>
        <v/>
      </c>
      <c r="BE214" s="11" t="e">
        <f t="shared" si="151"/>
        <v>#VALUE!</v>
      </c>
      <c r="BF214" s="11" t="e">
        <f t="shared" si="152"/>
        <v>#VALUE!</v>
      </c>
      <c r="BG214" s="11" t="e">
        <f t="shared" si="153"/>
        <v>#VALUE!</v>
      </c>
      <c r="BH214" t="str">
        <f t="shared" si="154"/>
        <v/>
      </c>
      <c r="BI214" t="str" cm="1">
        <f t="array" ref="BI214">_xlfn.IFS(
  L214&gt;0,"Critical Fail",
  M214&gt;0,"Important (Coaching)",
  TRUE,"Clean Pass"
)</f>
        <v>Clean Pass</v>
      </c>
      <c r="BJ214" t="str">
        <f t="shared" si="155"/>
        <v>NA</v>
      </c>
    </row>
    <row r="215" spans="1:62" x14ac:dyDescent="0.3">
      <c r="A215">
        <v>691536</v>
      </c>
      <c r="K215" t="str">
        <f t="shared" si="117"/>
        <v>Pass</v>
      </c>
      <c r="L215" s="15">
        <f t="shared" si="118"/>
        <v>0</v>
      </c>
      <c r="M215" s="15">
        <f t="shared" si="119"/>
        <v>0</v>
      </c>
      <c r="Z215" s="15">
        <f t="shared" si="120"/>
        <v>1</v>
      </c>
      <c r="AA215" s="15">
        <f t="shared" si="121"/>
        <v>1</v>
      </c>
      <c r="AB215" s="15">
        <f t="shared" si="122"/>
        <v>1</v>
      </c>
      <c r="AC215" s="15">
        <f t="shared" si="123"/>
        <v>1</v>
      </c>
      <c r="AD215" s="15">
        <f t="shared" si="124"/>
        <v>1</v>
      </c>
      <c r="AE215" s="15">
        <f t="shared" si="125"/>
        <v>1</v>
      </c>
      <c r="AF215" s="15">
        <f t="shared" si="126"/>
        <v>1</v>
      </c>
      <c r="AG215" s="15">
        <f t="shared" si="127"/>
        <v>1</v>
      </c>
      <c r="AH215" s="15">
        <f t="shared" si="128"/>
        <v>1</v>
      </c>
      <c r="AI215" s="15">
        <f t="shared" si="129"/>
        <v>1</v>
      </c>
      <c r="AJ215" s="15">
        <f t="shared" si="130"/>
        <v>1</v>
      </c>
      <c r="AK215" s="15">
        <f t="shared" si="131"/>
        <v>1</v>
      </c>
      <c r="AL215" s="15">
        <f t="shared" si="132"/>
        <v>1</v>
      </c>
      <c r="AM215" s="15">
        <f t="shared" si="133"/>
        <v>1</v>
      </c>
      <c r="AN215" s="15">
        <f t="shared" si="134"/>
        <v>1</v>
      </c>
      <c r="AO215" s="15">
        <f t="shared" si="135"/>
        <v>1</v>
      </c>
      <c r="AP215" s="15">
        <f t="shared" si="136"/>
        <v>1</v>
      </c>
      <c r="AQ215" s="15">
        <f t="shared" si="137"/>
        <v>1</v>
      </c>
      <c r="AR215" s="15">
        <f t="shared" si="138"/>
        <v>1</v>
      </c>
      <c r="AS215" s="15">
        <f t="shared" si="139"/>
        <v>1</v>
      </c>
      <c r="AT215" s="15">
        <f t="shared" si="140"/>
        <v>1</v>
      </c>
      <c r="AU215" s="15">
        <f t="shared" si="141"/>
        <v>1</v>
      </c>
      <c r="AV215" s="15">
        <f t="shared" si="142"/>
        <v>1</v>
      </c>
      <c r="AW215" s="15">
        <f t="shared" si="143"/>
        <v>1</v>
      </c>
      <c r="AX215" s="15">
        <f t="shared" si="144"/>
        <v>1</v>
      </c>
      <c r="AY215" s="15">
        <f t="shared" si="145"/>
        <v>1</v>
      </c>
      <c r="AZ215" s="15">
        <f t="shared" si="146"/>
        <v>1</v>
      </c>
      <c r="BA215" s="15">
        <f t="shared" si="147"/>
        <v>1</v>
      </c>
      <c r="BB215" s="15">
        <f t="shared" si="148"/>
        <v>0</v>
      </c>
      <c r="BC215" s="15" t="str">
        <f t="shared" si="149"/>
        <v/>
      </c>
      <c r="BD215" s="15" t="str">
        <f t="shared" si="150"/>
        <v/>
      </c>
      <c r="BE215" s="11" t="e">
        <f t="shared" si="151"/>
        <v>#VALUE!</v>
      </c>
      <c r="BF215" s="11" t="e">
        <f t="shared" si="152"/>
        <v>#VALUE!</v>
      </c>
      <c r="BG215" s="11" t="e">
        <f t="shared" si="153"/>
        <v>#VALUE!</v>
      </c>
      <c r="BH215" t="str">
        <f t="shared" si="154"/>
        <v/>
      </c>
      <c r="BI215" t="str" cm="1">
        <f t="array" ref="BI215">_xlfn.IFS(
  L215&gt;0,"Critical Fail",
  M215&gt;0,"Important (Coaching)",
  TRUE,"Clean Pass"
)</f>
        <v>Clean Pass</v>
      </c>
      <c r="BJ215" t="str">
        <f t="shared" si="155"/>
        <v>NA</v>
      </c>
    </row>
    <row r="216" spans="1:62" x14ac:dyDescent="0.3">
      <c r="A216">
        <v>349075</v>
      </c>
      <c r="K216" t="str">
        <f t="shared" si="117"/>
        <v>Pass</v>
      </c>
      <c r="L216" s="15">
        <f t="shared" si="118"/>
        <v>0</v>
      </c>
      <c r="M216" s="15">
        <f t="shared" si="119"/>
        <v>0</v>
      </c>
      <c r="Z216" s="15">
        <f t="shared" si="120"/>
        <v>1</v>
      </c>
      <c r="AA216" s="15">
        <f t="shared" si="121"/>
        <v>1</v>
      </c>
      <c r="AB216" s="15">
        <f t="shared" si="122"/>
        <v>1</v>
      </c>
      <c r="AC216" s="15">
        <f t="shared" si="123"/>
        <v>1</v>
      </c>
      <c r="AD216" s="15">
        <f t="shared" si="124"/>
        <v>1</v>
      </c>
      <c r="AE216" s="15">
        <f t="shared" si="125"/>
        <v>1</v>
      </c>
      <c r="AF216" s="15">
        <f t="shared" si="126"/>
        <v>1</v>
      </c>
      <c r="AG216" s="15">
        <f t="shared" si="127"/>
        <v>1</v>
      </c>
      <c r="AH216" s="15">
        <f t="shared" si="128"/>
        <v>1</v>
      </c>
      <c r="AI216" s="15">
        <f t="shared" si="129"/>
        <v>1</v>
      </c>
      <c r="AJ216" s="15">
        <f t="shared" si="130"/>
        <v>1</v>
      </c>
      <c r="AK216" s="15">
        <f t="shared" si="131"/>
        <v>1</v>
      </c>
      <c r="AL216" s="15">
        <f t="shared" si="132"/>
        <v>1</v>
      </c>
      <c r="AM216" s="15">
        <f t="shared" si="133"/>
        <v>1</v>
      </c>
      <c r="AN216" s="15">
        <f t="shared" si="134"/>
        <v>1</v>
      </c>
      <c r="AO216" s="15">
        <f t="shared" si="135"/>
        <v>1</v>
      </c>
      <c r="AP216" s="15">
        <f t="shared" si="136"/>
        <v>1</v>
      </c>
      <c r="AQ216" s="15">
        <f t="shared" si="137"/>
        <v>1</v>
      </c>
      <c r="AR216" s="15">
        <f t="shared" si="138"/>
        <v>1</v>
      </c>
      <c r="AS216" s="15">
        <f t="shared" si="139"/>
        <v>1</v>
      </c>
      <c r="AT216" s="15">
        <f t="shared" si="140"/>
        <v>1</v>
      </c>
      <c r="AU216" s="15">
        <f t="shared" si="141"/>
        <v>1</v>
      </c>
      <c r="AV216" s="15">
        <f t="shared" si="142"/>
        <v>1</v>
      </c>
      <c r="AW216" s="15">
        <f t="shared" si="143"/>
        <v>1</v>
      </c>
      <c r="AX216" s="15">
        <f t="shared" si="144"/>
        <v>1</v>
      </c>
      <c r="AY216" s="15">
        <f t="shared" si="145"/>
        <v>1</v>
      </c>
      <c r="AZ216" s="15">
        <f t="shared" si="146"/>
        <v>1</v>
      </c>
      <c r="BA216" s="15">
        <f t="shared" si="147"/>
        <v>1</v>
      </c>
      <c r="BB216" s="15">
        <f t="shared" si="148"/>
        <v>0</v>
      </c>
      <c r="BC216" s="15" t="str">
        <f t="shared" si="149"/>
        <v/>
      </c>
      <c r="BD216" s="15" t="str">
        <f t="shared" si="150"/>
        <v/>
      </c>
      <c r="BE216" s="11" t="e">
        <f t="shared" si="151"/>
        <v>#VALUE!</v>
      </c>
      <c r="BF216" s="11" t="e">
        <f t="shared" si="152"/>
        <v>#VALUE!</v>
      </c>
      <c r="BG216" s="11" t="e">
        <f t="shared" si="153"/>
        <v>#VALUE!</v>
      </c>
      <c r="BH216" t="str">
        <f t="shared" si="154"/>
        <v/>
      </c>
      <c r="BI216" t="str" cm="1">
        <f t="array" ref="BI216">_xlfn.IFS(
  L216&gt;0,"Critical Fail",
  M216&gt;0,"Important (Coaching)",
  TRUE,"Clean Pass"
)</f>
        <v>Clean Pass</v>
      </c>
      <c r="BJ216" t="str">
        <f t="shared" si="155"/>
        <v>NA</v>
      </c>
    </row>
    <row r="217" spans="1:62" x14ac:dyDescent="0.3">
      <c r="A217">
        <v>525143</v>
      </c>
      <c r="K217" t="str">
        <f t="shared" si="117"/>
        <v>Pass</v>
      </c>
      <c r="L217" s="15">
        <f t="shared" si="118"/>
        <v>0</v>
      </c>
      <c r="M217" s="15">
        <f t="shared" si="119"/>
        <v>0</v>
      </c>
      <c r="Z217" s="15">
        <f t="shared" si="120"/>
        <v>1</v>
      </c>
      <c r="AA217" s="15">
        <f t="shared" si="121"/>
        <v>1</v>
      </c>
      <c r="AB217" s="15">
        <f t="shared" si="122"/>
        <v>1</v>
      </c>
      <c r="AC217" s="15">
        <f t="shared" si="123"/>
        <v>1</v>
      </c>
      <c r="AD217" s="15">
        <f t="shared" si="124"/>
        <v>1</v>
      </c>
      <c r="AE217" s="15">
        <f t="shared" si="125"/>
        <v>1</v>
      </c>
      <c r="AF217" s="15">
        <f t="shared" si="126"/>
        <v>1</v>
      </c>
      <c r="AG217" s="15">
        <f t="shared" si="127"/>
        <v>1</v>
      </c>
      <c r="AH217" s="15">
        <f t="shared" si="128"/>
        <v>1</v>
      </c>
      <c r="AI217" s="15">
        <f t="shared" si="129"/>
        <v>1</v>
      </c>
      <c r="AJ217" s="15">
        <f t="shared" si="130"/>
        <v>1</v>
      </c>
      <c r="AK217" s="15">
        <f t="shared" si="131"/>
        <v>1</v>
      </c>
      <c r="AL217" s="15">
        <f t="shared" si="132"/>
        <v>1</v>
      </c>
      <c r="AM217" s="15">
        <f t="shared" si="133"/>
        <v>1</v>
      </c>
      <c r="AN217" s="15">
        <f t="shared" si="134"/>
        <v>1</v>
      </c>
      <c r="AO217" s="15">
        <f t="shared" si="135"/>
        <v>1</v>
      </c>
      <c r="AP217" s="15">
        <f t="shared" si="136"/>
        <v>1</v>
      </c>
      <c r="AQ217" s="15">
        <f t="shared" si="137"/>
        <v>1</v>
      </c>
      <c r="AR217" s="15">
        <f t="shared" si="138"/>
        <v>1</v>
      </c>
      <c r="AS217" s="15">
        <f t="shared" si="139"/>
        <v>1</v>
      </c>
      <c r="AT217" s="15">
        <f t="shared" si="140"/>
        <v>1</v>
      </c>
      <c r="AU217" s="15">
        <f t="shared" si="141"/>
        <v>1</v>
      </c>
      <c r="AV217" s="15">
        <f t="shared" si="142"/>
        <v>1</v>
      </c>
      <c r="AW217" s="15">
        <f t="shared" si="143"/>
        <v>1</v>
      </c>
      <c r="AX217" s="15">
        <f t="shared" si="144"/>
        <v>1</v>
      </c>
      <c r="AY217" s="15">
        <f t="shared" si="145"/>
        <v>1</v>
      </c>
      <c r="AZ217" s="15">
        <f t="shared" si="146"/>
        <v>1</v>
      </c>
      <c r="BA217" s="15">
        <f t="shared" si="147"/>
        <v>1</v>
      </c>
      <c r="BB217" s="15">
        <f t="shared" si="148"/>
        <v>0</v>
      </c>
      <c r="BC217" s="15" t="str">
        <f t="shared" si="149"/>
        <v/>
      </c>
      <c r="BD217" s="15" t="str">
        <f t="shared" si="150"/>
        <v/>
      </c>
      <c r="BE217" s="11" t="e">
        <f t="shared" si="151"/>
        <v>#VALUE!</v>
      </c>
      <c r="BF217" s="11" t="e">
        <f t="shared" si="152"/>
        <v>#VALUE!</v>
      </c>
      <c r="BG217" s="11" t="e">
        <f t="shared" si="153"/>
        <v>#VALUE!</v>
      </c>
      <c r="BH217" t="str">
        <f t="shared" si="154"/>
        <v/>
      </c>
      <c r="BI217" t="str" cm="1">
        <f t="array" ref="BI217">_xlfn.IFS(
  L217&gt;0,"Critical Fail",
  M217&gt;0,"Important (Coaching)",
  TRUE,"Clean Pass"
)</f>
        <v>Clean Pass</v>
      </c>
      <c r="BJ217" t="str">
        <f t="shared" si="155"/>
        <v>NA</v>
      </c>
    </row>
    <row r="218" spans="1:62" x14ac:dyDescent="0.3">
      <c r="A218">
        <v>281094</v>
      </c>
      <c r="K218" t="str">
        <f t="shared" si="117"/>
        <v>Pass</v>
      </c>
      <c r="L218" s="15">
        <f t="shared" si="118"/>
        <v>0</v>
      </c>
      <c r="M218" s="15">
        <f t="shared" si="119"/>
        <v>0</v>
      </c>
      <c r="Z218" s="15">
        <f t="shared" si="120"/>
        <v>1</v>
      </c>
      <c r="AA218" s="15">
        <f t="shared" si="121"/>
        <v>1</v>
      </c>
      <c r="AB218" s="15">
        <f t="shared" si="122"/>
        <v>1</v>
      </c>
      <c r="AC218" s="15">
        <f t="shared" si="123"/>
        <v>1</v>
      </c>
      <c r="AD218" s="15">
        <f t="shared" si="124"/>
        <v>1</v>
      </c>
      <c r="AE218" s="15">
        <f t="shared" si="125"/>
        <v>1</v>
      </c>
      <c r="AF218" s="15">
        <f t="shared" si="126"/>
        <v>1</v>
      </c>
      <c r="AG218" s="15">
        <f t="shared" si="127"/>
        <v>1</v>
      </c>
      <c r="AH218" s="15">
        <f t="shared" si="128"/>
        <v>1</v>
      </c>
      <c r="AI218" s="15">
        <f t="shared" si="129"/>
        <v>1</v>
      </c>
      <c r="AJ218" s="15">
        <f t="shared" si="130"/>
        <v>1</v>
      </c>
      <c r="AK218" s="15">
        <f t="shared" si="131"/>
        <v>1</v>
      </c>
      <c r="AL218" s="15">
        <f t="shared" si="132"/>
        <v>1</v>
      </c>
      <c r="AM218" s="15">
        <f t="shared" si="133"/>
        <v>1</v>
      </c>
      <c r="AN218" s="15">
        <f t="shared" si="134"/>
        <v>1</v>
      </c>
      <c r="AO218" s="15">
        <f t="shared" si="135"/>
        <v>1</v>
      </c>
      <c r="AP218" s="15">
        <f t="shared" si="136"/>
        <v>1</v>
      </c>
      <c r="AQ218" s="15">
        <f t="shared" si="137"/>
        <v>1</v>
      </c>
      <c r="AR218" s="15">
        <f t="shared" si="138"/>
        <v>1</v>
      </c>
      <c r="AS218" s="15">
        <f t="shared" si="139"/>
        <v>1</v>
      </c>
      <c r="AT218" s="15">
        <f t="shared" si="140"/>
        <v>1</v>
      </c>
      <c r="AU218" s="15">
        <f t="shared" si="141"/>
        <v>1</v>
      </c>
      <c r="AV218" s="15">
        <f t="shared" si="142"/>
        <v>1</v>
      </c>
      <c r="AW218" s="15">
        <f t="shared" si="143"/>
        <v>1</v>
      </c>
      <c r="AX218" s="15">
        <f t="shared" si="144"/>
        <v>1</v>
      </c>
      <c r="AY218" s="15">
        <f t="shared" si="145"/>
        <v>1</v>
      </c>
      <c r="AZ218" s="15">
        <f t="shared" si="146"/>
        <v>1</v>
      </c>
      <c r="BA218" s="15">
        <f t="shared" si="147"/>
        <v>1</v>
      </c>
      <c r="BB218" s="15">
        <f t="shared" si="148"/>
        <v>0</v>
      </c>
      <c r="BC218" s="15" t="str">
        <f t="shared" si="149"/>
        <v/>
      </c>
      <c r="BD218" s="15" t="str">
        <f t="shared" si="150"/>
        <v/>
      </c>
      <c r="BE218" s="11" t="e">
        <f t="shared" si="151"/>
        <v>#VALUE!</v>
      </c>
      <c r="BF218" s="11" t="e">
        <f t="shared" si="152"/>
        <v>#VALUE!</v>
      </c>
      <c r="BG218" s="11" t="e">
        <f t="shared" si="153"/>
        <v>#VALUE!</v>
      </c>
      <c r="BH218" t="str">
        <f t="shared" si="154"/>
        <v/>
      </c>
      <c r="BI218" t="str" cm="1">
        <f t="array" ref="BI218">_xlfn.IFS(
  L218&gt;0,"Critical Fail",
  M218&gt;0,"Important (Coaching)",
  TRUE,"Clean Pass"
)</f>
        <v>Clean Pass</v>
      </c>
      <c r="BJ218" t="str">
        <f t="shared" si="155"/>
        <v>NA</v>
      </c>
    </row>
    <row r="219" spans="1:62" x14ac:dyDescent="0.3">
      <c r="A219">
        <v>756341</v>
      </c>
      <c r="K219" t="str">
        <f t="shared" si="117"/>
        <v>Pass</v>
      </c>
      <c r="L219" s="15">
        <f t="shared" si="118"/>
        <v>0</v>
      </c>
      <c r="M219" s="15">
        <f t="shared" si="119"/>
        <v>0</v>
      </c>
      <c r="Z219" s="15">
        <f t="shared" si="120"/>
        <v>1</v>
      </c>
      <c r="AA219" s="15">
        <f t="shared" si="121"/>
        <v>1</v>
      </c>
      <c r="AB219" s="15">
        <f t="shared" si="122"/>
        <v>1</v>
      </c>
      <c r="AC219" s="15">
        <f t="shared" si="123"/>
        <v>1</v>
      </c>
      <c r="AD219" s="15">
        <f t="shared" si="124"/>
        <v>1</v>
      </c>
      <c r="AE219" s="15">
        <f t="shared" si="125"/>
        <v>1</v>
      </c>
      <c r="AF219" s="15">
        <f t="shared" si="126"/>
        <v>1</v>
      </c>
      <c r="AG219" s="15">
        <f t="shared" si="127"/>
        <v>1</v>
      </c>
      <c r="AH219" s="15">
        <f t="shared" si="128"/>
        <v>1</v>
      </c>
      <c r="AI219" s="15">
        <f t="shared" si="129"/>
        <v>1</v>
      </c>
      <c r="AJ219" s="15">
        <f t="shared" si="130"/>
        <v>1</v>
      </c>
      <c r="AK219" s="15">
        <f t="shared" si="131"/>
        <v>1</v>
      </c>
      <c r="AL219" s="15">
        <f t="shared" si="132"/>
        <v>1</v>
      </c>
      <c r="AM219" s="15">
        <f t="shared" si="133"/>
        <v>1</v>
      </c>
      <c r="AN219" s="15">
        <f t="shared" si="134"/>
        <v>1</v>
      </c>
      <c r="AO219" s="15">
        <f t="shared" si="135"/>
        <v>1</v>
      </c>
      <c r="AP219" s="15">
        <f t="shared" si="136"/>
        <v>1</v>
      </c>
      <c r="AQ219" s="15">
        <f t="shared" si="137"/>
        <v>1</v>
      </c>
      <c r="AR219" s="15">
        <f t="shared" si="138"/>
        <v>1</v>
      </c>
      <c r="AS219" s="15">
        <f t="shared" si="139"/>
        <v>1</v>
      </c>
      <c r="AT219" s="15">
        <f t="shared" si="140"/>
        <v>1</v>
      </c>
      <c r="AU219" s="15">
        <f t="shared" si="141"/>
        <v>1</v>
      </c>
      <c r="AV219" s="15">
        <f t="shared" si="142"/>
        <v>1</v>
      </c>
      <c r="AW219" s="15">
        <f t="shared" si="143"/>
        <v>1</v>
      </c>
      <c r="AX219" s="15">
        <f t="shared" si="144"/>
        <v>1</v>
      </c>
      <c r="AY219" s="15">
        <f t="shared" si="145"/>
        <v>1</v>
      </c>
      <c r="AZ219" s="15">
        <f t="shared" si="146"/>
        <v>1</v>
      </c>
      <c r="BA219" s="15">
        <f t="shared" si="147"/>
        <v>1</v>
      </c>
      <c r="BB219" s="15">
        <f t="shared" si="148"/>
        <v>0</v>
      </c>
      <c r="BC219" s="15" t="str">
        <f t="shared" si="149"/>
        <v/>
      </c>
      <c r="BD219" s="15" t="str">
        <f t="shared" si="150"/>
        <v/>
      </c>
      <c r="BE219" s="11" t="e">
        <f t="shared" si="151"/>
        <v>#VALUE!</v>
      </c>
      <c r="BF219" s="11" t="e">
        <f t="shared" si="152"/>
        <v>#VALUE!</v>
      </c>
      <c r="BG219" s="11" t="e">
        <f t="shared" si="153"/>
        <v>#VALUE!</v>
      </c>
      <c r="BH219" t="str">
        <f t="shared" si="154"/>
        <v/>
      </c>
      <c r="BI219" t="str" cm="1">
        <f t="array" ref="BI219">_xlfn.IFS(
  L219&gt;0,"Critical Fail",
  M219&gt;0,"Important (Coaching)",
  TRUE,"Clean Pass"
)</f>
        <v>Clean Pass</v>
      </c>
      <c r="BJ219" t="str">
        <f t="shared" si="155"/>
        <v>NA</v>
      </c>
    </row>
    <row r="220" spans="1:62" x14ac:dyDescent="0.3">
      <c r="A220">
        <v>811703</v>
      </c>
      <c r="K220" t="str">
        <f t="shared" si="117"/>
        <v>Pass</v>
      </c>
      <c r="L220" s="15">
        <f t="shared" si="118"/>
        <v>0</v>
      </c>
      <c r="M220" s="15">
        <f t="shared" si="119"/>
        <v>0</v>
      </c>
      <c r="Z220" s="15">
        <f t="shared" si="120"/>
        <v>1</v>
      </c>
      <c r="AA220" s="15">
        <f t="shared" si="121"/>
        <v>1</v>
      </c>
      <c r="AB220" s="15">
        <f t="shared" si="122"/>
        <v>1</v>
      </c>
      <c r="AC220" s="15">
        <f t="shared" si="123"/>
        <v>1</v>
      </c>
      <c r="AD220" s="15">
        <f t="shared" si="124"/>
        <v>1</v>
      </c>
      <c r="AE220" s="15">
        <f t="shared" si="125"/>
        <v>1</v>
      </c>
      <c r="AF220" s="15">
        <f t="shared" si="126"/>
        <v>1</v>
      </c>
      <c r="AG220" s="15">
        <f t="shared" si="127"/>
        <v>1</v>
      </c>
      <c r="AH220" s="15">
        <f t="shared" si="128"/>
        <v>1</v>
      </c>
      <c r="AI220" s="15">
        <f t="shared" si="129"/>
        <v>1</v>
      </c>
      <c r="AJ220" s="15">
        <f t="shared" si="130"/>
        <v>1</v>
      </c>
      <c r="AK220" s="15">
        <f t="shared" si="131"/>
        <v>1</v>
      </c>
      <c r="AL220" s="15">
        <f t="shared" si="132"/>
        <v>1</v>
      </c>
      <c r="AM220" s="15">
        <f t="shared" si="133"/>
        <v>1</v>
      </c>
      <c r="AN220" s="15">
        <f t="shared" si="134"/>
        <v>1</v>
      </c>
      <c r="AO220" s="15">
        <f t="shared" si="135"/>
        <v>1</v>
      </c>
      <c r="AP220" s="15">
        <f t="shared" si="136"/>
        <v>1</v>
      </c>
      <c r="AQ220" s="15">
        <f t="shared" si="137"/>
        <v>1</v>
      </c>
      <c r="AR220" s="15">
        <f t="shared" si="138"/>
        <v>1</v>
      </c>
      <c r="AS220" s="15">
        <f t="shared" si="139"/>
        <v>1</v>
      </c>
      <c r="AT220" s="15">
        <f t="shared" si="140"/>
        <v>1</v>
      </c>
      <c r="AU220" s="15">
        <f t="shared" si="141"/>
        <v>1</v>
      </c>
      <c r="AV220" s="15">
        <f t="shared" si="142"/>
        <v>1</v>
      </c>
      <c r="AW220" s="15">
        <f t="shared" si="143"/>
        <v>1</v>
      </c>
      <c r="AX220" s="15">
        <f t="shared" si="144"/>
        <v>1</v>
      </c>
      <c r="AY220" s="15">
        <f t="shared" si="145"/>
        <v>1</v>
      </c>
      <c r="AZ220" s="15">
        <f t="shared" si="146"/>
        <v>1</v>
      </c>
      <c r="BA220" s="15">
        <f t="shared" si="147"/>
        <v>1</v>
      </c>
      <c r="BB220" s="15">
        <f t="shared" si="148"/>
        <v>0</v>
      </c>
      <c r="BC220" s="15" t="str">
        <f t="shared" si="149"/>
        <v/>
      </c>
      <c r="BD220" s="15" t="str">
        <f t="shared" si="150"/>
        <v/>
      </c>
      <c r="BE220" s="11" t="e">
        <f t="shared" si="151"/>
        <v>#VALUE!</v>
      </c>
      <c r="BF220" s="11" t="e">
        <f t="shared" si="152"/>
        <v>#VALUE!</v>
      </c>
      <c r="BG220" s="11" t="e">
        <f t="shared" si="153"/>
        <v>#VALUE!</v>
      </c>
      <c r="BH220" t="str">
        <f t="shared" si="154"/>
        <v/>
      </c>
      <c r="BI220" t="str" cm="1">
        <f t="array" ref="BI220">_xlfn.IFS(
  L220&gt;0,"Critical Fail",
  M220&gt;0,"Important (Coaching)",
  TRUE,"Clean Pass"
)</f>
        <v>Clean Pass</v>
      </c>
      <c r="BJ220" t="str">
        <f t="shared" si="155"/>
        <v>NA</v>
      </c>
    </row>
    <row r="221" spans="1:62" x14ac:dyDescent="0.3">
      <c r="A221">
        <v>537900</v>
      </c>
      <c r="K221" t="str">
        <f t="shared" si="117"/>
        <v>Pass</v>
      </c>
      <c r="L221" s="15">
        <f t="shared" si="118"/>
        <v>0</v>
      </c>
      <c r="M221" s="15">
        <f t="shared" si="119"/>
        <v>0</v>
      </c>
      <c r="Z221" s="15">
        <f t="shared" si="120"/>
        <v>1</v>
      </c>
      <c r="AA221" s="15">
        <f t="shared" si="121"/>
        <v>1</v>
      </c>
      <c r="AB221" s="15">
        <f t="shared" si="122"/>
        <v>1</v>
      </c>
      <c r="AC221" s="15">
        <f t="shared" si="123"/>
        <v>1</v>
      </c>
      <c r="AD221" s="15">
        <f t="shared" si="124"/>
        <v>1</v>
      </c>
      <c r="AE221" s="15">
        <f t="shared" si="125"/>
        <v>1</v>
      </c>
      <c r="AF221" s="15">
        <f t="shared" si="126"/>
        <v>1</v>
      </c>
      <c r="AG221" s="15">
        <f t="shared" si="127"/>
        <v>1</v>
      </c>
      <c r="AH221" s="15">
        <f t="shared" si="128"/>
        <v>1</v>
      </c>
      <c r="AI221" s="15">
        <f t="shared" si="129"/>
        <v>1</v>
      </c>
      <c r="AJ221" s="15">
        <f t="shared" si="130"/>
        <v>1</v>
      </c>
      <c r="AK221" s="15">
        <f t="shared" si="131"/>
        <v>1</v>
      </c>
      <c r="AL221" s="15">
        <f t="shared" si="132"/>
        <v>1</v>
      </c>
      <c r="AM221" s="15">
        <f t="shared" si="133"/>
        <v>1</v>
      </c>
      <c r="AN221" s="15">
        <f t="shared" si="134"/>
        <v>1</v>
      </c>
      <c r="AO221" s="15">
        <f t="shared" si="135"/>
        <v>1</v>
      </c>
      <c r="AP221" s="15">
        <f t="shared" si="136"/>
        <v>1</v>
      </c>
      <c r="AQ221" s="15">
        <f t="shared" si="137"/>
        <v>1</v>
      </c>
      <c r="AR221" s="15">
        <f t="shared" si="138"/>
        <v>1</v>
      </c>
      <c r="AS221" s="15">
        <f t="shared" si="139"/>
        <v>1</v>
      </c>
      <c r="AT221" s="15">
        <f t="shared" si="140"/>
        <v>1</v>
      </c>
      <c r="AU221" s="15">
        <f t="shared" si="141"/>
        <v>1</v>
      </c>
      <c r="AV221" s="15">
        <f t="shared" si="142"/>
        <v>1</v>
      </c>
      <c r="AW221" s="15">
        <f t="shared" si="143"/>
        <v>1</v>
      </c>
      <c r="AX221" s="15">
        <f t="shared" si="144"/>
        <v>1</v>
      </c>
      <c r="AY221" s="15">
        <f t="shared" si="145"/>
        <v>1</v>
      </c>
      <c r="AZ221" s="15">
        <f t="shared" si="146"/>
        <v>1</v>
      </c>
      <c r="BA221" s="15">
        <f t="shared" si="147"/>
        <v>1</v>
      </c>
      <c r="BB221" s="15">
        <f t="shared" si="148"/>
        <v>0</v>
      </c>
      <c r="BC221" s="15" t="str">
        <f t="shared" si="149"/>
        <v/>
      </c>
      <c r="BD221" s="15" t="str">
        <f t="shared" si="150"/>
        <v/>
      </c>
      <c r="BE221" s="11" t="e">
        <f t="shared" si="151"/>
        <v>#VALUE!</v>
      </c>
      <c r="BF221" s="11" t="e">
        <f t="shared" si="152"/>
        <v>#VALUE!</v>
      </c>
      <c r="BG221" s="11" t="e">
        <f t="shared" si="153"/>
        <v>#VALUE!</v>
      </c>
      <c r="BH221" t="str">
        <f t="shared" si="154"/>
        <v/>
      </c>
      <c r="BI221" t="str" cm="1">
        <f t="array" ref="BI221">_xlfn.IFS(
  L221&gt;0,"Critical Fail",
  M221&gt;0,"Important (Coaching)",
  TRUE,"Clean Pass"
)</f>
        <v>Clean Pass</v>
      </c>
      <c r="BJ221" t="str">
        <f t="shared" si="155"/>
        <v>NA</v>
      </c>
    </row>
    <row r="222" spans="1:62" x14ac:dyDescent="0.3">
      <c r="A222">
        <v>403235</v>
      </c>
      <c r="K222" t="str">
        <f t="shared" si="117"/>
        <v>Pass</v>
      </c>
      <c r="L222" s="15">
        <f t="shared" si="118"/>
        <v>0</v>
      </c>
      <c r="M222" s="15">
        <f t="shared" si="119"/>
        <v>0</v>
      </c>
      <c r="Z222" s="15">
        <f t="shared" si="120"/>
        <v>1</v>
      </c>
      <c r="AA222" s="15">
        <f t="shared" si="121"/>
        <v>1</v>
      </c>
      <c r="AB222" s="15">
        <f t="shared" si="122"/>
        <v>1</v>
      </c>
      <c r="AC222" s="15">
        <f t="shared" si="123"/>
        <v>1</v>
      </c>
      <c r="AD222" s="15">
        <f t="shared" si="124"/>
        <v>1</v>
      </c>
      <c r="AE222" s="15">
        <f t="shared" si="125"/>
        <v>1</v>
      </c>
      <c r="AF222" s="15">
        <f t="shared" si="126"/>
        <v>1</v>
      </c>
      <c r="AG222" s="15">
        <f t="shared" si="127"/>
        <v>1</v>
      </c>
      <c r="AH222" s="15">
        <f t="shared" si="128"/>
        <v>1</v>
      </c>
      <c r="AI222" s="15">
        <f t="shared" si="129"/>
        <v>1</v>
      </c>
      <c r="AJ222" s="15">
        <f t="shared" si="130"/>
        <v>1</v>
      </c>
      <c r="AK222" s="15">
        <f t="shared" si="131"/>
        <v>1</v>
      </c>
      <c r="AL222" s="15">
        <f t="shared" si="132"/>
        <v>1</v>
      </c>
      <c r="AM222" s="15">
        <f t="shared" si="133"/>
        <v>1</v>
      </c>
      <c r="AN222" s="15">
        <f t="shared" si="134"/>
        <v>1</v>
      </c>
      <c r="AO222" s="15">
        <f t="shared" si="135"/>
        <v>1</v>
      </c>
      <c r="AP222" s="15">
        <f t="shared" si="136"/>
        <v>1</v>
      </c>
      <c r="AQ222" s="15">
        <f t="shared" si="137"/>
        <v>1</v>
      </c>
      <c r="AR222" s="15">
        <f t="shared" si="138"/>
        <v>1</v>
      </c>
      <c r="AS222" s="15">
        <f t="shared" si="139"/>
        <v>1</v>
      </c>
      <c r="AT222" s="15">
        <f t="shared" si="140"/>
        <v>1</v>
      </c>
      <c r="AU222" s="15">
        <f t="shared" si="141"/>
        <v>1</v>
      </c>
      <c r="AV222" s="15">
        <f t="shared" si="142"/>
        <v>1</v>
      </c>
      <c r="AW222" s="15">
        <f t="shared" si="143"/>
        <v>1</v>
      </c>
      <c r="AX222" s="15">
        <f t="shared" si="144"/>
        <v>1</v>
      </c>
      <c r="AY222" s="15">
        <f t="shared" si="145"/>
        <v>1</v>
      </c>
      <c r="AZ222" s="15">
        <f t="shared" si="146"/>
        <v>1</v>
      </c>
      <c r="BA222" s="15">
        <f t="shared" si="147"/>
        <v>1</v>
      </c>
      <c r="BB222" s="15">
        <f t="shared" si="148"/>
        <v>0</v>
      </c>
      <c r="BC222" s="15" t="str">
        <f t="shared" si="149"/>
        <v/>
      </c>
      <c r="BD222" s="15" t="str">
        <f t="shared" si="150"/>
        <v/>
      </c>
      <c r="BE222" s="11" t="e">
        <f t="shared" si="151"/>
        <v>#VALUE!</v>
      </c>
      <c r="BF222" s="11" t="e">
        <f t="shared" si="152"/>
        <v>#VALUE!</v>
      </c>
      <c r="BG222" s="11" t="e">
        <f t="shared" si="153"/>
        <v>#VALUE!</v>
      </c>
      <c r="BH222" t="str">
        <f t="shared" si="154"/>
        <v/>
      </c>
      <c r="BI222" t="str" cm="1">
        <f t="array" ref="BI222">_xlfn.IFS(
  L222&gt;0,"Critical Fail",
  M222&gt;0,"Important (Coaching)",
  TRUE,"Clean Pass"
)</f>
        <v>Clean Pass</v>
      </c>
      <c r="BJ222" t="str">
        <f t="shared" si="155"/>
        <v>NA</v>
      </c>
    </row>
    <row r="223" spans="1:62" x14ac:dyDescent="0.3">
      <c r="A223">
        <v>268166</v>
      </c>
      <c r="K223" t="str">
        <f t="shared" si="117"/>
        <v>Pass</v>
      </c>
      <c r="L223" s="15">
        <f t="shared" si="118"/>
        <v>0</v>
      </c>
      <c r="M223" s="15">
        <f t="shared" si="119"/>
        <v>0</v>
      </c>
      <c r="Z223" s="15">
        <f t="shared" si="120"/>
        <v>1</v>
      </c>
      <c r="AA223" s="15">
        <f t="shared" si="121"/>
        <v>1</v>
      </c>
      <c r="AB223" s="15">
        <f t="shared" si="122"/>
        <v>1</v>
      </c>
      <c r="AC223" s="15">
        <f t="shared" si="123"/>
        <v>1</v>
      </c>
      <c r="AD223" s="15">
        <f t="shared" si="124"/>
        <v>1</v>
      </c>
      <c r="AE223" s="15">
        <f t="shared" si="125"/>
        <v>1</v>
      </c>
      <c r="AF223" s="15">
        <f t="shared" si="126"/>
        <v>1</v>
      </c>
      <c r="AG223" s="15">
        <f t="shared" si="127"/>
        <v>1</v>
      </c>
      <c r="AH223" s="15">
        <f t="shared" si="128"/>
        <v>1</v>
      </c>
      <c r="AI223" s="15">
        <f t="shared" si="129"/>
        <v>1</v>
      </c>
      <c r="AJ223" s="15">
        <f t="shared" si="130"/>
        <v>1</v>
      </c>
      <c r="AK223" s="15">
        <f t="shared" si="131"/>
        <v>1</v>
      </c>
      <c r="AL223" s="15">
        <f t="shared" si="132"/>
        <v>1</v>
      </c>
      <c r="AM223" s="15">
        <f t="shared" si="133"/>
        <v>1</v>
      </c>
      <c r="AN223" s="15">
        <f t="shared" si="134"/>
        <v>1</v>
      </c>
      <c r="AO223" s="15">
        <f t="shared" si="135"/>
        <v>1</v>
      </c>
      <c r="AP223" s="15">
        <f t="shared" si="136"/>
        <v>1</v>
      </c>
      <c r="AQ223" s="15">
        <f t="shared" si="137"/>
        <v>1</v>
      </c>
      <c r="AR223" s="15">
        <f t="shared" si="138"/>
        <v>1</v>
      </c>
      <c r="AS223" s="15">
        <f t="shared" si="139"/>
        <v>1</v>
      </c>
      <c r="AT223" s="15">
        <f t="shared" si="140"/>
        <v>1</v>
      </c>
      <c r="AU223" s="15">
        <f t="shared" si="141"/>
        <v>1</v>
      </c>
      <c r="AV223" s="15">
        <f t="shared" si="142"/>
        <v>1</v>
      </c>
      <c r="AW223" s="15">
        <f t="shared" si="143"/>
        <v>1</v>
      </c>
      <c r="AX223" s="15">
        <f t="shared" si="144"/>
        <v>1</v>
      </c>
      <c r="AY223" s="15">
        <f t="shared" si="145"/>
        <v>1</v>
      </c>
      <c r="AZ223" s="15">
        <f t="shared" si="146"/>
        <v>1</v>
      </c>
      <c r="BA223" s="15">
        <f t="shared" si="147"/>
        <v>1</v>
      </c>
      <c r="BB223" s="15">
        <f t="shared" si="148"/>
        <v>0</v>
      </c>
      <c r="BC223" s="15" t="str">
        <f t="shared" si="149"/>
        <v/>
      </c>
      <c r="BD223" s="15" t="str">
        <f t="shared" si="150"/>
        <v/>
      </c>
      <c r="BE223" s="11" t="e">
        <f t="shared" si="151"/>
        <v>#VALUE!</v>
      </c>
      <c r="BF223" s="11" t="e">
        <f t="shared" si="152"/>
        <v>#VALUE!</v>
      </c>
      <c r="BG223" s="11" t="e">
        <f t="shared" si="153"/>
        <v>#VALUE!</v>
      </c>
      <c r="BH223" t="str">
        <f t="shared" si="154"/>
        <v/>
      </c>
      <c r="BI223" t="str" cm="1">
        <f t="array" ref="BI223">_xlfn.IFS(
  L223&gt;0,"Critical Fail",
  M223&gt;0,"Important (Coaching)",
  TRUE,"Clean Pass"
)</f>
        <v>Clean Pass</v>
      </c>
      <c r="BJ223" t="str">
        <f t="shared" si="155"/>
        <v>NA</v>
      </c>
    </row>
    <row r="224" spans="1:62" x14ac:dyDescent="0.3">
      <c r="A224">
        <v>963984</v>
      </c>
      <c r="K224" t="str">
        <f t="shared" si="117"/>
        <v>Pass</v>
      </c>
      <c r="L224" s="15">
        <f t="shared" si="118"/>
        <v>0</v>
      </c>
      <c r="M224" s="15">
        <f t="shared" si="119"/>
        <v>0</v>
      </c>
      <c r="Z224" s="15">
        <f t="shared" si="120"/>
        <v>1</v>
      </c>
      <c r="AA224" s="15">
        <f t="shared" si="121"/>
        <v>1</v>
      </c>
      <c r="AB224" s="15">
        <f t="shared" si="122"/>
        <v>1</v>
      </c>
      <c r="AC224" s="15">
        <f t="shared" si="123"/>
        <v>1</v>
      </c>
      <c r="AD224" s="15">
        <f t="shared" si="124"/>
        <v>1</v>
      </c>
      <c r="AE224" s="15">
        <f t="shared" si="125"/>
        <v>1</v>
      </c>
      <c r="AF224" s="15">
        <f t="shared" si="126"/>
        <v>1</v>
      </c>
      <c r="AG224" s="15">
        <f t="shared" si="127"/>
        <v>1</v>
      </c>
      <c r="AH224" s="15">
        <f t="shared" si="128"/>
        <v>1</v>
      </c>
      <c r="AI224" s="15">
        <f t="shared" si="129"/>
        <v>1</v>
      </c>
      <c r="AJ224" s="15">
        <f t="shared" si="130"/>
        <v>1</v>
      </c>
      <c r="AK224" s="15">
        <f t="shared" si="131"/>
        <v>1</v>
      </c>
      <c r="AL224" s="15">
        <f t="shared" si="132"/>
        <v>1</v>
      </c>
      <c r="AM224" s="15">
        <f t="shared" si="133"/>
        <v>1</v>
      </c>
      <c r="AN224" s="15">
        <f t="shared" si="134"/>
        <v>1</v>
      </c>
      <c r="AO224" s="15">
        <f t="shared" si="135"/>
        <v>1</v>
      </c>
      <c r="AP224" s="15">
        <f t="shared" si="136"/>
        <v>1</v>
      </c>
      <c r="AQ224" s="15">
        <f t="shared" si="137"/>
        <v>1</v>
      </c>
      <c r="AR224" s="15">
        <f t="shared" si="138"/>
        <v>1</v>
      </c>
      <c r="AS224" s="15">
        <f t="shared" si="139"/>
        <v>1</v>
      </c>
      <c r="AT224" s="15">
        <f t="shared" si="140"/>
        <v>1</v>
      </c>
      <c r="AU224" s="15">
        <f t="shared" si="141"/>
        <v>1</v>
      </c>
      <c r="AV224" s="15">
        <f t="shared" si="142"/>
        <v>1</v>
      </c>
      <c r="AW224" s="15">
        <f t="shared" si="143"/>
        <v>1</v>
      </c>
      <c r="AX224" s="15">
        <f t="shared" si="144"/>
        <v>1</v>
      </c>
      <c r="AY224" s="15">
        <f t="shared" si="145"/>
        <v>1</v>
      </c>
      <c r="AZ224" s="15">
        <f t="shared" si="146"/>
        <v>1</v>
      </c>
      <c r="BA224" s="15">
        <f t="shared" si="147"/>
        <v>1</v>
      </c>
      <c r="BB224" s="15">
        <f t="shared" si="148"/>
        <v>0</v>
      </c>
      <c r="BC224" s="15" t="str">
        <f t="shared" si="149"/>
        <v/>
      </c>
      <c r="BD224" s="15" t="str">
        <f t="shared" si="150"/>
        <v/>
      </c>
      <c r="BE224" s="11" t="e">
        <f t="shared" si="151"/>
        <v>#VALUE!</v>
      </c>
      <c r="BF224" s="11" t="e">
        <f t="shared" si="152"/>
        <v>#VALUE!</v>
      </c>
      <c r="BG224" s="11" t="e">
        <f t="shared" si="153"/>
        <v>#VALUE!</v>
      </c>
      <c r="BH224" t="str">
        <f t="shared" si="154"/>
        <v/>
      </c>
      <c r="BI224" t="str" cm="1">
        <f t="array" ref="BI224">_xlfn.IFS(
  L224&gt;0,"Critical Fail",
  M224&gt;0,"Important (Coaching)",
  TRUE,"Clean Pass"
)</f>
        <v>Clean Pass</v>
      </c>
      <c r="BJ224" t="str">
        <f t="shared" si="155"/>
        <v>NA</v>
      </c>
    </row>
    <row r="225" spans="1:62" x14ac:dyDescent="0.3">
      <c r="A225">
        <v>107671</v>
      </c>
      <c r="K225" t="str">
        <f t="shared" si="117"/>
        <v>Pass</v>
      </c>
      <c r="L225" s="15">
        <f t="shared" si="118"/>
        <v>0</v>
      </c>
      <c r="M225" s="15">
        <f t="shared" si="119"/>
        <v>0</v>
      </c>
      <c r="Z225" s="15">
        <f t="shared" si="120"/>
        <v>1</v>
      </c>
      <c r="AA225" s="15">
        <f t="shared" si="121"/>
        <v>1</v>
      </c>
      <c r="AB225" s="15">
        <f t="shared" si="122"/>
        <v>1</v>
      </c>
      <c r="AC225" s="15">
        <f t="shared" si="123"/>
        <v>1</v>
      </c>
      <c r="AD225" s="15">
        <f t="shared" si="124"/>
        <v>1</v>
      </c>
      <c r="AE225" s="15">
        <f t="shared" si="125"/>
        <v>1</v>
      </c>
      <c r="AF225" s="15">
        <f t="shared" si="126"/>
        <v>1</v>
      </c>
      <c r="AG225" s="15">
        <f t="shared" si="127"/>
        <v>1</v>
      </c>
      <c r="AH225" s="15">
        <f t="shared" si="128"/>
        <v>1</v>
      </c>
      <c r="AI225" s="15">
        <f t="shared" si="129"/>
        <v>1</v>
      </c>
      <c r="AJ225" s="15">
        <f t="shared" si="130"/>
        <v>1</v>
      </c>
      <c r="AK225" s="15">
        <f t="shared" si="131"/>
        <v>1</v>
      </c>
      <c r="AL225" s="15">
        <f t="shared" si="132"/>
        <v>1</v>
      </c>
      <c r="AM225" s="15">
        <f t="shared" si="133"/>
        <v>1</v>
      </c>
      <c r="AN225" s="15">
        <f t="shared" si="134"/>
        <v>1</v>
      </c>
      <c r="AO225" s="15">
        <f t="shared" si="135"/>
        <v>1</v>
      </c>
      <c r="AP225" s="15">
        <f t="shared" si="136"/>
        <v>1</v>
      </c>
      <c r="AQ225" s="15">
        <f t="shared" si="137"/>
        <v>1</v>
      </c>
      <c r="AR225" s="15">
        <f t="shared" si="138"/>
        <v>1</v>
      </c>
      <c r="AS225" s="15">
        <f t="shared" si="139"/>
        <v>1</v>
      </c>
      <c r="AT225" s="15">
        <f t="shared" si="140"/>
        <v>1</v>
      </c>
      <c r="AU225" s="15">
        <f t="shared" si="141"/>
        <v>1</v>
      </c>
      <c r="AV225" s="15">
        <f t="shared" si="142"/>
        <v>1</v>
      </c>
      <c r="AW225" s="15">
        <f t="shared" si="143"/>
        <v>1</v>
      </c>
      <c r="AX225" s="15">
        <f t="shared" si="144"/>
        <v>1</v>
      </c>
      <c r="AY225" s="15">
        <f t="shared" si="145"/>
        <v>1</v>
      </c>
      <c r="AZ225" s="15">
        <f t="shared" si="146"/>
        <v>1</v>
      </c>
      <c r="BA225" s="15">
        <f t="shared" si="147"/>
        <v>1</v>
      </c>
      <c r="BB225" s="15">
        <f t="shared" si="148"/>
        <v>0</v>
      </c>
      <c r="BC225" s="15" t="str">
        <f t="shared" si="149"/>
        <v/>
      </c>
      <c r="BD225" s="15" t="str">
        <f t="shared" si="150"/>
        <v/>
      </c>
      <c r="BE225" s="11" t="e">
        <f t="shared" si="151"/>
        <v>#VALUE!</v>
      </c>
      <c r="BF225" s="11" t="e">
        <f t="shared" si="152"/>
        <v>#VALUE!</v>
      </c>
      <c r="BG225" s="11" t="e">
        <f t="shared" si="153"/>
        <v>#VALUE!</v>
      </c>
      <c r="BH225" t="str">
        <f t="shared" si="154"/>
        <v/>
      </c>
      <c r="BI225" t="str" cm="1">
        <f t="array" ref="BI225">_xlfn.IFS(
  L225&gt;0,"Critical Fail",
  M225&gt;0,"Important (Coaching)",
  TRUE,"Clean Pass"
)</f>
        <v>Clean Pass</v>
      </c>
      <c r="BJ225" t="str">
        <f t="shared" si="155"/>
        <v>NA</v>
      </c>
    </row>
    <row r="226" spans="1:62" x14ac:dyDescent="0.3">
      <c r="A226">
        <v>814213</v>
      </c>
      <c r="K226" t="str">
        <f t="shared" si="117"/>
        <v>Pass</v>
      </c>
      <c r="L226" s="15">
        <f t="shared" si="118"/>
        <v>0</v>
      </c>
      <c r="M226" s="15">
        <f t="shared" si="119"/>
        <v>0</v>
      </c>
      <c r="Z226" s="15">
        <f t="shared" si="120"/>
        <v>1</v>
      </c>
      <c r="AA226" s="15">
        <f t="shared" si="121"/>
        <v>1</v>
      </c>
      <c r="AB226" s="15">
        <f t="shared" si="122"/>
        <v>1</v>
      </c>
      <c r="AC226" s="15">
        <f t="shared" si="123"/>
        <v>1</v>
      </c>
      <c r="AD226" s="15">
        <f t="shared" si="124"/>
        <v>1</v>
      </c>
      <c r="AE226" s="15">
        <f t="shared" si="125"/>
        <v>1</v>
      </c>
      <c r="AF226" s="15">
        <f t="shared" si="126"/>
        <v>1</v>
      </c>
      <c r="AG226" s="15">
        <f t="shared" si="127"/>
        <v>1</v>
      </c>
      <c r="AH226" s="15">
        <f t="shared" si="128"/>
        <v>1</v>
      </c>
      <c r="AI226" s="15">
        <f t="shared" si="129"/>
        <v>1</v>
      </c>
      <c r="AJ226" s="15">
        <f t="shared" si="130"/>
        <v>1</v>
      </c>
      <c r="AK226" s="15">
        <f t="shared" si="131"/>
        <v>1</v>
      </c>
      <c r="AL226" s="15">
        <f t="shared" si="132"/>
        <v>1</v>
      </c>
      <c r="AM226" s="15">
        <f t="shared" si="133"/>
        <v>1</v>
      </c>
      <c r="AN226" s="15">
        <f t="shared" si="134"/>
        <v>1</v>
      </c>
      <c r="AO226" s="15">
        <f t="shared" si="135"/>
        <v>1</v>
      </c>
      <c r="AP226" s="15">
        <f t="shared" si="136"/>
        <v>1</v>
      </c>
      <c r="AQ226" s="15">
        <f t="shared" si="137"/>
        <v>1</v>
      </c>
      <c r="AR226" s="15">
        <f t="shared" si="138"/>
        <v>1</v>
      </c>
      <c r="AS226" s="15">
        <f t="shared" si="139"/>
        <v>1</v>
      </c>
      <c r="AT226" s="15">
        <f t="shared" si="140"/>
        <v>1</v>
      </c>
      <c r="AU226" s="15">
        <f t="shared" si="141"/>
        <v>1</v>
      </c>
      <c r="AV226" s="15">
        <f t="shared" si="142"/>
        <v>1</v>
      </c>
      <c r="AW226" s="15">
        <f t="shared" si="143"/>
        <v>1</v>
      </c>
      <c r="AX226" s="15">
        <f t="shared" si="144"/>
        <v>1</v>
      </c>
      <c r="AY226" s="15">
        <f t="shared" si="145"/>
        <v>1</v>
      </c>
      <c r="AZ226" s="15">
        <f t="shared" si="146"/>
        <v>1</v>
      </c>
      <c r="BA226" s="15">
        <f t="shared" si="147"/>
        <v>1</v>
      </c>
      <c r="BB226" s="15">
        <f t="shared" si="148"/>
        <v>0</v>
      </c>
      <c r="BC226" s="15" t="str">
        <f t="shared" si="149"/>
        <v/>
      </c>
      <c r="BD226" s="15" t="str">
        <f t="shared" si="150"/>
        <v/>
      </c>
      <c r="BE226" s="11" t="e">
        <f t="shared" si="151"/>
        <v>#VALUE!</v>
      </c>
      <c r="BF226" s="11" t="e">
        <f t="shared" si="152"/>
        <v>#VALUE!</v>
      </c>
      <c r="BG226" s="11" t="e">
        <f t="shared" si="153"/>
        <v>#VALUE!</v>
      </c>
      <c r="BH226" t="str">
        <f t="shared" si="154"/>
        <v/>
      </c>
      <c r="BI226" t="str" cm="1">
        <f t="array" ref="BI226">_xlfn.IFS(
  L226&gt;0,"Critical Fail",
  M226&gt;0,"Important (Coaching)",
  TRUE,"Clean Pass"
)</f>
        <v>Clean Pass</v>
      </c>
      <c r="BJ226" t="str">
        <f t="shared" si="155"/>
        <v>NA</v>
      </c>
    </row>
    <row r="227" spans="1:62" x14ac:dyDescent="0.3">
      <c r="A227">
        <v>572481</v>
      </c>
      <c r="K227" t="str">
        <f t="shared" si="117"/>
        <v>Pass</v>
      </c>
      <c r="L227" s="15">
        <f t="shared" si="118"/>
        <v>0</v>
      </c>
      <c r="M227" s="15">
        <f t="shared" si="119"/>
        <v>0</v>
      </c>
      <c r="Z227" s="15">
        <f t="shared" si="120"/>
        <v>1</v>
      </c>
      <c r="AA227" s="15">
        <f t="shared" si="121"/>
        <v>1</v>
      </c>
      <c r="AB227" s="15">
        <f t="shared" si="122"/>
        <v>1</v>
      </c>
      <c r="AC227" s="15">
        <f t="shared" si="123"/>
        <v>1</v>
      </c>
      <c r="AD227" s="15">
        <f t="shared" si="124"/>
        <v>1</v>
      </c>
      <c r="AE227" s="15">
        <f t="shared" si="125"/>
        <v>1</v>
      </c>
      <c r="AF227" s="15">
        <f t="shared" si="126"/>
        <v>1</v>
      </c>
      <c r="AG227" s="15">
        <f t="shared" si="127"/>
        <v>1</v>
      </c>
      <c r="AH227" s="15">
        <f t="shared" si="128"/>
        <v>1</v>
      </c>
      <c r="AI227" s="15">
        <f t="shared" si="129"/>
        <v>1</v>
      </c>
      <c r="AJ227" s="15">
        <f t="shared" si="130"/>
        <v>1</v>
      </c>
      <c r="AK227" s="15">
        <f t="shared" si="131"/>
        <v>1</v>
      </c>
      <c r="AL227" s="15">
        <f t="shared" si="132"/>
        <v>1</v>
      </c>
      <c r="AM227" s="15">
        <f t="shared" si="133"/>
        <v>1</v>
      </c>
      <c r="AN227" s="15">
        <f t="shared" si="134"/>
        <v>1</v>
      </c>
      <c r="AO227" s="15">
        <f t="shared" si="135"/>
        <v>1</v>
      </c>
      <c r="AP227" s="15">
        <f t="shared" si="136"/>
        <v>1</v>
      </c>
      <c r="AQ227" s="15">
        <f t="shared" si="137"/>
        <v>1</v>
      </c>
      <c r="AR227" s="15">
        <f t="shared" si="138"/>
        <v>1</v>
      </c>
      <c r="AS227" s="15">
        <f t="shared" si="139"/>
        <v>1</v>
      </c>
      <c r="AT227" s="15">
        <f t="shared" si="140"/>
        <v>1</v>
      </c>
      <c r="AU227" s="15">
        <f t="shared" si="141"/>
        <v>1</v>
      </c>
      <c r="AV227" s="15">
        <f t="shared" si="142"/>
        <v>1</v>
      </c>
      <c r="AW227" s="15">
        <f t="shared" si="143"/>
        <v>1</v>
      </c>
      <c r="AX227" s="15">
        <f t="shared" si="144"/>
        <v>1</v>
      </c>
      <c r="AY227" s="15">
        <f t="shared" si="145"/>
        <v>1</v>
      </c>
      <c r="AZ227" s="15">
        <f t="shared" si="146"/>
        <v>1</v>
      </c>
      <c r="BA227" s="15">
        <f t="shared" si="147"/>
        <v>1</v>
      </c>
      <c r="BB227" s="15">
        <f t="shared" si="148"/>
        <v>0</v>
      </c>
      <c r="BC227" s="15" t="str">
        <f t="shared" si="149"/>
        <v/>
      </c>
      <c r="BD227" s="15" t="str">
        <f t="shared" si="150"/>
        <v/>
      </c>
      <c r="BE227" s="11" t="e">
        <f t="shared" si="151"/>
        <v>#VALUE!</v>
      </c>
      <c r="BF227" s="11" t="e">
        <f t="shared" si="152"/>
        <v>#VALUE!</v>
      </c>
      <c r="BG227" s="11" t="e">
        <f t="shared" si="153"/>
        <v>#VALUE!</v>
      </c>
      <c r="BH227" t="str">
        <f t="shared" si="154"/>
        <v/>
      </c>
      <c r="BI227" t="str" cm="1">
        <f t="array" ref="BI227">_xlfn.IFS(
  L227&gt;0,"Critical Fail",
  M227&gt;0,"Important (Coaching)",
  TRUE,"Clean Pass"
)</f>
        <v>Clean Pass</v>
      </c>
      <c r="BJ227" t="str">
        <f t="shared" si="155"/>
        <v>NA</v>
      </c>
    </row>
    <row r="228" spans="1:62" x14ac:dyDescent="0.3">
      <c r="A228">
        <v>683096</v>
      </c>
      <c r="K228" t="str">
        <f t="shared" si="117"/>
        <v>Pass</v>
      </c>
      <c r="L228" s="15">
        <f t="shared" si="118"/>
        <v>0</v>
      </c>
      <c r="M228" s="15">
        <f t="shared" si="119"/>
        <v>0</v>
      </c>
      <c r="Z228" s="15">
        <f t="shared" si="120"/>
        <v>1</v>
      </c>
      <c r="AA228" s="15">
        <f t="shared" si="121"/>
        <v>1</v>
      </c>
      <c r="AB228" s="15">
        <f t="shared" si="122"/>
        <v>1</v>
      </c>
      <c r="AC228" s="15">
        <f t="shared" si="123"/>
        <v>1</v>
      </c>
      <c r="AD228" s="15">
        <f t="shared" si="124"/>
        <v>1</v>
      </c>
      <c r="AE228" s="15">
        <f t="shared" si="125"/>
        <v>1</v>
      </c>
      <c r="AF228" s="15">
        <f t="shared" si="126"/>
        <v>1</v>
      </c>
      <c r="AG228" s="15">
        <f t="shared" si="127"/>
        <v>1</v>
      </c>
      <c r="AH228" s="15">
        <f t="shared" si="128"/>
        <v>1</v>
      </c>
      <c r="AI228" s="15">
        <f t="shared" si="129"/>
        <v>1</v>
      </c>
      <c r="AJ228" s="15">
        <f t="shared" si="130"/>
        <v>1</v>
      </c>
      <c r="AK228" s="15">
        <f t="shared" si="131"/>
        <v>1</v>
      </c>
      <c r="AL228" s="15">
        <f t="shared" si="132"/>
        <v>1</v>
      </c>
      <c r="AM228" s="15">
        <f t="shared" si="133"/>
        <v>1</v>
      </c>
      <c r="AN228" s="15">
        <f t="shared" si="134"/>
        <v>1</v>
      </c>
      <c r="AO228" s="15">
        <f t="shared" si="135"/>
        <v>1</v>
      </c>
      <c r="AP228" s="15">
        <f t="shared" si="136"/>
        <v>1</v>
      </c>
      <c r="AQ228" s="15">
        <f t="shared" si="137"/>
        <v>1</v>
      </c>
      <c r="AR228" s="15">
        <f t="shared" si="138"/>
        <v>1</v>
      </c>
      <c r="AS228" s="15">
        <f t="shared" si="139"/>
        <v>1</v>
      </c>
      <c r="AT228" s="15">
        <f t="shared" si="140"/>
        <v>1</v>
      </c>
      <c r="AU228" s="15">
        <f t="shared" si="141"/>
        <v>1</v>
      </c>
      <c r="AV228" s="15">
        <f t="shared" si="142"/>
        <v>1</v>
      </c>
      <c r="AW228" s="15">
        <f t="shared" si="143"/>
        <v>1</v>
      </c>
      <c r="AX228" s="15">
        <f t="shared" si="144"/>
        <v>1</v>
      </c>
      <c r="AY228" s="15">
        <f t="shared" si="145"/>
        <v>1</v>
      </c>
      <c r="AZ228" s="15">
        <f t="shared" si="146"/>
        <v>1</v>
      </c>
      <c r="BA228" s="15">
        <f t="shared" si="147"/>
        <v>1</v>
      </c>
      <c r="BB228" s="15">
        <f t="shared" si="148"/>
        <v>0</v>
      </c>
      <c r="BC228" s="15" t="str">
        <f t="shared" si="149"/>
        <v/>
      </c>
      <c r="BD228" s="15" t="str">
        <f t="shared" si="150"/>
        <v/>
      </c>
      <c r="BE228" s="11" t="e">
        <f t="shared" si="151"/>
        <v>#VALUE!</v>
      </c>
      <c r="BF228" s="11" t="e">
        <f t="shared" si="152"/>
        <v>#VALUE!</v>
      </c>
      <c r="BG228" s="11" t="e">
        <f t="shared" si="153"/>
        <v>#VALUE!</v>
      </c>
      <c r="BH228" t="str">
        <f t="shared" si="154"/>
        <v/>
      </c>
      <c r="BI228" t="str" cm="1">
        <f t="array" ref="BI228">_xlfn.IFS(
  L228&gt;0,"Critical Fail",
  M228&gt;0,"Important (Coaching)",
  TRUE,"Clean Pass"
)</f>
        <v>Clean Pass</v>
      </c>
      <c r="BJ228" t="str">
        <f t="shared" si="155"/>
        <v>NA</v>
      </c>
    </row>
    <row r="229" spans="1:62" x14ac:dyDescent="0.3">
      <c r="A229">
        <v>974283</v>
      </c>
      <c r="K229" t="str">
        <f t="shared" si="117"/>
        <v>Pass</v>
      </c>
      <c r="L229" s="15">
        <f t="shared" si="118"/>
        <v>0</v>
      </c>
      <c r="M229" s="15">
        <f t="shared" si="119"/>
        <v>0</v>
      </c>
      <c r="Z229" s="15">
        <f t="shared" si="120"/>
        <v>1</v>
      </c>
      <c r="AA229" s="15">
        <f t="shared" si="121"/>
        <v>1</v>
      </c>
      <c r="AB229" s="15">
        <f t="shared" si="122"/>
        <v>1</v>
      </c>
      <c r="AC229" s="15">
        <f t="shared" si="123"/>
        <v>1</v>
      </c>
      <c r="AD229" s="15">
        <f t="shared" si="124"/>
        <v>1</v>
      </c>
      <c r="AE229" s="15">
        <f t="shared" si="125"/>
        <v>1</v>
      </c>
      <c r="AF229" s="15">
        <f t="shared" si="126"/>
        <v>1</v>
      </c>
      <c r="AG229" s="15">
        <f t="shared" si="127"/>
        <v>1</v>
      </c>
      <c r="AH229" s="15">
        <f t="shared" si="128"/>
        <v>1</v>
      </c>
      <c r="AI229" s="15">
        <f t="shared" si="129"/>
        <v>1</v>
      </c>
      <c r="AJ229" s="15">
        <f t="shared" si="130"/>
        <v>1</v>
      </c>
      <c r="AK229" s="15">
        <f t="shared" si="131"/>
        <v>1</v>
      </c>
      <c r="AL229" s="15">
        <f t="shared" si="132"/>
        <v>1</v>
      </c>
      <c r="AM229" s="15">
        <f t="shared" si="133"/>
        <v>1</v>
      </c>
      <c r="AN229" s="15">
        <f t="shared" si="134"/>
        <v>1</v>
      </c>
      <c r="AO229" s="15">
        <f t="shared" si="135"/>
        <v>1</v>
      </c>
      <c r="AP229" s="15">
        <f t="shared" si="136"/>
        <v>1</v>
      </c>
      <c r="AQ229" s="15">
        <f t="shared" si="137"/>
        <v>1</v>
      </c>
      <c r="AR229" s="15">
        <f t="shared" si="138"/>
        <v>1</v>
      </c>
      <c r="AS229" s="15">
        <f t="shared" si="139"/>
        <v>1</v>
      </c>
      <c r="AT229" s="15">
        <f t="shared" si="140"/>
        <v>1</v>
      </c>
      <c r="AU229" s="15">
        <f t="shared" si="141"/>
        <v>1</v>
      </c>
      <c r="AV229" s="15">
        <f t="shared" si="142"/>
        <v>1</v>
      </c>
      <c r="AW229" s="15">
        <f t="shared" si="143"/>
        <v>1</v>
      </c>
      <c r="AX229" s="15">
        <f t="shared" si="144"/>
        <v>1</v>
      </c>
      <c r="AY229" s="15">
        <f t="shared" si="145"/>
        <v>1</v>
      </c>
      <c r="AZ229" s="15">
        <f t="shared" si="146"/>
        <v>1</v>
      </c>
      <c r="BA229" s="15">
        <f t="shared" si="147"/>
        <v>1</v>
      </c>
      <c r="BB229" s="15">
        <f t="shared" si="148"/>
        <v>0</v>
      </c>
      <c r="BC229" s="15" t="str">
        <f t="shared" si="149"/>
        <v/>
      </c>
      <c r="BD229" s="15" t="str">
        <f t="shared" si="150"/>
        <v/>
      </c>
      <c r="BE229" s="11" t="e">
        <f t="shared" si="151"/>
        <v>#VALUE!</v>
      </c>
      <c r="BF229" s="11" t="e">
        <f t="shared" si="152"/>
        <v>#VALUE!</v>
      </c>
      <c r="BG229" s="11" t="e">
        <f t="shared" si="153"/>
        <v>#VALUE!</v>
      </c>
      <c r="BH229" t="str">
        <f t="shared" si="154"/>
        <v/>
      </c>
      <c r="BI229" t="str" cm="1">
        <f t="array" ref="BI229">_xlfn.IFS(
  L229&gt;0,"Critical Fail",
  M229&gt;0,"Important (Coaching)",
  TRUE,"Clean Pass"
)</f>
        <v>Clean Pass</v>
      </c>
      <c r="BJ229" t="str">
        <f t="shared" si="155"/>
        <v>NA</v>
      </c>
    </row>
    <row r="230" spans="1:62" x14ac:dyDescent="0.3">
      <c r="A230">
        <v>342398</v>
      </c>
      <c r="K230" t="str">
        <f t="shared" si="117"/>
        <v>Pass</v>
      </c>
      <c r="L230" s="15">
        <f t="shared" si="118"/>
        <v>0</v>
      </c>
      <c r="M230" s="15">
        <f t="shared" si="119"/>
        <v>0</v>
      </c>
      <c r="Z230" s="15">
        <f t="shared" si="120"/>
        <v>1</v>
      </c>
      <c r="AA230" s="15">
        <f t="shared" si="121"/>
        <v>1</v>
      </c>
      <c r="AB230" s="15">
        <f t="shared" si="122"/>
        <v>1</v>
      </c>
      <c r="AC230" s="15">
        <f t="shared" si="123"/>
        <v>1</v>
      </c>
      <c r="AD230" s="15">
        <f t="shared" si="124"/>
        <v>1</v>
      </c>
      <c r="AE230" s="15">
        <f t="shared" si="125"/>
        <v>1</v>
      </c>
      <c r="AF230" s="15">
        <f t="shared" si="126"/>
        <v>1</v>
      </c>
      <c r="AG230" s="15">
        <f t="shared" si="127"/>
        <v>1</v>
      </c>
      <c r="AH230" s="15">
        <f t="shared" si="128"/>
        <v>1</v>
      </c>
      <c r="AI230" s="15">
        <f t="shared" si="129"/>
        <v>1</v>
      </c>
      <c r="AJ230" s="15">
        <f t="shared" si="130"/>
        <v>1</v>
      </c>
      <c r="AK230" s="15">
        <f t="shared" si="131"/>
        <v>1</v>
      </c>
      <c r="AL230" s="15">
        <f t="shared" si="132"/>
        <v>1</v>
      </c>
      <c r="AM230" s="15">
        <f t="shared" si="133"/>
        <v>1</v>
      </c>
      <c r="AN230" s="15">
        <f t="shared" si="134"/>
        <v>1</v>
      </c>
      <c r="AO230" s="15">
        <f t="shared" si="135"/>
        <v>1</v>
      </c>
      <c r="AP230" s="15">
        <f t="shared" si="136"/>
        <v>1</v>
      </c>
      <c r="AQ230" s="15">
        <f t="shared" si="137"/>
        <v>1</v>
      </c>
      <c r="AR230" s="15">
        <f t="shared" si="138"/>
        <v>1</v>
      </c>
      <c r="AS230" s="15">
        <f t="shared" si="139"/>
        <v>1</v>
      </c>
      <c r="AT230" s="15">
        <f t="shared" si="140"/>
        <v>1</v>
      </c>
      <c r="AU230" s="15">
        <f t="shared" si="141"/>
        <v>1</v>
      </c>
      <c r="AV230" s="15">
        <f t="shared" si="142"/>
        <v>1</v>
      </c>
      <c r="AW230" s="15">
        <f t="shared" si="143"/>
        <v>1</v>
      </c>
      <c r="AX230" s="15">
        <f t="shared" si="144"/>
        <v>1</v>
      </c>
      <c r="AY230" s="15">
        <f t="shared" si="145"/>
        <v>1</v>
      </c>
      <c r="AZ230" s="15">
        <f t="shared" si="146"/>
        <v>1</v>
      </c>
      <c r="BA230" s="15">
        <f t="shared" si="147"/>
        <v>1</v>
      </c>
      <c r="BB230" s="15">
        <f t="shared" si="148"/>
        <v>0</v>
      </c>
      <c r="BC230" s="15" t="str">
        <f t="shared" si="149"/>
        <v/>
      </c>
      <c r="BD230" s="15" t="str">
        <f t="shared" si="150"/>
        <v/>
      </c>
      <c r="BE230" s="11" t="e">
        <f t="shared" si="151"/>
        <v>#VALUE!</v>
      </c>
      <c r="BF230" s="11" t="e">
        <f t="shared" si="152"/>
        <v>#VALUE!</v>
      </c>
      <c r="BG230" s="11" t="e">
        <f t="shared" si="153"/>
        <v>#VALUE!</v>
      </c>
      <c r="BH230" t="str">
        <f t="shared" si="154"/>
        <v/>
      </c>
      <c r="BI230" t="str" cm="1">
        <f t="array" ref="BI230">_xlfn.IFS(
  L230&gt;0,"Critical Fail",
  M230&gt;0,"Important (Coaching)",
  TRUE,"Clean Pass"
)</f>
        <v>Clean Pass</v>
      </c>
      <c r="BJ230" t="str">
        <f t="shared" si="155"/>
        <v>NA</v>
      </c>
    </row>
    <row r="231" spans="1:62" x14ac:dyDescent="0.3">
      <c r="A231">
        <v>746194</v>
      </c>
      <c r="K231" t="str">
        <f t="shared" si="117"/>
        <v>Pass</v>
      </c>
      <c r="L231" s="15">
        <f t="shared" si="118"/>
        <v>0</v>
      </c>
      <c r="M231" s="15">
        <f t="shared" si="119"/>
        <v>0</v>
      </c>
      <c r="Z231" s="15">
        <f t="shared" si="120"/>
        <v>1</v>
      </c>
      <c r="AA231" s="15">
        <f t="shared" si="121"/>
        <v>1</v>
      </c>
      <c r="AB231" s="15">
        <f t="shared" si="122"/>
        <v>1</v>
      </c>
      <c r="AC231" s="15">
        <f t="shared" si="123"/>
        <v>1</v>
      </c>
      <c r="AD231" s="15">
        <f t="shared" si="124"/>
        <v>1</v>
      </c>
      <c r="AE231" s="15">
        <f t="shared" si="125"/>
        <v>1</v>
      </c>
      <c r="AF231" s="15">
        <f t="shared" si="126"/>
        <v>1</v>
      </c>
      <c r="AG231" s="15">
        <f t="shared" si="127"/>
        <v>1</v>
      </c>
      <c r="AH231" s="15">
        <f t="shared" si="128"/>
        <v>1</v>
      </c>
      <c r="AI231" s="15">
        <f t="shared" si="129"/>
        <v>1</v>
      </c>
      <c r="AJ231" s="15">
        <f t="shared" si="130"/>
        <v>1</v>
      </c>
      <c r="AK231" s="15">
        <f t="shared" si="131"/>
        <v>1</v>
      </c>
      <c r="AL231" s="15">
        <f t="shared" si="132"/>
        <v>1</v>
      </c>
      <c r="AM231" s="15">
        <f t="shared" si="133"/>
        <v>1</v>
      </c>
      <c r="AN231" s="15">
        <f t="shared" si="134"/>
        <v>1</v>
      </c>
      <c r="AO231" s="15">
        <f t="shared" si="135"/>
        <v>1</v>
      </c>
      <c r="AP231" s="15">
        <f t="shared" si="136"/>
        <v>1</v>
      </c>
      <c r="AQ231" s="15">
        <f t="shared" si="137"/>
        <v>1</v>
      </c>
      <c r="AR231" s="15">
        <f t="shared" si="138"/>
        <v>1</v>
      </c>
      <c r="AS231" s="15">
        <f t="shared" si="139"/>
        <v>1</v>
      </c>
      <c r="AT231" s="15">
        <f t="shared" si="140"/>
        <v>1</v>
      </c>
      <c r="AU231" s="15">
        <f t="shared" si="141"/>
        <v>1</v>
      </c>
      <c r="AV231" s="15">
        <f t="shared" si="142"/>
        <v>1</v>
      </c>
      <c r="AW231" s="15">
        <f t="shared" si="143"/>
        <v>1</v>
      </c>
      <c r="AX231" s="15">
        <f t="shared" si="144"/>
        <v>1</v>
      </c>
      <c r="AY231" s="15">
        <f t="shared" si="145"/>
        <v>1</v>
      </c>
      <c r="AZ231" s="15">
        <f t="shared" si="146"/>
        <v>1</v>
      </c>
      <c r="BA231" s="15">
        <f t="shared" si="147"/>
        <v>1</v>
      </c>
      <c r="BB231" s="15">
        <f t="shared" si="148"/>
        <v>0</v>
      </c>
      <c r="BC231" s="15" t="str">
        <f t="shared" si="149"/>
        <v/>
      </c>
      <c r="BD231" s="15" t="str">
        <f t="shared" si="150"/>
        <v/>
      </c>
      <c r="BE231" s="11" t="e">
        <f t="shared" si="151"/>
        <v>#VALUE!</v>
      </c>
      <c r="BF231" s="11" t="e">
        <f t="shared" si="152"/>
        <v>#VALUE!</v>
      </c>
      <c r="BG231" s="11" t="e">
        <f t="shared" si="153"/>
        <v>#VALUE!</v>
      </c>
      <c r="BH231" t="str">
        <f t="shared" si="154"/>
        <v/>
      </c>
      <c r="BI231" t="str" cm="1">
        <f t="array" ref="BI231">_xlfn.IFS(
  L231&gt;0,"Critical Fail",
  M231&gt;0,"Important (Coaching)",
  TRUE,"Clean Pass"
)</f>
        <v>Clean Pass</v>
      </c>
      <c r="BJ231" t="str">
        <f t="shared" si="155"/>
        <v>NA</v>
      </c>
    </row>
    <row r="232" spans="1:62" x14ac:dyDescent="0.3">
      <c r="A232">
        <v>633913</v>
      </c>
      <c r="K232" t="str">
        <f t="shared" si="117"/>
        <v>Pass</v>
      </c>
      <c r="L232" s="15">
        <f t="shared" si="118"/>
        <v>0</v>
      </c>
      <c r="M232" s="15">
        <f t="shared" si="119"/>
        <v>0</v>
      </c>
      <c r="Z232" s="15">
        <f t="shared" si="120"/>
        <v>1</v>
      </c>
      <c r="AA232" s="15">
        <f t="shared" si="121"/>
        <v>1</v>
      </c>
      <c r="AB232" s="15">
        <f t="shared" si="122"/>
        <v>1</v>
      </c>
      <c r="AC232" s="15">
        <f t="shared" si="123"/>
        <v>1</v>
      </c>
      <c r="AD232" s="15">
        <f t="shared" si="124"/>
        <v>1</v>
      </c>
      <c r="AE232" s="15">
        <f t="shared" si="125"/>
        <v>1</v>
      </c>
      <c r="AF232" s="15">
        <f t="shared" si="126"/>
        <v>1</v>
      </c>
      <c r="AG232" s="15">
        <f t="shared" si="127"/>
        <v>1</v>
      </c>
      <c r="AH232" s="15">
        <f t="shared" si="128"/>
        <v>1</v>
      </c>
      <c r="AI232" s="15">
        <f t="shared" si="129"/>
        <v>1</v>
      </c>
      <c r="AJ232" s="15">
        <f t="shared" si="130"/>
        <v>1</v>
      </c>
      <c r="AK232" s="15">
        <f t="shared" si="131"/>
        <v>1</v>
      </c>
      <c r="AL232" s="15">
        <f t="shared" si="132"/>
        <v>1</v>
      </c>
      <c r="AM232" s="15">
        <f t="shared" si="133"/>
        <v>1</v>
      </c>
      <c r="AN232" s="15">
        <f t="shared" si="134"/>
        <v>1</v>
      </c>
      <c r="AO232" s="15">
        <f t="shared" si="135"/>
        <v>1</v>
      </c>
      <c r="AP232" s="15">
        <f t="shared" si="136"/>
        <v>1</v>
      </c>
      <c r="AQ232" s="15">
        <f t="shared" si="137"/>
        <v>1</v>
      </c>
      <c r="AR232" s="15">
        <f t="shared" si="138"/>
        <v>1</v>
      </c>
      <c r="AS232" s="15">
        <f t="shared" si="139"/>
        <v>1</v>
      </c>
      <c r="AT232" s="15">
        <f t="shared" si="140"/>
        <v>1</v>
      </c>
      <c r="AU232" s="15">
        <f t="shared" si="141"/>
        <v>1</v>
      </c>
      <c r="AV232" s="15">
        <f t="shared" si="142"/>
        <v>1</v>
      </c>
      <c r="AW232" s="15">
        <f t="shared" si="143"/>
        <v>1</v>
      </c>
      <c r="AX232" s="15">
        <f t="shared" si="144"/>
        <v>1</v>
      </c>
      <c r="AY232" s="15">
        <f t="shared" si="145"/>
        <v>1</v>
      </c>
      <c r="AZ232" s="15">
        <f t="shared" si="146"/>
        <v>1</v>
      </c>
      <c r="BA232" s="15">
        <f t="shared" si="147"/>
        <v>1</v>
      </c>
      <c r="BB232" s="15">
        <f t="shared" si="148"/>
        <v>0</v>
      </c>
      <c r="BC232" s="15" t="str">
        <f t="shared" si="149"/>
        <v/>
      </c>
      <c r="BD232" s="15" t="str">
        <f t="shared" si="150"/>
        <v/>
      </c>
      <c r="BE232" s="11" t="e">
        <f t="shared" si="151"/>
        <v>#VALUE!</v>
      </c>
      <c r="BF232" s="11" t="e">
        <f t="shared" si="152"/>
        <v>#VALUE!</v>
      </c>
      <c r="BG232" s="11" t="e">
        <f t="shared" si="153"/>
        <v>#VALUE!</v>
      </c>
      <c r="BH232" t="str">
        <f t="shared" si="154"/>
        <v/>
      </c>
      <c r="BI232" t="str" cm="1">
        <f t="array" ref="BI232">_xlfn.IFS(
  L232&gt;0,"Critical Fail",
  M232&gt;0,"Important (Coaching)",
  TRUE,"Clean Pass"
)</f>
        <v>Clean Pass</v>
      </c>
      <c r="BJ232" t="str">
        <f t="shared" si="155"/>
        <v>NA</v>
      </c>
    </row>
    <row r="233" spans="1:62" x14ac:dyDescent="0.3">
      <c r="A233">
        <v>933750</v>
      </c>
      <c r="K233" t="str">
        <f t="shared" si="117"/>
        <v>Pass</v>
      </c>
      <c r="L233" s="15">
        <f t="shared" si="118"/>
        <v>0</v>
      </c>
      <c r="M233" s="15">
        <f t="shared" si="119"/>
        <v>0</v>
      </c>
      <c r="Z233" s="15">
        <f t="shared" si="120"/>
        <v>1</v>
      </c>
      <c r="AA233" s="15">
        <f t="shared" si="121"/>
        <v>1</v>
      </c>
      <c r="AB233" s="15">
        <f t="shared" si="122"/>
        <v>1</v>
      </c>
      <c r="AC233" s="15">
        <f t="shared" si="123"/>
        <v>1</v>
      </c>
      <c r="AD233" s="15">
        <f t="shared" si="124"/>
        <v>1</v>
      </c>
      <c r="AE233" s="15">
        <f t="shared" si="125"/>
        <v>1</v>
      </c>
      <c r="AF233" s="15">
        <f t="shared" si="126"/>
        <v>1</v>
      </c>
      <c r="AG233" s="15">
        <f t="shared" si="127"/>
        <v>1</v>
      </c>
      <c r="AH233" s="15">
        <f t="shared" si="128"/>
        <v>1</v>
      </c>
      <c r="AI233" s="15">
        <f t="shared" si="129"/>
        <v>1</v>
      </c>
      <c r="AJ233" s="15">
        <f t="shared" si="130"/>
        <v>1</v>
      </c>
      <c r="AK233" s="15">
        <f t="shared" si="131"/>
        <v>1</v>
      </c>
      <c r="AL233" s="15">
        <f t="shared" si="132"/>
        <v>1</v>
      </c>
      <c r="AM233" s="15">
        <f t="shared" si="133"/>
        <v>1</v>
      </c>
      <c r="AN233" s="15">
        <f t="shared" si="134"/>
        <v>1</v>
      </c>
      <c r="AO233" s="15">
        <f t="shared" si="135"/>
        <v>1</v>
      </c>
      <c r="AP233" s="15">
        <f t="shared" si="136"/>
        <v>1</v>
      </c>
      <c r="AQ233" s="15">
        <f t="shared" si="137"/>
        <v>1</v>
      </c>
      <c r="AR233" s="15">
        <f t="shared" si="138"/>
        <v>1</v>
      </c>
      <c r="AS233" s="15">
        <f t="shared" si="139"/>
        <v>1</v>
      </c>
      <c r="AT233" s="15">
        <f t="shared" si="140"/>
        <v>1</v>
      </c>
      <c r="AU233" s="15">
        <f t="shared" si="141"/>
        <v>1</v>
      </c>
      <c r="AV233" s="15">
        <f t="shared" si="142"/>
        <v>1</v>
      </c>
      <c r="AW233" s="15">
        <f t="shared" si="143"/>
        <v>1</v>
      </c>
      <c r="AX233" s="15">
        <f t="shared" si="144"/>
        <v>1</v>
      </c>
      <c r="AY233" s="15">
        <f t="shared" si="145"/>
        <v>1</v>
      </c>
      <c r="AZ233" s="15">
        <f t="shared" si="146"/>
        <v>1</v>
      </c>
      <c r="BA233" s="15">
        <f t="shared" si="147"/>
        <v>1</v>
      </c>
      <c r="BB233" s="15">
        <f t="shared" si="148"/>
        <v>0</v>
      </c>
      <c r="BC233" s="15" t="str">
        <f t="shared" si="149"/>
        <v/>
      </c>
      <c r="BD233" s="15" t="str">
        <f t="shared" si="150"/>
        <v/>
      </c>
      <c r="BE233" s="11" t="e">
        <f t="shared" si="151"/>
        <v>#VALUE!</v>
      </c>
      <c r="BF233" s="11" t="e">
        <f t="shared" si="152"/>
        <v>#VALUE!</v>
      </c>
      <c r="BG233" s="11" t="e">
        <f t="shared" si="153"/>
        <v>#VALUE!</v>
      </c>
      <c r="BH233" t="str">
        <f t="shared" si="154"/>
        <v/>
      </c>
      <c r="BI233" t="str" cm="1">
        <f t="array" ref="BI233">_xlfn.IFS(
  L233&gt;0,"Critical Fail",
  M233&gt;0,"Important (Coaching)",
  TRUE,"Clean Pass"
)</f>
        <v>Clean Pass</v>
      </c>
      <c r="BJ233" t="str">
        <f t="shared" si="155"/>
        <v>NA</v>
      </c>
    </row>
    <row r="234" spans="1:62" x14ac:dyDescent="0.3">
      <c r="A234">
        <v>103626</v>
      </c>
      <c r="K234" t="str">
        <f t="shared" si="117"/>
        <v>Pass</v>
      </c>
      <c r="L234" s="15">
        <f t="shared" si="118"/>
        <v>0</v>
      </c>
      <c r="M234" s="15">
        <f t="shared" si="119"/>
        <v>0</v>
      </c>
      <c r="Z234" s="15">
        <f t="shared" si="120"/>
        <v>1</v>
      </c>
      <c r="AA234" s="15">
        <f t="shared" si="121"/>
        <v>1</v>
      </c>
      <c r="AB234" s="15">
        <f t="shared" si="122"/>
        <v>1</v>
      </c>
      <c r="AC234" s="15">
        <f t="shared" si="123"/>
        <v>1</v>
      </c>
      <c r="AD234" s="15">
        <f t="shared" si="124"/>
        <v>1</v>
      </c>
      <c r="AE234" s="15">
        <f t="shared" si="125"/>
        <v>1</v>
      </c>
      <c r="AF234" s="15">
        <f t="shared" si="126"/>
        <v>1</v>
      </c>
      <c r="AG234" s="15">
        <f t="shared" si="127"/>
        <v>1</v>
      </c>
      <c r="AH234" s="15">
        <f t="shared" si="128"/>
        <v>1</v>
      </c>
      <c r="AI234" s="15">
        <f t="shared" si="129"/>
        <v>1</v>
      </c>
      <c r="AJ234" s="15">
        <f t="shared" si="130"/>
        <v>1</v>
      </c>
      <c r="AK234" s="15">
        <f t="shared" si="131"/>
        <v>1</v>
      </c>
      <c r="AL234" s="15">
        <f t="shared" si="132"/>
        <v>1</v>
      </c>
      <c r="AM234" s="15">
        <f t="shared" si="133"/>
        <v>1</v>
      </c>
      <c r="AN234" s="15">
        <f t="shared" si="134"/>
        <v>1</v>
      </c>
      <c r="AO234" s="15">
        <f t="shared" si="135"/>
        <v>1</v>
      </c>
      <c r="AP234" s="15">
        <f t="shared" si="136"/>
        <v>1</v>
      </c>
      <c r="AQ234" s="15">
        <f t="shared" si="137"/>
        <v>1</v>
      </c>
      <c r="AR234" s="15">
        <f t="shared" si="138"/>
        <v>1</v>
      </c>
      <c r="AS234" s="15">
        <f t="shared" si="139"/>
        <v>1</v>
      </c>
      <c r="AT234" s="15">
        <f t="shared" si="140"/>
        <v>1</v>
      </c>
      <c r="AU234" s="15">
        <f t="shared" si="141"/>
        <v>1</v>
      </c>
      <c r="AV234" s="15">
        <f t="shared" si="142"/>
        <v>1</v>
      </c>
      <c r="AW234" s="15">
        <f t="shared" si="143"/>
        <v>1</v>
      </c>
      <c r="AX234" s="15">
        <f t="shared" si="144"/>
        <v>1</v>
      </c>
      <c r="AY234" s="15">
        <f t="shared" si="145"/>
        <v>1</v>
      </c>
      <c r="AZ234" s="15">
        <f t="shared" si="146"/>
        <v>1</v>
      </c>
      <c r="BA234" s="15">
        <f t="shared" si="147"/>
        <v>1</v>
      </c>
      <c r="BB234" s="15">
        <f t="shared" si="148"/>
        <v>0</v>
      </c>
      <c r="BC234" s="15" t="str">
        <f t="shared" si="149"/>
        <v/>
      </c>
      <c r="BD234" s="15" t="str">
        <f t="shared" si="150"/>
        <v/>
      </c>
      <c r="BE234" s="11" t="e">
        <f t="shared" si="151"/>
        <v>#VALUE!</v>
      </c>
      <c r="BF234" s="11" t="e">
        <f t="shared" si="152"/>
        <v>#VALUE!</v>
      </c>
      <c r="BG234" s="11" t="e">
        <f t="shared" si="153"/>
        <v>#VALUE!</v>
      </c>
      <c r="BH234" t="str">
        <f t="shared" si="154"/>
        <v/>
      </c>
      <c r="BI234" t="str" cm="1">
        <f t="array" ref="BI234">_xlfn.IFS(
  L234&gt;0,"Critical Fail",
  M234&gt;0,"Important (Coaching)",
  TRUE,"Clean Pass"
)</f>
        <v>Clean Pass</v>
      </c>
      <c r="BJ234" t="str">
        <f t="shared" si="155"/>
        <v>NA</v>
      </c>
    </row>
    <row r="235" spans="1:62" x14ac:dyDescent="0.3">
      <c r="A235">
        <v>216266</v>
      </c>
      <c r="K235" t="str">
        <f t="shared" si="117"/>
        <v>Pass</v>
      </c>
      <c r="L235" s="15">
        <f t="shared" si="118"/>
        <v>0</v>
      </c>
      <c r="M235" s="15">
        <f t="shared" si="119"/>
        <v>0</v>
      </c>
      <c r="Z235" s="15">
        <f t="shared" si="120"/>
        <v>1</v>
      </c>
      <c r="AA235" s="15">
        <f t="shared" si="121"/>
        <v>1</v>
      </c>
      <c r="AB235" s="15">
        <f t="shared" si="122"/>
        <v>1</v>
      </c>
      <c r="AC235" s="15">
        <f t="shared" si="123"/>
        <v>1</v>
      </c>
      <c r="AD235" s="15">
        <f t="shared" si="124"/>
        <v>1</v>
      </c>
      <c r="AE235" s="15">
        <f t="shared" si="125"/>
        <v>1</v>
      </c>
      <c r="AF235" s="15">
        <f t="shared" si="126"/>
        <v>1</v>
      </c>
      <c r="AG235" s="15">
        <f t="shared" si="127"/>
        <v>1</v>
      </c>
      <c r="AH235" s="15">
        <f t="shared" si="128"/>
        <v>1</v>
      </c>
      <c r="AI235" s="15">
        <f t="shared" si="129"/>
        <v>1</v>
      </c>
      <c r="AJ235" s="15">
        <f t="shared" si="130"/>
        <v>1</v>
      </c>
      <c r="AK235" s="15">
        <f t="shared" si="131"/>
        <v>1</v>
      </c>
      <c r="AL235" s="15">
        <f t="shared" si="132"/>
        <v>1</v>
      </c>
      <c r="AM235" s="15">
        <f t="shared" si="133"/>
        <v>1</v>
      </c>
      <c r="AN235" s="15">
        <f t="shared" si="134"/>
        <v>1</v>
      </c>
      <c r="AO235" s="15">
        <f t="shared" si="135"/>
        <v>1</v>
      </c>
      <c r="AP235" s="15">
        <f t="shared" si="136"/>
        <v>1</v>
      </c>
      <c r="AQ235" s="15">
        <f t="shared" si="137"/>
        <v>1</v>
      </c>
      <c r="AR235" s="15">
        <f t="shared" si="138"/>
        <v>1</v>
      </c>
      <c r="AS235" s="15">
        <f t="shared" si="139"/>
        <v>1</v>
      </c>
      <c r="AT235" s="15">
        <f t="shared" si="140"/>
        <v>1</v>
      </c>
      <c r="AU235" s="15">
        <f t="shared" si="141"/>
        <v>1</v>
      </c>
      <c r="AV235" s="15">
        <f t="shared" si="142"/>
        <v>1</v>
      </c>
      <c r="AW235" s="15">
        <f t="shared" si="143"/>
        <v>1</v>
      </c>
      <c r="AX235" s="15">
        <f t="shared" si="144"/>
        <v>1</v>
      </c>
      <c r="AY235" s="15">
        <f t="shared" si="145"/>
        <v>1</v>
      </c>
      <c r="AZ235" s="15">
        <f t="shared" si="146"/>
        <v>1</v>
      </c>
      <c r="BA235" s="15">
        <f t="shared" si="147"/>
        <v>1</v>
      </c>
      <c r="BB235" s="15">
        <f t="shared" si="148"/>
        <v>0</v>
      </c>
      <c r="BC235" s="15" t="str">
        <f t="shared" si="149"/>
        <v/>
      </c>
      <c r="BD235" s="15" t="str">
        <f t="shared" si="150"/>
        <v/>
      </c>
      <c r="BE235" s="11" t="e">
        <f t="shared" si="151"/>
        <v>#VALUE!</v>
      </c>
      <c r="BF235" s="11" t="e">
        <f t="shared" si="152"/>
        <v>#VALUE!</v>
      </c>
      <c r="BG235" s="11" t="e">
        <f t="shared" si="153"/>
        <v>#VALUE!</v>
      </c>
      <c r="BH235" t="str">
        <f t="shared" si="154"/>
        <v/>
      </c>
      <c r="BI235" t="str" cm="1">
        <f t="array" ref="BI235">_xlfn.IFS(
  L235&gt;0,"Critical Fail",
  M235&gt;0,"Important (Coaching)",
  TRUE,"Clean Pass"
)</f>
        <v>Clean Pass</v>
      </c>
      <c r="BJ235" t="str">
        <f t="shared" si="155"/>
        <v>NA</v>
      </c>
    </row>
    <row r="236" spans="1:62" x14ac:dyDescent="0.3">
      <c r="A236">
        <v>203239</v>
      </c>
      <c r="K236" t="str">
        <f t="shared" si="117"/>
        <v>Pass</v>
      </c>
      <c r="L236" s="15">
        <f t="shared" si="118"/>
        <v>0</v>
      </c>
      <c r="M236" s="15">
        <f t="shared" si="119"/>
        <v>0</v>
      </c>
      <c r="Z236" s="15">
        <f t="shared" si="120"/>
        <v>1</v>
      </c>
      <c r="AA236" s="15">
        <f t="shared" si="121"/>
        <v>1</v>
      </c>
      <c r="AB236" s="15">
        <f t="shared" si="122"/>
        <v>1</v>
      </c>
      <c r="AC236" s="15">
        <f t="shared" si="123"/>
        <v>1</v>
      </c>
      <c r="AD236" s="15">
        <f t="shared" si="124"/>
        <v>1</v>
      </c>
      <c r="AE236" s="15">
        <f t="shared" si="125"/>
        <v>1</v>
      </c>
      <c r="AF236" s="15">
        <f t="shared" si="126"/>
        <v>1</v>
      </c>
      <c r="AG236" s="15">
        <f t="shared" si="127"/>
        <v>1</v>
      </c>
      <c r="AH236" s="15">
        <f t="shared" si="128"/>
        <v>1</v>
      </c>
      <c r="AI236" s="15">
        <f t="shared" si="129"/>
        <v>1</v>
      </c>
      <c r="AJ236" s="15">
        <f t="shared" si="130"/>
        <v>1</v>
      </c>
      <c r="AK236" s="15">
        <f t="shared" si="131"/>
        <v>1</v>
      </c>
      <c r="AL236" s="15">
        <f t="shared" si="132"/>
        <v>1</v>
      </c>
      <c r="AM236" s="15">
        <f t="shared" si="133"/>
        <v>1</v>
      </c>
      <c r="AN236" s="15">
        <f t="shared" si="134"/>
        <v>1</v>
      </c>
      <c r="AO236" s="15">
        <f t="shared" si="135"/>
        <v>1</v>
      </c>
      <c r="AP236" s="15">
        <f t="shared" si="136"/>
        <v>1</v>
      </c>
      <c r="AQ236" s="15">
        <f t="shared" si="137"/>
        <v>1</v>
      </c>
      <c r="AR236" s="15">
        <f t="shared" si="138"/>
        <v>1</v>
      </c>
      <c r="AS236" s="15">
        <f t="shared" si="139"/>
        <v>1</v>
      </c>
      <c r="AT236" s="15">
        <f t="shared" si="140"/>
        <v>1</v>
      </c>
      <c r="AU236" s="15">
        <f t="shared" si="141"/>
        <v>1</v>
      </c>
      <c r="AV236" s="15">
        <f t="shared" si="142"/>
        <v>1</v>
      </c>
      <c r="AW236" s="15">
        <f t="shared" si="143"/>
        <v>1</v>
      </c>
      <c r="AX236" s="15">
        <f t="shared" si="144"/>
        <v>1</v>
      </c>
      <c r="AY236" s="15">
        <f t="shared" si="145"/>
        <v>1</v>
      </c>
      <c r="AZ236" s="15">
        <f t="shared" si="146"/>
        <v>1</v>
      </c>
      <c r="BA236" s="15">
        <f t="shared" si="147"/>
        <v>1</v>
      </c>
      <c r="BB236" s="15">
        <f t="shared" si="148"/>
        <v>0</v>
      </c>
      <c r="BC236" s="15" t="str">
        <f t="shared" si="149"/>
        <v/>
      </c>
      <c r="BD236" s="15" t="str">
        <f t="shared" si="150"/>
        <v/>
      </c>
      <c r="BE236" s="11" t="e">
        <f t="shared" si="151"/>
        <v>#VALUE!</v>
      </c>
      <c r="BF236" s="11" t="e">
        <f t="shared" si="152"/>
        <v>#VALUE!</v>
      </c>
      <c r="BG236" s="11" t="e">
        <f t="shared" si="153"/>
        <v>#VALUE!</v>
      </c>
      <c r="BH236" t="str">
        <f t="shared" si="154"/>
        <v/>
      </c>
      <c r="BI236" t="str" cm="1">
        <f t="array" ref="BI236">_xlfn.IFS(
  L236&gt;0,"Critical Fail",
  M236&gt;0,"Important (Coaching)",
  TRUE,"Clean Pass"
)</f>
        <v>Clean Pass</v>
      </c>
      <c r="BJ236" t="str">
        <f t="shared" si="155"/>
        <v>NA</v>
      </c>
    </row>
    <row r="237" spans="1:62" x14ac:dyDescent="0.3">
      <c r="A237">
        <v>496720</v>
      </c>
      <c r="K237" t="str">
        <f t="shared" si="117"/>
        <v>Pass</v>
      </c>
      <c r="L237" s="15">
        <f t="shared" si="118"/>
        <v>0</v>
      </c>
      <c r="M237" s="15">
        <f t="shared" si="119"/>
        <v>0</v>
      </c>
      <c r="Z237" s="15">
        <f t="shared" si="120"/>
        <v>1</v>
      </c>
      <c r="AA237" s="15">
        <f t="shared" si="121"/>
        <v>1</v>
      </c>
      <c r="AB237" s="15">
        <f t="shared" si="122"/>
        <v>1</v>
      </c>
      <c r="AC237" s="15">
        <f t="shared" si="123"/>
        <v>1</v>
      </c>
      <c r="AD237" s="15">
        <f t="shared" si="124"/>
        <v>1</v>
      </c>
      <c r="AE237" s="15">
        <f t="shared" si="125"/>
        <v>1</v>
      </c>
      <c r="AF237" s="15">
        <f t="shared" si="126"/>
        <v>1</v>
      </c>
      <c r="AG237" s="15">
        <f t="shared" si="127"/>
        <v>1</v>
      </c>
      <c r="AH237" s="15">
        <f t="shared" si="128"/>
        <v>1</v>
      </c>
      <c r="AI237" s="15">
        <f t="shared" si="129"/>
        <v>1</v>
      </c>
      <c r="AJ237" s="15">
        <f t="shared" si="130"/>
        <v>1</v>
      </c>
      <c r="AK237" s="15">
        <f t="shared" si="131"/>
        <v>1</v>
      </c>
      <c r="AL237" s="15">
        <f t="shared" si="132"/>
        <v>1</v>
      </c>
      <c r="AM237" s="15">
        <f t="shared" si="133"/>
        <v>1</v>
      </c>
      <c r="AN237" s="15">
        <f t="shared" si="134"/>
        <v>1</v>
      </c>
      <c r="AO237" s="15">
        <f t="shared" si="135"/>
        <v>1</v>
      </c>
      <c r="AP237" s="15">
        <f t="shared" si="136"/>
        <v>1</v>
      </c>
      <c r="AQ237" s="15">
        <f t="shared" si="137"/>
        <v>1</v>
      </c>
      <c r="AR237" s="15">
        <f t="shared" si="138"/>
        <v>1</v>
      </c>
      <c r="AS237" s="15">
        <f t="shared" si="139"/>
        <v>1</v>
      </c>
      <c r="AT237" s="15">
        <f t="shared" si="140"/>
        <v>1</v>
      </c>
      <c r="AU237" s="15">
        <f t="shared" si="141"/>
        <v>1</v>
      </c>
      <c r="AV237" s="15">
        <f t="shared" si="142"/>
        <v>1</v>
      </c>
      <c r="AW237" s="15">
        <f t="shared" si="143"/>
        <v>1</v>
      </c>
      <c r="AX237" s="15">
        <f t="shared" si="144"/>
        <v>1</v>
      </c>
      <c r="AY237" s="15">
        <f t="shared" si="145"/>
        <v>1</v>
      </c>
      <c r="AZ237" s="15">
        <f t="shared" si="146"/>
        <v>1</v>
      </c>
      <c r="BA237" s="15">
        <f t="shared" si="147"/>
        <v>1</v>
      </c>
      <c r="BB237" s="15">
        <f t="shared" si="148"/>
        <v>0</v>
      </c>
      <c r="BC237" s="15" t="str">
        <f t="shared" si="149"/>
        <v/>
      </c>
      <c r="BD237" s="15" t="str">
        <f t="shared" si="150"/>
        <v/>
      </c>
      <c r="BE237" s="11" t="e">
        <f t="shared" si="151"/>
        <v>#VALUE!</v>
      </c>
      <c r="BF237" s="11" t="e">
        <f t="shared" si="152"/>
        <v>#VALUE!</v>
      </c>
      <c r="BG237" s="11" t="e">
        <f t="shared" si="153"/>
        <v>#VALUE!</v>
      </c>
      <c r="BH237" t="str">
        <f t="shared" si="154"/>
        <v/>
      </c>
      <c r="BI237" t="str" cm="1">
        <f t="array" ref="BI237">_xlfn.IFS(
  L237&gt;0,"Critical Fail",
  M237&gt;0,"Important (Coaching)",
  TRUE,"Clean Pass"
)</f>
        <v>Clean Pass</v>
      </c>
      <c r="BJ237" t="str">
        <f t="shared" si="155"/>
        <v>NA</v>
      </c>
    </row>
    <row r="238" spans="1:62" x14ac:dyDescent="0.3">
      <c r="A238">
        <v>795943</v>
      </c>
      <c r="K238" t="str">
        <f t="shared" si="117"/>
        <v>Pass</v>
      </c>
      <c r="L238" s="15">
        <f t="shared" si="118"/>
        <v>0</v>
      </c>
      <c r="M238" s="15">
        <f t="shared" si="119"/>
        <v>0</v>
      </c>
      <c r="Z238" s="15">
        <f t="shared" si="120"/>
        <v>1</v>
      </c>
      <c r="AA238" s="15">
        <f t="shared" si="121"/>
        <v>1</v>
      </c>
      <c r="AB238" s="15">
        <f t="shared" si="122"/>
        <v>1</v>
      </c>
      <c r="AC238" s="15">
        <f t="shared" si="123"/>
        <v>1</v>
      </c>
      <c r="AD238" s="15">
        <f t="shared" si="124"/>
        <v>1</v>
      </c>
      <c r="AE238" s="15">
        <f t="shared" si="125"/>
        <v>1</v>
      </c>
      <c r="AF238" s="15">
        <f t="shared" si="126"/>
        <v>1</v>
      </c>
      <c r="AG238" s="15">
        <f t="shared" si="127"/>
        <v>1</v>
      </c>
      <c r="AH238" s="15">
        <f t="shared" si="128"/>
        <v>1</v>
      </c>
      <c r="AI238" s="15">
        <f t="shared" si="129"/>
        <v>1</v>
      </c>
      <c r="AJ238" s="15">
        <f t="shared" si="130"/>
        <v>1</v>
      </c>
      <c r="AK238" s="15">
        <f t="shared" si="131"/>
        <v>1</v>
      </c>
      <c r="AL238" s="15">
        <f t="shared" si="132"/>
        <v>1</v>
      </c>
      <c r="AM238" s="15">
        <f t="shared" si="133"/>
        <v>1</v>
      </c>
      <c r="AN238" s="15">
        <f t="shared" si="134"/>
        <v>1</v>
      </c>
      <c r="AO238" s="15">
        <f t="shared" si="135"/>
        <v>1</v>
      </c>
      <c r="AP238" s="15">
        <f t="shared" si="136"/>
        <v>1</v>
      </c>
      <c r="AQ238" s="15">
        <f t="shared" si="137"/>
        <v>1</v>
      </c>
      <c r="AR238" s="15">
        <f t="shared" si="138"/>
        <v>1</v>
      </c>
      <c r="AS238" s="15">
        <f t="shared" si="139"/>
        <v>1</v>
      </c>
      <c r="AT238" s="15">
        <f t="shared" si="140"/>
        <v>1</v>
      </c>
      <c r="AU238" s="15">
        <f t="shared" si="141"/>
        <v>1</v>
      </c>
      <c r="AV238" s="15">
        <f t="shared" si="142"/>
        <v>1</v>
      </c>
      <c r="AW238" s="15">
        <f t="shared" si="143"/>
        <v>1</v>
      </c>
      <c r="AX238" s="15">
        <f t="shared" si="144"/>
        <v>1</v>
      </c>
      <c r="AY238" s="15">
        <f t="shared" si="145"/>
        <v>1</v>
      </c>
      <c r="AZ238" s="15">
        <f t="shared" si="146"/>
        <v>1</v>
      </c>
      <c r="BA238" s="15">
        <f t="shared" si="147"/>
        <v>1</v>
      </c>
      <c r="BB238" s="15">
        <f t="shared" si="148"/>
        <v>0</v>
      </c>
      <c r="BC238" s="15" t="str">
        <f t="shared" si="149"/>
        <v/>
      </c>
      <c r="BD238" s="15" t="str">
        <f t="shared" si="150"/>
        <v/>
      </c>
      <c r="BE238" s="11" t="e">
        <f t="shared" si="151"/>
        <v>#VALUE!</v>
      </c>
      <c r="BF238" s="11" t="e">
        <f t="shared" si="152"/>
        <v>#VALUE!</v>
      </c>
      <c r="BG238" s="11" t="e">
        <f t="shared" si="153"/>
        <v>#VALUE!</v>
      </c>
      <c r="BH238" t="str">
        <f t="shared" si="154"/>
        <v/>
      </c>
      <c r="BI238" t="str" cm="1">
        <f t="array" ref="BI238">_xlfn.IFS(
  L238&gt;0,"Critical Fail",
  M238&gt;0,"Important (Coaching)",
  TRUE,"Clean Pass"
)</f>
        <v>Clean Pass</v>
      </c>
      <c r="BJ238" t="str">
        <f t="shared" si="155"/>
        <v>NA</v>
      </c>
    </row>
    <row r="239" spans="1:62" x14ac:dyDescent="0.3">
      <c r="A239">
        <v>258384</v>
      </c>
      <c r="K239" t="str">
        <f t="shared" si="117"/>
        <v>Pass</v>
      </c>
      <c r="L239" s="15">
        <f t="shared" si="118"/>
        <v>0</v>
      </c>
      <c r="M239" s="15">
        <f t="shared" si="119"/>
        <v>0</v>
      </c>
      <c r="Z239" s="15">
        <f t="shared" si="120"/>
        <v>1</v>
      </c>
      <c r="AA239" s="15">
        <f t="shared" si="121"/>
        <v>1</v>
      </c>
      <c r="AB239" s="15">
        <f t="shared" si="122"/>
        <v>1</v>
      </c>
      <c r="AC239" s="15">
        <f t="shared" si="123"/>
        <v>1</v>
      </c>
      <c r="AD239" s="15">
        <f t="shared" si="124"/>
        <v>1</v>
      </c>
      <c r="AE239" s="15">
        <f t="shared" si="125"/>
        <v>1</v>
      </c>
      <c r="AF239" s="15">
        <f t="shared" si="126"/>
        <v>1</v>
      </c>
      <c r="AG239" s="15">
        <f t="shared" si="127"/>
        <v>1</v>
      </c>
      <c r="AH239" s="15">
        <f t="shared" si="128"/>
        <v>1</v>
      </c>
      <c r="AI239" s="15">
        <f t="shared" si="129"/>
        <v>1</v>
      </c>
      <c r="AJ239" s="15">
        <f t="shared" si="130"/>
        <v>1</v>
      </c>
      <c r="AK239" s="15">
        <f t="shared" si="131"/>
        <v>1</v>
      </c>
      <c r="AL239" s="15">
        <f t="shared" si="132"/>
        <v>1</v>
      </c>
      <c r="AM239" s="15">
        <f t="shared" si="133"/>
        <v>1</v>
      </c>
      <c r="AN239" s="15">
        <f t="shared" si="134"/>
        <v>1</v>
      </c>
      <c r="AO239" s="15">
        <f t="shared" si="135"/>
        <v>1</v>
      </c>
      <c r="AP239" s="15">
        <f t="shared" si="136"/>
        <v>1</v>
      </c>
      <c r="AQ239" s="15">
        <f t="shared" si="137"/>
        <v>1</v>
      </c>
      <c r="AR239" s="15">
        <f t="shared" si="138"/>
        <v>1</v>
      </c>
      <c r="AS239" s="15">
        <f t="shared" si="139"/>
        <v>1</v>
      </c>
      <c r="AT239" s="15">
        <f t="shared" si="140"/>
        <v>1</v>
      </c>
      <c r="AU239" s="15">
        <f t="shared" si="141"/>
        <v>1</v>
      </c>
      <c r="AV239" s="15">
        <f t="shared" si="142"/>
        <v>1</v>
      </c>
      <c r="AW239" s="15">
        <f t="shared" si="143"/>
        <v>1</v>
      </c>
      <c r="AX239" s="15">
        <f t="shared" si="144"/>
        <v>1</v>
      </c>
      <c r="AY239" s="15">
        <f t="shared" si="145"/>
        <v>1</v>
      </c>
      <c r="AZ239" s="15">
        <f t="shared" si="146"/>
        <v>1</v>
      </c>
      <c r="BA239" s="15">
        <f t="shared" si="147"/>
        <v>1</v>
      </c>
      <c r="BB239" s="15">
        <f t="shared" si="148"/>
        <v>0</v>
      </c>
      <c r="BC239" s="15" t="str">
        <f t="shared" si="149"/>
        <v/>
      </c>
      <c r="BD239" s="15" t="str">
        <f t="shared" si="150"/>
        <v/>
      </c>
      <c r="BE239" s="11" t="e">
        <f t="shared" si="151"/>
        <v>#VALUE!</v>
      </c>
      <c r="BF239" s="11" t="e">
        <f t="shared" si="152"/>
        <v>#VALUE!</v>
      </c>
      <c r="BG239" s="11" t="e">
        <f t="shared" si="153"/>
        <v>#VALUE!</v>
      </c>
      <c r="BH239" t="str">
        <f t="shared" si="154"/>
        <v/>
      </c>
      <c r="BI239" t="str" cm="1">
        <f t="array" ref="BI239">_xlfn.IFS(
  L239&gt;0,"Critical Fail",
  M239&gt;0,"Important (Coaching)",
  TRUE,"Clean Pass"
)</f>
        <v>Clean Pass</v>
      </c>
      <c r="BJ239" t="str">
        <f t="shared" si="155"/>
        <v>NA</v>
      </c>
    </row>
    <row r="240" spans="1:62" x14ac:dyDescent="0.3">
      <c r="A240">
        <v>920303</v>
      </c>
      <c r="K240" t="str">
        <f t="shared" si="117"/>
        <v>Pass</v>
      </c>
      <c r="L240" s="15">
        <f t="shared" si="118"/>
        <v>0</v>
      </c>
      <c r="M240" s="15">
        <f t="shared" si="119"/>
        <v>0</v>
      </c>
      <c r="Z240" s="15">
        <f t="shared" si="120"/>
        <v>1</v>
      </c>
      <c r="AA240" s="15">
        <f t="shared" si="121"/>
        <v>1</v>
      </c>
      <c r="AB240" s="15">
        <f t="shared" si="122"/>
        <v>1</v>
      </c>
      <c r="AC240" s="15">
        <f t="shared" si="123"/>
        <v>1</v>
      </c>
      <c r="AD240" s="15">
        <f t="shared" si="124"/>
        <v>1</v>
      </c>
      <c r="AE240" s="15">
        <f t="shared" si="125"/>
        <v>1</v>
      </c>
      <c r="AF240" s="15">
        <f t="shared" si="126"/>
        <v>1</v>
      </c>
      <c r="AG240" s="15">
        <f t="shared" si="127"/>
        <v>1</v>
      </c>
      <c r="AH240" s="15">
        <f t="shared" si="128"/>
        <v>1</v>
      </c>
      <c r="AI240" s="15">
        <f t="shared" si="129"/>
        <v>1</v>
      </c>
      <c r="AJ240" s="15">
        <f t="shared" si="130"/>
        <v>1</v>
      </c>
      <c r="AK240" s="15">
        <f t="shared" si="131"/>
        <v>1</v>
      </c>
      <c r="AL240" s="15">
        <f t="shared" si="132"/>
        <v>1</v>
      </c>
      <c r="AM240" s="15">
        <f t="shared" si="133"/>
        <v>1</v>
      </c>
      <c r="AN240" s="15">
        <f t="shared" si="134"/>
        <v>1</v>
      </c>
      <c r="AO240" s="15">
        <f t="shared" si="135"/>
        <v>1</v>
      </c>
      <c r="AP240" s="15">
        <f t="shared" si="136"/>
        <v>1</v>
      </c>
      <c r="AQ240" s="15">
        <f t="shared" si="137"/>
        <v>1</v>
      </c>
      <c r="AR240" s="15">
        <f t="shared" si="138"/>
        <v>1</v>
      </c>
      <c r="AS240" s="15">
        <f t="shared" si="139"/>
        <v>1</v>
      </c>
      <c r="AT240" s="15">
        <f t="shared" si="140"/>
        <v>1</v>
      </c>
      <c r="AU240" s="15">
        <f t="shared" si="141"/>
        <v>1</v>
      </c>
      <c r="AV240" s="15">
        <f t="shared" si="142"/>
        <v>1</v>
      </c>
      <c r="AW240" s="15">
        <f t="shared" si="143"/>
        <v>1</v>
      </c>
      <c r="AX240" s="15">
        <f t="shared" si="144"/>
        <v>1</v>
      </c>
      <c r="AY240" s="15">
        <f t="shared" si="145"/>
        <v>1</v>
      </c>
      <c r="AZ240" s="15">
        <f t="shared" si="146"/>
        <v>1</v>
      </c>
      <c r="BA240" s="15">
        <f t="shared" si="147"/>
        <v>1</v>
      </c>
      <c r="BB240" s="15">
        <f t="shared" si="148"/>
        <v>0</v>
      </c>
      <c r="BC240" s="15" t="str">
        <f t="shared" si="149"/>
        <v/>
      </c>
      <c r="BD240" s="15" t="str">
        <f t="shared" si="150"/>
        <v/>
      </c>
      <c r="BE240" s="11" t="e">
        <f t="shared" si="151"/>
        <v>#VALUE!</v>
      </c>
      <c r="BF240" s="11" t="e">
        <f t="shared" si="152"/>
        <v>#VALUE!</v>
      </c>
      <c r="BG240" s="11" t="e">
        <f t="shared" si="153"/>
        <v>#VALUE!</v>
      </c>
      <c r="BH240" t="str">
        <f t="shared" si="154"/>
        <v/>
      </c>
      <c r="BI240" t="str" cm="1">
        <f t="array" ref="BI240">_xlfn.IFS(
  L240&gt;0,"Critical Fail",
  M240&gt;0,"Important (Coaching)",
  TRUE,"Clean Pass"
)</f>
        <v>Clean Pass</v>
      </c>
      <c r="BJ240" t="str">
        <f t="shared" si="155"/>
        <v>NA</v>
      </c>
    </row>
    <row r="241" spans="1:62" x14ac:dyDescent="0.3">
      <c r="A241">
        <v>852363</v>
      </c>
      <c r="K241" t="str">
        <f t="shared" si="117"/>
        <v>Pass</v>
      </c>
      <c r="L241" s="15">
        <f t="shared" si="118"/>
        <v>0</v>
      </c>
      <c r="M241" s="15">
        <f t="shared" si="119"/>
        <v>0</v>
      </c>
      <c r="Z241" s="15">
        <f t="shared" si="120"/>
        <v>1</v>
      </c>
      <c r="AA241" s="15">
        <f t="shared" si="121"/>
        <v>1</v>
      </c>
      <c r="AB241" s="15">
        <f t="shared" si="122"/>
        <v>1</v>
      </c>
      <c r="AC241" s="15">
        <f t="shared" si="123"/>
        <v>1</v>
      </c>
      <c r="AD241" s="15">
        <f t="shared" si="124"/>
        <v>1</v>
      </c>
      <c r="AE241" s="15">
        <f t="shared" si="125"/>
        <v>1</v>
      </c>
      <c r="AF241" s="15">
        <f t="shared" si="126"/>
        <v>1</v>
      </c>
      <c r="AG241" s="15">
        <f t="shared" si="127"/>
        <v>1</v>
      </c>
      <c r="AH241" s="15">
        <f t="shared" si="128"/>
        <v>1</v>
      </c>
      <c r="AI241" s="15">
        <f t="shared" si="129"/>
        <v>1</v>
      </c>
      <c r="AJ241" s="15">
        <f t="shared" si="130"/>
        <v>1</v>
      </c>
      <c r="AK241" s="15">
        <f t="shared" si="131"/>
        <v>1</v>
      </c>
      <c r="AL241" s="15">
        <f t="shared" si="132"/>
        <v>1</v>
      </c>
      <c r="AM241" s="15">
        <f t="shared" si="133"/>
        <v>1</v>
      </c>
      <c r="AN241" s="15">
        <f t="shared" si="134"/>
        <v>1</v>
      </c>
      <c r="AO241" s="15">
        <f t="shared" si="135"/>
        <v>1</v>
      </c>
      <c r="AP241" s="15">
        <f t="shared" si="136"/>
        <v>1</v>
      </c>
      <c r="AQ241" s="15">
        <f t="shared" si="137"/>
        <v>1</v>
      </c>
      <c r="AR241" s="15">
        <f t="shared" si="138"/>
        <v>1</v>
      </c>
      <c r="AS241" s="15">
        <f t="shared" si="139"/>
        <v>1</v>
      </c>
      <c r="AT241" s="15">
        <f t="shared" si="140"/>
        <v>1</v>
      </c>
      <c r="AU241" s="15">
        <f t="shared" si="141"/>
        <v>1</v>
      </c>
      <c r="AV241" s="15">
        <f t="shared" si="142"/>
        <v>1</v>
      </c>
      <c r="AW241" s="15">
        <f t="shared" si="143"/>
        <v>1</v>
      </c>
      <c r="AX241" s="15">
        <f t="shared" si="144"/>
        <v>1</v>
      </c>
      <c r="AY241" s="15">
        <f t="shared" si="145"/>
        <v>1</v>
      </c>
      <c r="AZ241" s="15">
        <f t="shared" si="146"/>
        <v>1</v>
      </c>
      <c r="BA241" s="15">
        <f t="shared" si="147"/>
        <v>1</v>
      </c>
      <c r="BB241" s="15">
        <f t="shared" si="148"/>
        <v>0</v>
      </c>
      <c r="BC241" s="15" t="str">
        <f t="shared" si="149"/>
        <v/>
      </c>
      <c r="BD241" s="15" t="str">
        <f t="shared" si="150"/>
        <v/>
      </c>
      <c r="BE241" s="11" t="e">
        <f t="shared" si="151"/>
        <v>#VALUE!</v>
      </c>
      <c r="BF241" s="11" t="e">
        <f t="shared" si="152"/>
        <v>#VALUE!</v>
      </c>
      <c r="BG241" s="11" t="e">
        <f t="shared" si="153"/>
        <v>#VALUE!</v>
      </c>
      <c r="BH241" t="str">
        <f t="shared" si="154"/>
        <v/>
      </c>
      <c r="BI241" t="str" cm="1">
        <f t="array" ref="BI241">_xlfn.IFS(
  L241&gt;0,"Critical Fail",
  M241&gt;0,"Important (Coaching)",
  TRUE,"Clean Pass"
)</f>
        <v>Clean Pass</v>
      </c>
      <c r="BJ241" t="str">
        <f t="shared" si="155"/>
        <v>NA</v>
      </c>
    </row>
    <row r="242" spans="1:62" x14ac:dyDescent="0.3">
      <c r="A242">
        <v>680035</v>
      </c>
      <c r="K242" t="str">
        <f t="shared" si="117"/>
        <v>Pass</v>
      </c>
      <c r="L242" s="15">
        <f t="shared" si="118"/>
        <v>0</v>
      </c>
      <c r="M242" s="15">
        <f t="shared" si="119"/>
        <v>0</v>
      </c>
      <c r="Z242" s="15">
        <f t="shared" si="120"/>
        <v>1</v>
      </c>
      <c r="AA242" s="15">
        <f t="shared" si="121"/>
        <v>1</v>
      </c>
      <c r="AB242" s="15">
        <f t="shared" si="122"/>
        <v>1</v>
      </c>
      <c r="AC242" s="15">
        <f t="shared" si="123"/>
        <v>1</v>
      </c>
      <c r="AD242" s="15">
        <f t="shared" si="124"/>
        <v>1</v>
      </c>
      <c r="AE242" s="15">
        <f t="shared" si="125"/>
        <v>1</v>
      </c>
      <c r="AF242" s="15">
        <f t="shared" si="126"/>
        <v>1</v>
      </c>
      <c r="AG242" s="15">
        <f t="shared" si="127"/>
        <v>1</v>
      </c>
      <c r="AH242" s="15">
        <f t="shared" si="128"/>
        <v>1</v>
      </c>
      <c r="AI242" s="15">
        <f t="shared" si="129"/>
        <v>1</v>
      </c>
      <c r="AJ242" s="15">
        <f t="shared" si="130"/>
        <v>1</v>
      </c>
      <c r="AK242" s="15">
        <f t="shared" si="131"/>
        <v>1</v>
      </c>
      <c r="AL242" s="15">
        <f t="shared" si="132"/>
        <v>1</v>
      </c>
      <c r="AM242" s="15">
        <f t="shared" si="133"/>
        <v>1</v>
      </c>
      <c r="AN242" s="15">
        <f t="shared" si="134"/>
        <v>1</v>
      </c>
      <c r="AO242" s="15">
        <f t="shared" si="135"/>
        <v>1</v>
      </c>
      <c r="AP242" s="15">
        <f t="shared" si="136"/>
        <v>1</v>
      </c>
      <c r="AQ242" s="15">
        <f t="shared" si="137"/>
        <v>1</v>
      </c>
      <c r="AR242" s="15">
        <f t="shared" si="138"/>
        <v>1</v>
      </c>
      <c r="AS242" s="15">
        <f t="shared" si="139"/>
        <v>1</v>
      </c>
      <c r="AT242" s="15">
        <f t="shared" si="140"/>
        <v>1</v>
      </c>
      <c r="AU242" s="15">
        <f t="shared" si="141"/>
        <v>1</v>
      </c>
      <c r="AV242" s="15">
        <f t="shared" si="142"/>
        <v>1</v>
      </c>
      <c r="AW242" s="15">
        <f t="shared" si="143"/>
        <v>1</v>
      </c>
      <c r="AX242" s="15">
        <f t="shared" si="144"/>
        <v>1</v>
      </c>
      <c r="AY242" s="15">
        <f t="shared" si="145"/>
        <v>1</v>
      </c>
      <c r="AZ242" s="15">
        <f t="shared" si="146"/>
        <v>1</v>
      </c>
      <c r="BA242" s="15">
        <f t="shared" si="147"/>
        <v>1</v>
      </c>
      <c r="BB242" s="15">
        <f t="shared" si="148"/>
        <v>0</v>
      </c>
      <c r="BC242" s="15" t="str">
        <f t="shared" si="149"/>
        <v/>
      </c>
      <c r="BD242" s="15" t="str">
        <f t="shared" si="150"/>
        <v/>
      </c>
      <c r="BE242" s="11" t="e">
        <f t="shared" si="151"/>
        <v>#VALUE!</v>
      </c>
      <c r="BF242" s="11" t="e">
        <f t="shared" si="152"/>
        <v>#VALUE!</v>
      </c>
      <c r="BG242" s="11" t="e">
        <f t="shared" si="153"/>
        <v>#VALUE!</v>
      </c>
      <c r="BH242" t="str">
        <f t="shared" si="154"/>
        <v/>
      </c>
      <c r="BI242" t="str" cm="1">
        <f t="array" ref="BI242">_xlfn.IFS(
  L242&gt;0,"Critical Fail",
  M242&gt;0,"Important (Coaching)",
  TRUE,"Clean Pass"
)</f>
        <v>Clean Pass</v>
      </c>
      <c r="BJ242" t="str">
        <f t="shared" si="155"/>
        <v>NA</v>
      </c>
    </row>
    <row r="243" spans="1:62" x14ac:dyDescent="0.3">
      <c r="A243">
        <v>759599</v>
      </c>
      <c r="K243" t="str">
        <f t="shared" si="117"/>
        <v>Pass</v>
      </c>
      <c r="L243" s="15">
        <f t="shared" si="118"/>
        <v>0</v>
      </c>
      <c r="M243" s="15">
        <f t="shared" si="119"/>
        <v>0</v>
      </c>
      <c r="Z243" s="15">
        <f t="shared" si="120"/>
        <v>1</v>
      </c>
      <c r="AA243" s="15">
        <f t="shared" si="121"/>
        <v>1</v>
      </c>
      <c r="AB243" s="15">
        <f t="shared" si="122"/>
        <v>1</v>
      </c>
      <c r="AC243" s="15">
        <f t="shared" si="123"/>
        <v>1</v>
      </c>
      <c r="AD243" s="15">
        <f t="shared" si="124"/>
        <v>1</v>
      </c>
      <c r="AE243" s="15">
        <f t="shared" si="125"/>
        <v>1</v>
      </c>
      <c r="AF243" s="15">
        <f t="shared" si="126"/>
        <v>1</v>
      </c>
      <c r="AG243" s="15">
        <f t="shared" si="127"/>
        <v>1</v>
      </c>
      <c r="AH243" s="15">
        <f t="shared" si="128"/>
        <v>1</v>
      </c>
      <c r="AI243" s="15">
        <f t="shared" si="129"/>
        <v>1</v>
      </c>
      <c r="AJ243" s="15">
        <f t="shared" si="130"/>
        <v>1</v>
      </c>
      <c r="AK243" s="15">
        <f t="shared" si="131"/>
        <v>1</v>
      </c>
      <c r="AL243" s="15">
        <f t="shared" si="132"/>
        <v>1</v>
      </c>
      <c r="AM243" s="15">
        <f t="shared" si="133"/>
        <v>1</v>
      </c>
      <c r="AN243" s="15">
        <f t="shared" si="134"/>
        <v>1</v>
      </c>
      <c r="AO243" s="15">
        <f t="shared" si="135"/>
        <v>1</v>
      </c>
      <c r="AP243" s="15">
        <f t="shared" si="136"/>
        <v>1</v>
      </c>
      <c r="AQ243" s="15">
        <f t="shared" si="137"/>
        <v>1</v>
      </c>
      <c r="AR243" s="15">
        <f t="shared" si="138"/>
        <v>1</v>
      </c>
      <c r="AS243" s="15">
        <f t="shared" si="139"/>
        <v>1</v>
      </c>
      <c r="AT243" s="15">
        <f t="shared" si="140"/>
        <v>1</v>
      </c>
      <c r="AU243" s="15">
        <f t="shared" si="141"/>
        <v>1</v>
      </c>
      <c r="AV243" s="15">
        <f t="shared" si="142"/>
        <v>1</v>
      </c>
      <c r="AW243" s="15">
        <f t="shared" si="143"/>
        <v>1</v>
      </c>
      <c r="AX243" s="15">
        <f t="shared" si="144"/>
        <v>1</v>
      </c>
      <c r="AY243" s="15">
        <f t="shared" si="145"/>
        <v>1</v>
      </c>
      <c r="AZ243" s="15">
        <f t="shared" si="146"/>
        <v>1</v>
      </c>
      <c r="BA243" s="15">
        <f t="shared" si="147"/>
        <v>1</v>
      </c>
      <c r="BB243" s="15">
        <f t="shared" si="148"/>
        <v>0</v>
      </c>
      <c r="BC243" s="15" t="str">
        <f t="shared" si="149"/>
        <v/>
      </c>
      <c r="BD243" s="15" t="str">
        <f t="shared" si="150"/>
        <v/>
      </c>
      <c r="BE243" s="11" t="e">
        <f t="shared" si="151"/>
        <v>#VALUE!</v>
      </c>
      <c r="BF243" s="11" t="e">
        <f t="shared" si="152"/>
        <v>#VALUE!</v>
      </c>
      <c r="BG243" s="11" t="e">
        <f t="shared" si="153"/>
        <v>#VALUE!</v>
      </c>
      <c r="BH243" t="str">
        <f t="shared" si="154"/>
        <v/>
      </c>
      <c r="BI243" t="str" cm="1">
        <f t="array" ref="BI243">_xlfn.IFS(
  L243&gt;0,"Critical Fail",
  M243&gt;0,"Important (Coaching)",
  TRUE,"Clean Pass"
)</f>
        <v>Clean Pass</v>
      </c>
      <c r="BJ243" t="str">
        <f t="shared" si="155"/>
        <v>NA</v>
      </c>
    </row>
    <row r="244" spans="1:62" x14ac:dyDescent="0.3">
      <c r="A244">
        <v>951770</v>
      </c>
      <c r="K244" t="str">
        <f t="shared" si="117"/>
        <v>Pass</v>
      </c>
      <c r="L244" s="15">
        <f t="shared" si="118"/>
        <v>0</v>
      </c>
      <c r="M244" s="15">
        <f t="shared" si="119"/>
        <v>0</v>
      </c>
      <c r="Z244" s="15">
        <f t="shared" si="120"/>
        <v>1</v>
      </c>
      <c r="AA244" s="15">
        <f t="shared" si="121"/>
        <v>1</v>
      </c>
      <c r="AB244" s="15">
        <f t="shared" si="122"/>
        <v>1</v>
      </c>
      <c r="AC244" s="15">
        <f t="shared" si="123"/>
        <v>1</v>
      </c>
      <c r="AD244" s="15">
        <f t="shared" si="124"/>
        <v>1</v>
      </c>
      <c r="AE244" s="15">
        <f t="shared" si="125"/>
        <v>1</v>
      </c>
      <c r="AF244" s="15">
        <f t="shared" si="126"/>
        <v>1</v>
      </c>
      <c r="AG244" s="15">
        <f t="shared" si="127"/>
        <v>1</v>
      </c>
      <c r="AH244" s="15">
        <f t="shared" si="128"/>
        <v>1</v>
      </c>
      <c r="AI244" s="15">
        <f t="shared" si="129"/>
        <v>1</v>
      </c>
      <c r="AJ244" s="15">
        <f t="shared" si="130"/>
        <v>1</v>
      </c>
      <c r="AK244" s="15">
        <f t="shared" si="131"/>
        <v>1</v>
      </c>
      <c r="AL244" s="15">
        <f t="shared" si="132"/>
        <v>1</v>
      </c>
      <c r="AM244" s="15">
        <f t="shared" si="133"/>
        <v>1</v>
      </c>
      <c r="AN244" s="15">
        <f t="shared" si="134"/>
        <v>1</v>
      </c>
      <c r="AO244" s="15">
        <f t="shared" si="135"/>
        <v>1</v>
      </c>
      <c r="AP244" s="15">
        <f t="shared" si="136"/>
        <v>1</v>
      </c>
      <c r="AQ244" s="15">
        <f t="shared" si="137"/>
        <v>1</v>
      </c>
      <c r="AR244" s="15">
        <f t="shared" si="138"/>
        <v>1</v>
      </c>
      <c r="AS244" s="15">
        <f t="shared" si="139"/>
        <v>1</v>
      </c>
      <c r="AT244" s="15">
        <f t="shared" si="140"/>
        <v>1</v>
      </c>
      <c r="AU244" s="15">
        <f t="shared" si="141"/>
        <v>1</v>
      </c>
      <c r="AV244" s="15">
        <f t="shared" si="142"/>
        <v>1</v>
      </c>
      <c r="AW244" s="15">
        <f t="shared" si="143"/>
        <v>1</v>
      </c>
      <c r="AX244" s="15">
        <f t="shared" si="144"/>
        <v>1</v>
      </c>
      <c r="AY244" s="15">
        <f t="shared" si="145"/>
        <v>1</v>
      </c>
      <c r="AZ244" s="15">
        <f t="shared" si="146"/>
        <v>1</v>
      </c>
      <c r="BA244" s="15">
        <f t="shared" si="147"/>
        <v>1</v>
      </c>
      <c r="BB244" s="15">
        <f t="shared" si="148"/>
        <v>0</v>
      </c>
      <c r="BC244" s="15" t="str">
        <f t="shared" si="149"/>
        <v/>
      </c>
      <c r="BD244" s="15" t="str">
        <f t="shared" si="150"/>
        <v/>
      </c>
      <c r="BE244" s="11" t="e">
        <f t="shared" si="151"/>
        <v>#VALUE!</v>
      </c>
      <c r="BF244" s="11" t="e">
        <f t="shared" si="152"/>
        <v>#VALUE!</v>
      </c>
      <c r="BG244" s="11" t="e">
        <f t="shared" si="153"/>
        <v>#VALUE!</v>
      </c>
      <c r="BH244" t="str">
        <f t="shared" si="154"/>
        <v/>
      </c>
      <c r="BI244" t="str" cm="1">
        <f t="array" ref="BI244">_xlfn.IFS(
  L244&gt;0,"Critical Fail",
  M244&gt;0,"Important (Coaching)",
  TRUE,"Clean Pass"
)</f>
        <v>Clean Pass</v>
      </c>
      <c r="BJ244" t="str">
        <f t="shared" si="155"/>
        <v>NA</v>
      </c>
    </row>
    <row r="245" spans="1:62" x14ac:dyDescent="0.3">
      <c r="A245">
        <v>303299</v>
      </c>
      <c r="K245" t="str">
        <f t="shared" si="117"/>
        <v>Pass</v>
      </c>
      <c r="L245" s="15">
        <f t="shared" si="118"/>
        <v>0</v>
      </c>
      <c r="M245" s="15">
        <f t="shared" si="119"/>
        <v>0</v>
      </c>
      <c r="Z245" s="15">
        <f t="shared" si="120"/>
        <v>1</v>
      </c>
      <c r="AA245" s="15">
        <f t="shared" si="121"/>
        <v>1</v>
      </c>
      <c r="AB245" s="15">
        <f t="shared" si="122"/>
        <v>1</v>
      </c>
      <c r="AC245" s="15">
        <f t="shared" si="123"/>
        <v>1</v>
      </c>
      <c r="AD245" s="15">
        <f t="shared" si="124"/>
        <v>1</v>
      </c>
      <c r="AE245" s="15">
        <f t="shared" si="125"/>
        <v>1</v>
      </c>
      <c r="AF245" s="15">
        <f t="shared" si="126"/>
        <v>1</v>
      </c>
      <c r="AG245" s="15">
        <f t="shared" si="127"/>
        <v>1</v>
      </c>
      <c r="AH245" s="15">
        <f t="shared" si="128"/>
        <v>1</v>
      </c>
      <c r="AI245" s="15">
        <f t="shared" si="129"/>
        <v>1</v>
      </c>
      <c r="AJ245" s="15">
        <f t="shared" si="130"/>
        <v>1</v>
      </c>
      <c r="AK245" s="15">
        <f t="shared" si="131"/>
        <v>1</v>
      </c>
      <c r="AL245" s="15">
        <f t="shared" si="132"/>
        <v>1</v>
      </c>
      <c r="AM245" s="15">
        <f t="shared" si="133"/>
        <v>1</v>
      </c>
      <c r="AN245" s="15">
        <f t="shared" si="134"/>
        <v>1</v>
      </c>
      <c r="AO245" s="15">
        <f t="shared" si="135"/>
        <v>1</v>
      </c>
      <c r="AP245" s="15">
        <f t="shared" si="136"/>
        <v>1</v>
      </c>
      <c r="AQ245" s="15">
        <f t="shared" si="137"/>
        <v>1</v>
      </c>
      <c r="AR245" s="15">
        <f t="shared" si="138"/>
        <v>1</v>
      </c>
      <c r="AS245" s="15">
        <f t="shared" si="139"/>
        <v>1</v>
      </c>
      <c r="AT245" s="15">
        <f t="shared" si="140"/>
        <v>1</v>
      </c>
      <c r="AU245" s="15">
        <f t="shared" si="141"/>
        <v>1</v>
      </c>
      <c r="AV245" s="15">
        <f t="shared" si="142"/>
        <v>1</v>
      </c>
      <c r="AW245" s="15">
        <f t="shared" si="143"/>
        <v>1</v>
      </c>
      <c r="AX245" s="15">
        <f t="shared" si="144"/>
        <v>1</v>
      </c>
      <c r="AY245" s="15">
        <f t="shared" si="145"/>
        <v>1</v>
      </c>
      <c r="AZ245" s="15">
        <f t="shared" si="146"/>
        <v>1</v>
      </c>
      <c r="BA245" s="15">
        <f t="shared" si="147"/>
        <v>1</v>
      </c>
      <c r="BB245" s="15">
        <f t="shared" si="148"/>
        <v>0</v>
      </c>
      <c r="BC245" s="15" t="str">
        <f t="shared" si="149"/>
        <v/>
      </c>
      <c r="BD245" s="15" t="str">
        <f t="shared" si="150"/>
        <v/>
      </c>
      <c r="BE245" s="11" t="e">
        <f t="shared" si="151"/>
        <v>#VALUE!</v>
      </c>
      <c r="BF245" s="11" t="e">
        <f t="shared" si="152"/>
        <v>#VALUE!</v>
      </c>
      <c r="BG245" s="11" t="e">
        <f t="shared" si="153"/>
        <v>#VALUE!</v>
      </c>
      <c r="BH245" t="str">
        <f t="shared" si="154"/>
        <v/>
      </c>
      <c r="BI245" t="str" cm="1">
        <f t="array" ref="BI245">_xlfn.IFS(
  L245&gt;0,"Critical Fail",
  M245&gt;0,"Important (Coaching)",
  TRUE,"Clean Pass"
)</f>
        <v>Clean Pass</v>
      </c>
      <c r="BJ245" t="str">
        <f t="shared" si="155"/>
        <v>NA</v>
      </c>
    </row>
    <row r="246" spans="1:62" x14ac:dyDescent="0.3">
      <c r="A246">
        <v>344285</v>
      </c>
      <c r="K246" t="str">
        <f t="shared" si="117"/>
        <v>Pass</v>
      </c>
      <c r="L246" s="15">
        <f t="shared" si="118"/>
        <v>0</v>
      </c>
      <c r="M246" s="15">
        <f t="shared" si="119"/>
        <v>0</v>
      </c>
      <c r="Z246" s="15">
        <f t="shared" si="120"/>
        <v>1</v>
      </c>
      <c r="AA246" s="15">
        <f t="shared" si="121"/>
        <v>1</v>
      </c>
      <c r="AB246" s="15">
        <f t="shared" si="122"/>
        <v>1</v>
      </c>
      <c r="AC246" s="15">
        <f t="shared" si="123"/>
        <v>1</v>
      </c>
      <c r="AD246" s="15">
        <f t="shared" si="124"/>
        <v>1</v>
      </c>
      <c r="AE246" s="15">
        <f t="shared" si="125"/>
        <v>1</v>
      </c>
      <c r="AF246" s="15">
        <f t="shared" si="126"/>
        <v>1</v>
      </c>
      <c r="AG246" s="15">
        <f t="shared" si="127"/>
        <v>1</v>
      </c>
      <c r="AH246" s="15">
        <f t="shared" si="128"/>
        <v>1</v>
      </c>
      <c r="AI246" s="15">
        <f t="shared" si="129"/>
        <v>1</v>
      </c>
      <c r="AJ246" s="15">
        <f t="shared" si="130"/>
        <v>1</v>
      </c>
      <c r="AK246" s="15">
        <f t="shared" si="131"/>
        <v>1</v>
      </c>
      <c r="AL246" s="15">
        <f t="shared" si="132"/>
        <v>1</v>
      </c>
      <c r="AM246" s="15">
        <f t="shared" si="133"/>
        <v>1</v>
      </c>
      <c r="AN246" s="15">
        <f t="shared" si="134"/>
        <v>1</v>
      </c>
      <c r="AO246" s="15">
        <f t="shared" si="135"/>
        <v>1</v>
      </c>
      <c r="AP246" s="15">
        <f t="shared" si="136"/>
        <v>1</v>
      </c>
      <c r="AQ246" s="15">
        <f t="shared" si="137"/>
        <v>1</v>
      </c>
      <c r="AR246" s="15">
        <f t="shared" si="138"/>
        <v>1</v>
      </c>
      <c r="AS246" s="15">
        <f t="shared" si="139"/>
        <v>1</v>
      </c>
      <c r="AT246" s="15">
        <f t="shared" si="140"/>
        <v>1</v>
      </c>
      <c r="AU246" s="15">
        <f t="shared" si="141"/>
        <v>1</v>
      </c>
      <c r="AV246" s="15">
        <f t="shared" si="142"/>
        <v>1</v>
      </c>
      <c r="AW246" s="15">
        <f t="shared" si="143"/>
        <v>1</v>
      </c>
      <c r="AX246" s="15">
        <f t="shared" si="144"/>
        <v>1</v>
      </c>
      <c r="AY246" s="15">
        <f t="shared" si="145"/>
        <v>1</v>
      </c>
      <c r="AZ246" s="15">
        <f t="shared" si="146"/>
        <v>1</v>
      </c>
      <c r="BA246" s="15">
        <f t="shared" si="147"/>
        <v>1</v>
      </c>
      <c r="BB246" s="15">
        <f t="shared" si="148"/>
        <v>0</v>
      </c>
      <c r="BC246" s="15" t="str">
        <f t="shared" si="149"/>
        <v/>
      </c>
      <c r="BD246" s="15" t="str">
        <f t="shared" si="150"/>
        <v/>
      </c>
      <c r="BE246" s="11" t="e">
        <f t="shared" si="151"/>
        <v>#VALUE!</v>
      </c>
      <c r="BF246" s="11" t="e">
        <f t="shared" si="152"/>
        <v>#VALUE!</v>
      </c>
      <c r="BG246" s="11" t="e">
        <f t="shared" si="153"/>
        <v>#VALUE!</v>
      </c>
      <c r="BH246" t="str">
        <f t="shared" si="154"/>
        <v/>
      </c>
      <c r="BI246" t="str" cm="1">
        <f t="array" ref="BI246">_xlfn.IFS(
  L246&gt;0,"Critical Fail",
  M246&gt;0,"Important (Coaching)",
  TRUE,"Clean Pass"
)</f>
        <v>Clean Pass</v>
      </c>
      <c r="BJ246" t="str">
        <f t="shared" si="155"/>
        <v>NA</v>
      </c>
    </row>
    <row r="247" spans="1:62" x14ac:dyDescent="0.3">
      <c r="A247">
        <v>260429</v>
      </c>
      <c r="K247" t="str">
        <f t="shared" si="117"/>
        <v>Pass</v>
      </c>
      <c r="L247" s="15">
        <f t="shared" si="118"/>
        <v>0</v>
      </c>
      <c r="M247" s="15">
        <f t="shared" si="119"/>
        <v>0</v>
      </c>
      <c r="Z247" s="15">
        <f t="shared" si="120"/>
        <v>1</v>
      </c>
      <c r="AA247" s="15">
        <f t="shared" si="121"/>
        <v>1</v>
      </c>
      <c r="AB247" s="15">
        <f t="shared" si="122"/>
        <v>1</v>
      </c>
      <c r="AC247" s="15">
        <f t="shared" si="123"/>
        <v>1</v>
      </c>
      <c r="AD247" s="15">
        <f t="shared" si="124"/>
        <v>1</v>
      </c>
      <c r="AE247" s="15">
        <f t="shared" si="125"/>
        <v>1</v>
      </c>
      <c r="AF247" s="15">
        <f t="shared" si="126"/>
        <v>1</v>
      </c>
      <c r="AG247" s="15">
        <f t="shared" si="127"/>
        <v>1</v>
      </c>
      <c r="AH247" s="15">
        <f t="shared" si="128"/>
        <v>1</v>
      </c>
      <c r="AI247" s="15">
        <f t="shared" si="129"/>
        <v>1</v>
      </c>
      <c r="AJ247" s="15">
        <f t="shared" si="130"/>
        <v>1</v>
      </c>
      <c r="AK247" s="15">
        <f t="shared" si="131"/>
        <v>1</v>
      </c>
      <c r="AL247" s="15">
        <f t="shared" si="132"/>
        <v>1</v>
      </c>
      <c r="AM247" s="15">
        <f t="shared" si="133"/>
        <v>1</v>
      </c>
      <c r="AN247" s="15">
        <f t="shared" si="134"/>
        <v>1</v>
      </c>
      <c r="AO247" s="15">
        <f t="shared" si="135"/>
        <v>1</v>
      </c>
      <c r="AP247" s="15">
        <f t="shared" si="136"/>
        <v>1</v>
      </c>
      <c r="AQ247" s="15">
        <f t="shared" si="137"/>
        <v>1</v>
      </c>
      <c r="AR247" s="15">
        <f t="shared" si="138"/>
        <v>1</v>
      </c>
      <c r="AS247" s="15">
        <f t="shared" si="139"/>
        <v>1</v>
      </c>
      <c r="AT247" s="15">
        <f t="shared" si="140"/>
        <v>1</v>
      </c>
      <c r="AU247" s="15">
        <f t="shared" si="141"/>
        <v>1</v>
      </c>
      <c r="AV247" s="15">
        <f t="shared" si="142"/>
        <v>1</v>
      </c>
      <c r="AW247" s="15">
        <f t="shared" si="143"/>
        <v>1</v>
      </c>
      <c r="AX247" s="15">
        <f t="shared" si="144"/>
        <v>1</v>
      </c>
      <c r="AY247" s="15">
        <f t="shared" si="145"/>
        <v>1</v>
      </c>
      <c r="AZ247" s="15">
        <f t="shared" si="146"/>
        <v>1</v>
      </c>
      <c r="BA247" s="15">
        <f t="shared" si="147"/>
        <v>1</v>
      </c>
      <c r="BB247" s="15">
        <f t="shared" si="148"/>
        <v>0</v>
      </c>
      <c r="BC247" s="15" t="str">
        <f t="shared" si="149"/>
        <v/>
      </c>
      <c r="BD247" s="15" t="str">
        <f t="shared" si="150"/>
        <v/>
      </c>
      <c r="BE247" s="11" t="e">
        <f t="shared" si="151"/>
        <v>#VALUE!</v>
      </c>
      <c r="BF247" s="11" t="e">
        <f t="shared" si="152"/>
        <v>#VALUE!</v>
      </c>
      <c r="BG247" s="11" t="e">
        <f t="shared" si="153"/>
        <v>#VALUE!</v>
      </c>
      <c r="BH247" t="str">
        <f t="shared" si="154"/>
        <v/>
      </c>
      <c r="BI247" t="str" cm="1">
        <f t="array" ref="BI247">_xlfn.IFS(
  L247&gt;0,"Critical Fail",
  M247&gt;0,"Important (Coaching)",
  TRUE,"Clean Pass"
)</f>
        <v>Clean Pass</v>
      </c>
      <c r="BJ247" t="str">
        <f t="shared" si="155"/>
        <v>NA</v>
      </c>
    </row>
    <row r="248" spans="1:62" x14ac:dyDescent="0.3">
      <c r="A248">
        <v>556375</v>
      </c>
      <c r="K248" t="str">
        <f t="shared" si="117"/>
        <v>Pass</v>
      </c>
      <c r="L248" s="15">
        <f t="shared" si="118"/>
        <v>0</v>
      </c>
      <c r="M248" s="15">
        <f t="shared" si="119"/>
        <v>0</v>
      </c>
      <c r="Z248" s="15">
        <f t="shared" si="120"/>
        <v>1</v>
      </c>
      <c r="AA248" s="15">
        <f t="shared" si="121"/>
        <v>1</v>
      </c>
      <c r="AB248" s="15">
        <f t="shared" si="122"/>
        <v>1</v>
      </c>
      <c r="AC248" s="15">
        <f t="shared" si="123"/>
        <v>1</v>
      </c>
      <c r="AD248" s="15">
        <f t="shared" si="124"/>
        <v>1</v>
      </c>
      <c r="AE248" s="15">
        <f t="shared" si="125"/>
        <v>1</v>
      </c>
      <c r="AF248" s="15">
        <f t="shared" si="126"/>
        <v>1</v>
      </c>
      <c r="AG248" s="15">
        <f t="shared" si="127"/>
        <v>1</v>
      </c>
      <c r="AH248" s="15">
        <f t="shared" si="128"/>
        <v>1</v>
      </c>
      <c r="AI248" s="15">
        <f t="shared" si="129"/>
        <v>1</v>
      </c>
      <c r="AJ248" s="15">
        <f t="shared" si="130"/>
        <v>1</v>
      </c>
      <c r="AK248" s="15">
        <f t="shared" si="131"/>
        <v>1</v>
      </c>
      <c r="AL248" s="15">
        <f t="shared" si="132"/>
        <v>1</v>
      </c>
      <c r="AM248" s="15">
        <f t="shared" si="133"/>
        <v>1</v>
      </c>
      <c r="AN248" s="15">
        <f t="shared" si="134"/>
        <v>1</v>
      </c>
      <c r="AO248" s="15">
        <f t="shared" si="135"/>
        <v>1</v>
      </c>
      <c r="AP248" s="15">
        <f t="shared" si="136"/>
        <v>1</v>
      </c>
      <c r="AQ248" s="15">
        <f t="shared" si="137"/>
        <v>1</v>
      </c>
      <c r="AR248" s="15">
        <f t="shared" si="138"/>
        <v>1</v>
      </c>
      <c r="AS248" s="15">
        <f t="shared" si="139"/>
        <v>1</v>
      </c>
      <c r="AT248" s="15">
        <f t="shared" si="140"/>
        <v>1</v>
      </c>
      <c r="AU248" s="15">
        <f t="shared" si="141"/>
        <v>1</v>
      </c>
      <c r="AV248" s="15">
        <f t="shared" si="142"/>
        <v>1</v>
      </c>
      <c r="AW248" s="15">
        <f t="shared" si="143"/>
        <v>1</v>
      </c>
      <c r="AX248" s="15">
        <f t="shared" si="144"/>
        <v>1</v>
      </c>
      <c r="AY248" s="15">
        <f t="shared" si="145"/>
        <v>1</v>
      </c>
      <c r="AZ248" s="15">
        <f t="shared" si="146"/>
        <v>1</v>
      </c>
      <c r="BA248" s="15">
        <f t="shared" si="147"/>
        <v>1</v>
      </c>
      <c r="BB248" s="15">
        <f t="shared" si="148"/>
        <v>0</v>
      </c>
      <c r="BC248" s="15" t="str">
        <f t="shared" si="149"/>
        <v/>
      </c>
      <c r="BD248" s="15" t="str">
        <f t="shared" si="150"/>
        <v/>
      </c>
      <c r="BE248" s="11" t="e">
        <f t="shared" si="151"/>
        <v>#VALUE!</v>
      </c>
      <c r="BF248" s="11" t="e">
        <f t="shared" si="152"/>
        <v>#VALUE!</v>
      </c>
      <c r="BG248" s="11" t="e">
        <f t="shared" si="153"/>
        <v>#VALUE!</v>
      </c>
      <c r="BH248" t="str">
        <f t="shared" si="154"/>
        <v/>
      </c>
      <c r="BI248" t="str" cm="1">
        <f t="array" ref="BI248">_xlfn.IFS(
  L248&gt;0,"Critical Fail",
  M248&gt;0,"Important (Coaching)",
  TRUE,"Clean Pass"
)</f>
        <v>Clean Pass</v>
      </c>
      <c r="BJ248" t="str">
        <f t="shared" si="155"/>
        <v>NA</v>
      </c>
    </row>
    <row r="249" spans="1:62" x14ac:dyDescent="0.3">
      <c r="A249">
        <v>877167</v>
      </c>
      <c r="K249" t="str">
        <f t="shared" si="117"/>
        <v>Pass</v>
      </c>
      <c r="L249" s="15">
        <f t="shared" si="118"/>
        <v>0</v>
      </c>
      <c r="M249" s="15">
        <f t="shared" si="119"/>
        <v>0</v>
      </c>
      <c r="Z249" s="15">
        <f t="shared" si="120"/>
        <v>1</v>
      </c>
      <c r="AA249" s="15">
        <f t="shared" si="121"/>
        <v>1</v>
      </c>
      <c r="AB249" s="15">
        <f t="shared" si="122"/>
        <v>1</v>
      </c>
      <c r="AC249" s="15">
        <f t="shared" si="123"/>
        <v>1</v>
      </c>
      <c r="AD249" s="15">
        <f t="shared" si="124"/>
        <v>1</v>
      </c>
      <c r="AE249" s="15">
        <f t="shared" si="125"/>
        <v>1</v>
      </c>
      <c r="AF249" s="15">
        <f t="shared" si="126"/>
        <v>1</v>
      </c>
      <c r="AG249" s="15">
        <f t="shared" si="127"/>
        <v>1</v>
      </c>
      <c r="AH249" s="15">
        <f t="shared" si="128"/>
        <v>1</v>
      </c>
      <c r="AI249" s="15">
        <f t="shared" si="129"/>
        <v>1</v>
      </c>
      <c r="AJ249" s="15">
        <f t="shared" si="130"/>
        <v>1</v>
      </c>
      <c r="AK249" s="15">
        <f t="shared" si="131"/>
        <v>1</v>
      </c>
      <c r="AL249" s="15">
        <f t="shared" si="132"/>
        <v>1</v>
      </c>
      <c r="AM249" s="15">
        <f t="shared" si="133"/>
        <v>1</v>
      </c>
      <c r="AN249" s="15">
        <f t="shared" si="134"/>
        <v>1</v>
      </c>
      <c r="AO249" s="15">
        <f t="shared" si="135"/>
        <v>1</v>
      </c>
      <c r="AP249" s="15">
        <f t="shared" si="136"/>
        <v>1</v>
      </c>
      <c r="AQ249" s="15">
        <f t="shared" si="137"/>
        <v>1</v>
      </c>
      <c r="AR249" s="15">
        <f t="shared" si="138"/>
        <v>1</v>
      </c>
      <c r="AS249" s="15">
        <f t="shared" si="139"/>
        <v>1</v>
      </c>
      <c r="AT249" s="15">
        <f t="shared" si="140"/>
        <v>1</v>
      </c>
      <c r="AU249" s="15">
        <f t="shared" si="141"/>
        <v>1</v>
      </c>
      <c r="AV249" s="15">
        <f t="shared" si="142"/>
        <v>1</v>
      </c>
      <c r="AW249" s="15">
        <f t="shared" si="143"/>
        <v>1</v>
      </c>
      <c r="AX249" s="15">
        <f t="shared" si="144"/>
        <v>1</v>
      </c>
      <c r="AY249" s="15">
        <f t="shared" si="145"/>
        <v>1</v>
      </c>
      <c r="AZ249" s="15">
        <f t="shared" si="146"/>
        <v>1</v>
      </c>
      <c r="BA249" s="15">
        <f t="shared" si="147"/>
        <v>1</v>
      </c>
      <c r="BB249" s="15">
        <f t="shared" si="148"/>
        <v>0</v>
      </c>
      <c r="BC249" s="15" t="str">
        <f t="shared" si="149"/>
        <v/>
      </c>
      <c r="BD249" s="15" t="str">
        <f t="shared" si="150"/>
        <v/>
      </c>
      <c r="BE249" s="11" t="e">
        <f t="shared" si="151"/>
        <v>#VALUE!</v>
      </c>
      <c r="BF249" s="11" t="e">
        <f t="shared" si="152"/>
        <v>#VALUE!</v>
      </c>
      <c r="BG249" s="11" t="e">
        <f t="shared" si="153"/>
        <v>#VALUE!</v>
      </c>
      <c r="BH249" t="str">
        <f t="shared" si="154"/>
        <v/>
      </c>
      <c r="BI249" t="str" cm="1">
        <f t="array" ref="BI249">_xlfn.IFS(
  L249&gt;0,"Critical Fail",
  M249&gt;0,"Important (Coaching)",
  TRUE,"Clean Pass"
)</f>
        <v>Clean Pass</v>
      </c>
      <c r="BJ249" t="str">
        <f t="shared" si="155"/>
        <v>NA</v>
      </c>
    </row>
    <row r="250" spans="1:62" x14ac:dyDescent="0.3">
      <c r="A250">
        <v>378584</v>
      </c>
      <c r="K250" t="str">
        <f t="shared" si="117"/>
        <v>Pass</v>
      </c>
      <c r="L250" s="15">
        <f t="shared" si="118"/>
        <v>0</v>
      </c>
      <c r="M250" s="15">
        <f t="shared" si="119"/>
        <v>0</v>
      </c>
      <c r="Z250" s="15">
        <f t="shared" si="120"/>
        <v>1</v>
      </c>
      <c r="AA250" s="15">
        <f t="shared" si="121"/>
        <v>1</v>
      </c>
      <c r="AB250" s="15">
        <f t="shared" si="122"/>
        <v>1</v>
      </c>
      <c r="AC250" s="15">
        <f t="shared" si="123"/>
        <v>1</v>
      </c>
      <c r="AD250" s="15">
        <f t="shared" si="124"/>
        <v>1</v>
      </c>
      <c r="AE250" s="15">
        <f t="shared" si="125"/>
        <v>1</v>
      </c>
      <c r="AF250" s="15">
        <f t="shared" si="126"/>
        <v>1</v>
      </c>
      <c r="AG250" s="15">
        <f t="shared" si="127"/>
        <v>1</v>
      </c>
      <c r="AH250" s="15">
        <f t="shared" si="128"/>
        <v>1</v>
      </c>
      <c r="AI250" s="15">
        <f t="shared" si="129"/>
        <v>1</v>
      </c>
      <c r="AJ250" s="15">
        <f t="shared" si="130"/>
        <v>1</v>
      </c>
      <c r="AK250" s="15">
        <f t="shared" si="131"/>
        <v>1</v>
      </c>
      <c r="AL250" s="15">
        <f t="shared" si="132"/>
        <v>1</v>
      </c>
      <c r="AM250" s="15">
        <f t="shared" si="133"/>
        <v>1</v>
      </c>
      <c r="AN250" s="15">
        <f t="shared" si="134"/>
        <v>1</v>
      </c>
      <c r="AO250" s="15">
        <f t="shared" si="135"/>
        <v>1</v>
      </c>
      <c r="AP250" s="15">
        <f t="shared" si="136"/>
        <v>1</v>
      </c>
      <c r="AQ250" s="15">
        <f t="shared" si="137"/>
        <v>1</v>
      </c>
      <c r="AR250" s="15">
        <f t="shared" si="138"/>
        <v>1</v>
      </c>
      <c r="AS250" s="15">
        <f t="shared" si="139"/>
        <v>1</v>
      </c>
      <c r="AT250" s="15">
        <f t="shared" si="140"/>
        <v>1</v>
      </c>
      <c r="AU250" s="15">
        <f t="shared" si="141"/>
        <v>1</v>
      </c>
      <c r="AV250" s="15">
        <f t="shared" si="142"/>
        <v>1</v>
      </c>
      <c r="AW250" s="15">
        <f t="shared" si="143"/>
        <v>1</v>
      </c>
      <c r="AX250" s="15">
        <f t="shared" si="144"/>
        <v>1</v>
      </c>
      <c r="AY250" s="15">
        <f t="shared" si="145"/>
        <v>1</v>
      </c>
      <c r="AZ250" s="15">
        <f t="shared" si="146"/>
        <v>1</v>
      </c>
      <c r="BA250" s="15">
        <f t="shared" si="147"/>
        <v>1</v>
      </c>
      <c r="BB250" s="15">
        <f t="shared" si="148"/>
        <v>0</v>
      </c>
      <c r="BC250" s="15" t="str">
        <f t="shared" si="149"/>
        <v/>
      </c>
      <c r="BD250" s="15" t="str">
        <f t="shared" si="150"/>
        <v/>
      </c>
      <c r="BE250" s="11" t="e">
        <f t="shared" si="151"/>
        <v>#VALUE!</v>
      </c>
      <c r="BF250" s="11" t="e">
        <f t="shared" si="152"/>
        <v>#VALUE!</v>
      </c>
      <c r="BG250" s="11" t="e">
        <f t="shared" si="153"/>
        <v>#VALUE!</v>
      </c>
      <c r="BH250" t="str">
        <f t="shared" si="154"/>
        <v/>
      </c>
      <c r="BI250" t="str" cm="1">
        <f t="array" ref="BI250">_xlfn.IFS(
  L250&gt;0,"Critical Fail",
  M250&gt;0,"Important (Coaching)",
  TRUE,"Clean Pass"
)</f>
        <v>Clean Pass</v>
      </c>
      <c r="BJ250" t="str">
        <f t="shared" si="155"/>
        <v>NA</v>
      </c>
    </row>
    <row r="251" spans="1:62" x14ac:dyDescent="0.3">
      <c r="A251">
        <v>811512</v>
      </c>
      <c r="K251" t="str">
        <f t="shared" si="117"/>
        <v>Pass</v>
      </c>
      <c r="L251" s="15">
        <f t="shared" si="118"/>
        <v>0</v>
      </c>
      <c r="M251" s="15">
        <f t="shared" si="119"/>
        <v>0</v>
      </c>
      <c r="Z251" s="15">
        <f t="shared" si="120"/>
        <v>1</v>
      </c>
      <c r="AA251" s="15">
        <f t="shared" si="121"/>
        <v>1</v>
      </c>
      <c r="AB251" s="15">
        <f t="shared" si="122"/>
        <v>1</v>
      </c>
      <c r="AC251" s="15">
        <f t="shared" si="123"/>
        <v>1</v>
      </c>
      <c r="AD251" s="15">
        <f t="shared" si="124"/>
        <v>1</v>
      </c>
      <c r="AE251" s="15">
        <f t="shared" si="125"/>
        <v>1</v>
      </c>
      <c r="AF251" s="15">
        <f t="shared" si="126"/>
        <v>1</v>
      </c>
      <c r="AG251" s="15">
        <f t="shared" si="127"/>
        <v>1</v>
      </c>
      <c r="AH251" s="15">
        <f t="shared" si="128"/>
        <v>1</v>
      </c>
      <c r="AI251" s="15">
        <f t="shared" si="129"/>
        <v>1</v>
      </c>
      <c r="AJ251" s="15">
        <f t="shared" si="130"/>
        <v>1</v>
      </c>
      <c r="AK251" s="15">
        <f t="shared" si="131"/>
        <v>1</v>
      </c>
      <c r="AL251" s="15">
        <f t="shared" si="132"/>
        <v>1</v>
      </c>
      <c r="AM251" s="15">
        <f t="shared" si="133"/>
        <v>1</v>
      </c>
      <c r="AN251" s="15">
        <f t="shared" si="134"/>
        <v>1</v>
      </c>
      <c r="AO251" s="15">
        <f t="shared" si="135"/>
        <v>1</v>
      </c>
      <c r="AP251" s="15">
        <f t="shared" si="136"/>
        <v>1</v>
      </c>
      <c r="AQ251" s="15">
        <f t="shared" si="137"/>
        <v>1</v>
      </c>
      <c r="AR251" s="15">
        <f t="shared" si="138"/>
        <v>1</v>
      </c>
      <c r="AS251" s="15">
        <f t="shared" si="139"/>
        <v>1</v>
      </c>
      <c r="AT251" s="15">
        <f t="shared" si="140"/>
        <v>1</v>
      </c>
      <c r="AU251" s="15">
        <f t="shared" si="141"/>
        <v>1</v>
      </c>
      <c r="AV251" s="15">
        <f t="shared" si="142"/>
        <v>1</v>
      </c>
      <c r="AW251" s="15">
        <f t="shared" si="143"/>
        <v>1</v>
      </c>
      <c r="AX251" s="15">
        <f t="shared" si="144"/>
        <v>1</v>
      </c>
      <c r="AY251" s="15">
        <f t="shared" si="145"/>
        <v>1</v>
      </c>
      <c r="AZ251" s="15">
        <f t="shared" si="146"/>
        <v>1</v>
      </c>
      <c r="BA251" s="15">
        <f t="shared" si="147"/>
        <v>1</v>
      </c>
      <c r="BB251" s="15">
        <f t="shared" si="148"/>
        <v>0</v>
      </c>
      <c r="BC251" s="15" t="str">
        <f t="shared" si="149"/>
        <v/>
      </c>
      <c r="BD251" s="15" t="str">
        <f t="shared" si="150"/>
        <v/>
      </c>
      <c r="BE251" s="11" t="e">
        <f t="shared" si="151"/>
        <v>#VALUE!</v>
      </c>
      <c r="BF251" s="11" t="e">
        <f t="shared" si="152"/>
        <v>#VALUE!</v>
      </c>
      <c r="BG251" s="11" t="e">
        <f t="shared" si="153"/>
        <v>#VALUE!</v>
      </c>
      <c r="BH251" t="str">
        <f t="shared" si="154"/>
        <v/>
      </c>
      <c r="BI251" t="str" cm="1">
        <f t="array" ref="BI251">_xlfn.IFS(
  L251&gt;0,"Critical Fail",
  M251&gt;0,"Important (Coaching)",
  TRUE,"Clean Pass"
)</f>
        <v>Clean Pass</v>
      </c>
      <c r="BJ251" t="str">
        <f t="shared" si="155"/>
        <v>NA</v>
      </c>
    </row>
    <row r="252" spans="1:62" x14ac:dyDescent="0.3">
      <c r="A252">
        <v>589552</v>
      </c>
      <c r="K252" t="str">
        <f t="shared" si="117"/>
        <v>Pass</v>
      </c>
      <c r="L252" s="15">
        <f t="shared" si="118"/>
        <v>0</v>
      </c>
      <c r="M252" s="15">
        <f t="shared" si="119"/>
        <v>0</v>
      </c>
      <c r="Z252" s="15">
        <f t="shared" si="120"/>
        <v>1</v>
      </c>
      <c r="AA252" s="15">
        <f t="shared" si="121"/>
        <v>1</v>
      </c>
      <c r="AB252" s="15">
        <f t="shared" si="122"/>
        <v>1</v>
      </c>
      <c r="AC252" s="15">
        <f t="shared" si="123"/>
        <v>1</v>
      </c>
      <c r="AD252" s="15">
        <f t="shared" si="124"/>
        <v>1</v>
      </c>
      <c r="AE252" s="15">
        <f t="shared" si="125"/>
        <v>1</v>
      </c>
      <c r="AF252" s="15">
        <f t="shared" si="126"/>
        <v>1</v>
      </c>
      <c r="AG252" s="15">
        <f t="shared" si="127"/>
        <v>1</v>
      </c>
      <c r="AH252" s="15">
        <f t="shared" si="128"/>
        <v>1</v>
      </c>
      <c r="AI252" s="15">
        <f t="shared" si="129"/>
        <v>1</v>
      </c>
      <c r="AJ252" s="15">
        <f t="shared" si="130"/>
        <v>1</v>
      </c>
      <c r="AK252" s="15">
        <f t="shared" si="131"/>
        <v>1</v>
      </c>
      <c r="AL252" s="15">
        <f t="shared" si="132"/>
        <v>1</v>
      </c>
      <c r="AM252" s="15">
        <f t="shared" si="133"/>
        <v>1</v>
      </c>
      <c r="AN252" s="15">
        <f t="shared" si="134"/>
        <v>1</v>
      </c>
      <c r="AO252" s="15">
        <f t="shared" si="135"/>
        <v>1</v>
      </c>
      <c r="AP252" s="15">
        <f t="shared" si="136"/>
        <v>1</v>
      </c>
      <c r="AQ252" s="15">
        <f t="shared" si="137"/>
        <v>1</v>
      </c>
      <c r="AR252" s="15">
        <f t="shared" si="138"/>
        <v>1</v>
      </c>
      <c r="AS252" s="15">
        <f t="shared" si="139"/>
        <v>1</v>
      </c>
      <c r="AT252" s="15">
        <f t="shared" si="140"/>
        <v>1</v>
      </c>
      <c r="AU252" s="15">
        <f t="shared" si="141"/>
        <v>1</v>
      </c>
      <c r="AV252" s="15">
        <f t="shared" si="142"/>
        <v>1</v>
      </c>
      <c r="AW252" s="15">
        <f t="shared" si="143"/>
        <v>1</v>
      </c>
      <c r="AX252" s="15">
        <f t="shared" si="144"/>
        <v>1</v>
      </c>
      <c r="AY252" s="15">
        <f t="shared" si="145"/>
        <v>1</v>
      </c>
      <c r="AZ252" s="15">
        <f t="shared" si="146"/>
        <v>1</v>
      </c>
      <c r="BA252" s="15">
        <f t="shared" si="147"/>
        <v>1</v>
      </c>
      <c r="BB252" s="15">
        <f t="shared" si="148"/>
        <v>0</v>
      </c>
      <c r="BC252" s="15" t="str">
        <f t="shared" si="149"/>
        <v/>
      </c>
      <c r="BD252" s="15" t="str">
        <f t="shared" si="150"/>
        <v/>
      </c>
      <c r="BE252" s="11" t="e">
        <f t="shared" si="151"/>
        <v>#VALUE!</v>
      </c>
      <c r="BF252" s="11" t="e">
        <f t="shared" si="152"/>
        <v>#VALUE!</v>
      </c>
      <c r="BG252" s="11" t="e">
        <f t="shared" si="153"/>
        <v>#VALUE!</v>
      </c>
      <c r="BH252" t="str">
        <f t="shared" si="154"/>
        <v/>
      </c>
      <c r="BI252" t="str" cm="1">
        <f t="array" ref="BI252">_xlfn.IFS(
  L252&gt;0,"Critical Fail",
  M252&gt;0,"Important (Coaching)",
  TRUE,"Clean Pass"
)</f>
        <v>Clean Pass</v>
      </c>
      <c r="BJ252" t="str">
        <f t="shared" si="155"/>
        <v>NA</v>
      </c>
    </row>
    <row r="253" spans="1:62" x14ac:dyDescent="0.3">
      <c r="A253">
        <v>984741</v>
      </c>
      <c r="K253" t="str">
        <f t="shared" si="117"/>
        <v>Pass</v>
      </c>
      <c r="L253" s="15">
        <f t="shared" si="118"/>
        <v>0</v>
      </c>
      <c r="M253" s="15">
        <f t="shared" si="119"/>
        <v>0</v>
      </c>
      <c r="Z253" s="15">
        <f t="shared" si="120"/>
        <v>1</v>
      </c>
      <c r="AA253" s="15">
        <f t="shared" si="121"/>
        <v>1</v>
      </c>
      <c r="AB253" s="15">
        <f t="shared" si="122"/>
        <v>1</v>
      </c>
      <c r="AC253" s="15">
        <f t="shared" si="123"/>
        <v>1</v>
      </c>
      <c r="AD253" s="15">
        <f t="shared" si="124"/>
        <v>1</v>
      </c>
      <c r="AE253" s="15">
        <f t="shared" si="125"/>
        <v>1</v>
      </c>
      <c r="AF253" s="15">
        <f t="shared" si="126"/>
        <v>1</v>
      </c>
      <c r="AG253" s="15">
        <f t="shared" si="127"/>
        <v>1</v>
      </c>
      <c r="AH253" s="15">
        <f t="shared" si="128"/>
        <v>1</v>
      </c>
      <c r="AI253" s="15">
        <f t="shared" si="129"/>
        <v>1</v>
      </c>
      <c r="AJ253" s="15">
        <f t="shared" si="130"/>
        <v>1</v>
      </c>
      <c r="AK253" s="15">
        <f t="shared" si="131"/>
        <v>1</v>
      </c>
      <c r="AL253" s="15">
        <f t="shared" si="132"/>
        <v>1</v>
      </c>
      <c r="AM253" s="15">
        <f t="shared" si="133"/>
        <v>1</v>
      </c>
      <c r="AN253" s="15">
        <f t="shared" si="134"/>
        <v>1</v>
      </c>
      <c r="AO253" s="15">
        <f t="shared" si="135"/>
        <v>1</v>
      </c>
      <c r="AP253" s="15">
        <f t="shared" si="136"/>
        <v>1</v>
      </c>
      <c r="AQ253" s="15">
        <f t="shared" si="137"/>
        <v>1</v>
      </c>
      <c r="AR253" s="15">
        <f t="shared" si="138"/>
        <v>1</v>
      </c>
      <c r="AS253" s="15">
        <f t="shared" si="139"/>
        <v>1</v>
      </c>
      <c r="AT253" s="15">
        <f t="shared" si="140"/>
        <v>1</v>
      </c>
      <c r="AU253" s="15">
        <f t="shared" si="141"/>
        <v>1</v>
      </c>
      <c r="AV253" s="15">
        <f t="shared" si="142"/>
        <v>1</v>
      </c>
      <c r="AW253" s="15">
        <f t="shared" si="143"/>
        <v>1</v>
      </c>
      <c r="AX253" s="15">
        <f t="shared" si="144"/>
        <v>1</v>
      </c>
      <c r="AY253" s="15">
        <f t="shared" si="145"/>
        <v>1</v>
      </c>
      <c r="AZ253" s="15">
        <f t="shared" si="146"/>
        <v>1</v>
      </c>
      <c r="BA253" s="15">
        <f t="shared" si="147"/>
        <v>1</v>
      </c>
      <c r="BB253" s="15">
        <f t="shared" si="148"/>
        <v>0</v>
      </c>
      <c r="BC253" s="15" t="str">
        <f t="shared" si="149"/>
        <v/>
      </c>
      <c r="BD253" s="15" t="str">
        <f t="shared" si="150"/>
        <v/>
      </c>
      <c r="BE253" s="11" t="e">
        <f t="shared" si="151"/>
        <v>#VALUE!</v>
      </c>
      <c r="BF253" s="11" t="e">
        <f t="shared" si="152"/>
        <v>#VALUE!</v>
      </c>
      <c r="BG253" s="11" t="e">
        <f t="shared" si="153"/>
        <v>#VALUE!</v>
      </c>
      <c r="BH253" t="str">
        <f t="shared" si="154"/>
        <v/>
      </c>
      <c r="BI253" t="str" cm="1">
        <f t="array" ref="BI253">_xlfn.IFS(
  L253&gt;0,"Critical Fail",
  M253&gt;0,"Important (Coaching)",
  TRUE,"Clean Pass"
)</f>
        <v>Clean Pass</v>
      </c>
      <c r="BJ253" t="str">
        <f t="shared" si="155"/>
        <v>NA</v>
      </c>
    </row>
    <row r="254" spans="1:62" x14ac:dyDescent="0.3">
      <c r="A254">
        <v>655309</v>
      </c>
      <c r="K254" t="str">
        <f t="shared" si="117"/>
        <v>Pass</v>
      </c>
      <c r="L254" s="15">
        <f t="shared" si="118"/>
        <v>0</v>
      </c>
      <c r="M254" s="15">
        <f t="shared" si="119"/>
        <v>0</v>
      </c>
      <c r="Z254" s="15">
        <f t="shared" si="120"/>
        <v>1</v>
      </c>
      <c r="AA254" s="15">
        <f t="shared" si="121"/>
        <v>1</v>
      </c>
      <c r="AB254" s="15">
        <f t="shared" si="122"/>
        <v>1</v>
      </c>
      <c r="AC254" s="15">
        <f t="shared" si="123"/>
        <v>1</v>
      </c>
      <c r="AD254" s="15">
        <f t="shared" si="124"/>
        <v>1</v>
      </c>
      <c r="AE254" s="15">
        <f t="shared" si="125"/>
        <v>1</v>
      </c>
      <c r="AF254" s="15">
        <f t="shared" si="126"/>
        <v>1</v>
      </c>
      <c r="AG254" s="15">
        <f t="shared" si="127"/>
        <v>1</v>
      </c>
      <c r="AH254" s="15">
        <f t="shared" si="128"/>
        <v>1</v>
      </c>
      <c r="AI254" s="15">
        <f t="shared" si="129"/>
        <v>1</v>
      </c>
      <c r="AJ254" s="15">
        <f t="shared" si="130"/>
        <v>1</v>
      </c>
      <c r="AK254" s="15">
        <f t="shared" si="131"/>
        <v>1</v>
      </c>
      <c r="AL254" s="15">
        <f t="shared" si="132"/>
        <v>1</v>
      </c>
      <c r="AM254" s="15">
        <f t="shared" si="133"/>
        <v>1</v>
      </c>
      <c r="AN254" s="15">
        <f t="shared" si="134"/>
        <v>1</v>
      </c>
      <c r="AO254" s="15">
        <f t="shared" si="135"/>
        <v>1</v>
      </c>
      <c r="AP254" s="15">
        <f t="shared" si="136"/>
        <v>1</v>
      </c>
      <c r="AQ254" s="15">
        <f t="shared" si="137"/>
        <v>1</v>
      </c>
      <c r="AR254" s="15">
        <f t="shared" si="138"/>
        <v>1</v>
      </c>
      <c r="AS254" s="15">
        <f t="shared" si="139"/>
        <v>1</v>
      </c>
      <c r="AT254" s="15">
        <f t="shared" si="140"/>
        <v>1</v>
      </c>
      <c r="AU254" s="15">
        <f t="shared" si="141"/>
        <v>1</v>
      </c>
      <c r="AV254" s="15">
        <f t="shared" si="142"/>
        <v>1</v>
      </c>
      <c r="AW254" s="15">
        <f t="shared" si="143"/>
        <v>1</v>
      </c>
      <c r="AX254" s="15">
        <f t="shared" si="144"/>
        <v>1</v>
      </c>
      <c r="AY254" s="15">
        <f t="shared" si="145"/>
        <v>1</v>
      </c>
      <c r="AZ254" s="15">
        <f t="shared" si="146"/>
        <v>1</v>
      </c>
      <c r="BA254" s="15">
        <f t="shared" si="147"/>
        <v>1</v>
      </c>
      <c r="BB254" s="15">
        <f t="shared" si="148"/>
        <v>0</v>
      </c>
      <c r="BC254" s="15" t="str">
        <f t="shared" si="149"/>
        <v/>
      </c>
      <c r="BD254" s="15" t="str">
        <f t="shared" si="150"/>
        <v/>
      </c>
      <c r="BE254" s="11" t="e">
        <f t="shared" si="151"/>
        <v>#VALUE!</v>
      </c>
      <c r="BF254" s="11" t="e">
        <f t="shared" si="152"/>
        <v>#VALUE!</v>
      </c>
      <c r="BG254" s="11" t="e">
        <f t="shared" si="153"/>
        <v>#VALUE!</v>
      </c>
      <c r="BH254" t="str">
        <f t="shared" si="154"/>
        <v/>
      </c>
      <c r="BI254" t="str" cm="1">
        <f t="array" ref="BI254">_xlfn.IFS(
  L254&gt;0,"Critical Fail",
  M254&gt;0,"Important (Coaching)",
  TRUE,"Clean Pass"
)</f>
        <v>Clean Pass</v>
      </c>
      <c r="BJ254" t="str">
        <f t="shared" si="155"/>
        <v>NA</v>
      </c>
    </row>
    <row r="255" spans="1:62" x14ac:dyDescent="0.3">
      <c r="A255">
        <v>985491</v>
      </c>
      <c r="K255" t="str">
        <f t="shared" si="117"/>
        <v>Pass</v>
      </c>
      <c r="L255" s="15">
        <f t="shared" si="118"/>
        <v>0</v>
      </c>
      <c r="M255" s="15">
        <f t="shared" si="119"/>
        <v>0</v>
      </c>
      <c r="Z255" s="15">
        <f t="shared" si="120"/>
        <v>1</v>
      </c>
      <c r="AA255" s="15">
        <f t="shared" si="121"/>
        <v>1</v>
      </c>
      <c r="AB255" s="15">
        <f t="shared" si="122"/>
        <v>1</v>
      </c>
      <c r="AC255" s="15">
        <f t="shared" si="123"/>
        <v>1</v>
      </c>
      <c r="AD255" s="15">
        <f t="shared" si="124"/>
        <v>1</v>
      </c>
      <c r="AE255" s="15">
        <f t="shared" si="125"/>
        <v>1</v>
      </c>
      <c r="AF255" s="15">
        <f t="shared" si="126"/>
        <v>1</v>
      </c>
      <c r="AG255" s="15">
        <f t="shared" si="127"/>
        <v>1</v>
      </c>
      <c r="AH255" s="15">
        <f t="shared" si="128"/>
        <v>1</v>
      </c>
      <c r="AI255" s="15">
        <f t="shared" si="129"/>
        <v>1</v>
      </c>
      <c r="AJ255" s="15">
        <f t="shared" si="130"/>
        <v>1</v>
      </c>
      <c r="AK255" s="15">
        <f t="shared" si="131"/>
        <v>1</v>
      </c>
      <c r="AL255" s="15">
        <f t="shared" si="132"/>
        <v>1</v>
      </c>
      <c r="AM255" s="15">
        <f t="shared" si="133"/>
        <v>1</v>
      </c>
      <c r="AN255" s="15">
        <f t="shared" si="134"/>
        <v>1</v>
      </c>
      <c r="AO255" s="15">
        <f t="shared" si="135"/>
        <v>1</v>
      </c>
      <c r="AP255" s="15">
        <f t="shared" si="136"/>
        <v>1</v>
      </c>
      <c r="AQ255" s="15">
        <f t="shared" si="137"/>
        <v>1</v>
      </c>
      <c r="AR255" s="15">
        <f t="shared" si="138"/>
        <v>1</v>
      </c>
      <c r="AS255" s="15">
        <f t="shared" si="139"/>
        <v>1</v>
      </c>
      <c r="AT255" s="15">
        <f t="shared" si="140"/>
        <v>1</v>
      </c>
      <c r="AU255" s="15">
        <f t="shared" si="141"/>
        <v>1</v>
      </c>
      <c r="AV255" s="15">
        <f t="shared" si="142"/>
        <v>1</v>
      </c>
      <c r="AW255" s="15">
        <f t="shared" si="143"/>
        <v>1</v>
      </c>
      <c r="AX255" s="15">
        <f t="shared" si="144"/>
        <v>1</v>
      </c>
      <c r="AY255" s="15">
        <f t="shared" si="145"/>
        <v>1</v>
      </c>
      <c r="AZ255" s="15">
        <f t="shared" si="146"/>
        <v>1</v>
      </c>
      <c r="BA255" s="15">
        <f t="shared" si="147"/>
        <v>1</v>
      </c>
      <c r="BB255" s="15">
        <f t="shared" si="148"/>
        <v>0</v>
      </c>
      <c r="BC255" s="15" t="str">
        <f t="shared" si="149"/>
        <v/>
      </c>
      <c r="BD255" s="15" t="str">
        <f t="shared" si="150"/>
        <v/>
      </c>
      <c r="BE255" s="11" t="e">
        <f t="shared" si="151"/>
        <v>#VALUE!</v>
      </c>
      <c r="BF255" s="11" t="e">
        <f t="shared" si="152"/>
        <v>#VALUE!</v>
      </c>
      <c r="BG255" s="11" t="e">
        <f t="shared" si="153"/>
        <v>#VALUE!</v>
      </c>
      <c r="BH255" t="str">
        <f t="shared" si="154"/>
        <v/>
      </c>
      <c r="BI255" t="str" cm="1">
        <f t="array" ref="BI255">_xlfn.IFS(
  L255&gt;0,"Critical Fail",
  M255&gt;0,"Important (Coaching)",
  TRUE,"Clean Pass"
)</f>
        <v>Clean Pass</v>
      </c>
      <c r="BJ255" t="str">
        <f t="shared" si="155"/>
        <v>NA</v>
      </c>
    </row>
    <row r="256" spans="1:62" x14ac:dyDescent="0.3">
      <c r="A256">
        <v>165730</v>
      </c>
      <c r="K256" t="str">
        <f t="shared" si="117"/>
        <v>Pass</v>
      </c>
      <c r="L256" s="15">
        <f t="shared" si="118"/>
        <v>0</v>
      </c>
      <c r="M256" s="15">
        <f t="shared" si="119"/>
        <v>0</v>
      </c>
      <c r="Z256" s="15">
        <f t="shared" si="120"/>
        <v>1</v>
      </c>
      <c r="AA256" s="15">
        <f t="shared" si="121"/>
        <v>1</v>
      </c>
      <c r="AB256" s="15">
        <f t="shared" si="122"/>
        <v>1</v>
      </c>
      <c r="AC256" s="15">
        <f t="shared" si="123"/>
        <v>1</v>
      </c>
      <c r="AD256" s="15">
        <f t="shared" si="124"/>
        <v>1</v>
      </c>
      <c r="AE256" s="15">
        <f t="shared" si="125"/>
        <v>1</v>
      </c>
      <c r="AF256" s="15">
        <f t="shared" si="126"/>
        <v>1</v>
      </c>
      <c r="AG256" s="15">
        <f t="shared" si="127"/>
        <v>1</v>
      </c>
      <c r="AH256" s="15">
        <f t="shared" si="128"/>
        <v>1</v>
      </c>
      <c r="AI256" s="15">
        <f t="shared" si="129"/>
        <v>1</v>
      </c>
      <c r="AJ256" s="15">
        <f t="shared" si="130"/>
        <v>1</v>
      </c>
      <c r="AK256" s="15">
        <f t="shared" si="131"/>
        <v>1</v>
      </c>
      <c r="AL256" s="15">
        <f t="shared" si="132"/>
        <v>1</v>
      </c>
      <c r="AM256" s="15">
        <f t="shared" si="133"/>
        <v>1</v>
      </c>
      <c r="AN256" s="15">
        <f t="shared" si="134"/>
        <v>1</v>
      </c>
      <c r="AO256" s="15">
        <f t="shared" si="135"/>
        <v>1</v>
      </c>
      <c r="AP256" s="15">
        <f t="shared" si="136"/>
        <v>1</v>
      </c>
      <c r="AQ256" s="15">
        <f t="shared" si="137"/>
        <v>1</v>
      </c>
      <c r="AR256" s="15">
        <f t="shared" si="138"/>
        <v>1</v>
      </c>
      <c r="AS256" s="15">
        <f t="shared" si="139"/>
        <v>1</v>
      </c>
      <c r="AT256" s="15">
        <f t="shared" si="140"/>
        <v>1</v>
      </c>
      <c r="AU256" s="15">
        <f t="shared" si="141"/>
        <v>1</v>
      </c>
      <c r="AV256" s="15">
        <f t="shared" si="142"/>
        <v>1</v>
      </c>
      <c r="AW256" s="15">
        <f t="shared" si="143"/>
        <v>1</v>
      </c>
      <c r="AX256" s="15">
        <f t="shared" si="144"/>
        <v>1</v>
      </c>
      <c r="AY256" s="15">
        <f t="shared" si="145"/>
        <v>1</v>
      </c>
      <c r="AZ256" s="15">
        <f t="shared" si="146"/>
        <v>1</v>
      </c>
      <c r="BA256" s="15">
        <f t="shared" si="147"/>
        <v>1</v>
      </c>
      <c r="BB256" s="15">
        <f t="shared" si="148"/>
        <v>0</v>
      </c>
      <c r="BC256" s="15" t="str">
        <f t="shared" si="149"/>
        <v/>
      </c>
      <c r="BD256" s="15" t="str">
        <f t="shared" si="150"/>
        <v/>
      </c>
      <c r="BE256" s="11" t="e">
        <f t="shared" si="151"/>
        <v>#VALUE!</v>
      </c>
      <c r="BF256" s="11" t="e">
        <f t="shared" si="152"/>
        <v>#VALUE!</v>
      </c>
      <c r="BG256" s="11" t="e">
        <f t="shared" si="153"/>
        <v>#VALUE!</v>
      </c>
      <c r="BH256" t="str">
        <f t="shared" si="154"/>
        <v/>
      </c>
      <c r="BI256" t="str" cm="1">
        <f t="array" ref="BI256">_xlfn.IFS(
  L256&gt;0,"Critical Fail",
  M256&gt;0,"Important (Coaching)",
  TRUE,"Clean Pass"
)</f>
        <v>Clean Pass</v>
      </c>
      <c r="BJ256" t="str">
        <f t="shared" si="155"/>
        <v>NA</v>
      </c>
    </row>
    <row r="257" spans="1:62" x14ac:dyDescent="0.3">
      <c r="A257">
        <v>418410</v>
      </c>
      <c r="K257" t="str">
        <f t="shared" si="117"/>
        <v>Pass</v>
      </c>
      <c r="L257" s="15">
        <f t="shared" si="118"/>
        <v>0</v>
      </c>
      <c r="M257" s="15">
        <f t="shared" si="119"/>
        <v>0</v>
      </c>
      <c r="Z257" s="15">
        <f t="shared" si="120"/>
        <v>1</v>
      </c>
      <c r="AA257" s="15">
        <f t="shared" si="121"/>
        <v>1</v>
      </c>
      <c r="AB257" s="15">
        <f t="shared" si="122"/>
        <v>1</v>
      </c>
      <c r="AC257" s="15">
        <f t="shared" si="123"/>
        <v>1</v>
      </c>
      <c r="AD257" s="15">
        <f t="shared" si="124"/>
        <v>1</v>
      </c>
      <c r="AE257" s="15">
        <f t="shared" si="125"/>
        <v>1</v>
      </c>
      <c r="AF257" s="15">
        <f t="shared" si="126"/>
        <v>1</v>
      </c>
      <c r="AG257" s="15">
        <f t="shared" si="127"/>
        <v>1</v>
      </c>
      <c r="AH257" s="15">
        <f t="shared" si="128"/>
        <v>1</v>
      </c>
      <c r="AI257" s="15">
        <f t="shared" si="129"/>
        <v>1</v>
      </c>
      <c r="AJ257" s="15">
        <f t="shared" si="130"/>
        <v>1</v>
      </c>
      <c r="AK257" s="15">
        <f t="shared" si="131"/>
        <v>1</v>
      </c>
      <c r="AL257" s="15">
        <f t="shared" si="132"/>
        <v>1</v>
      </c>
      <c r="AM257" s="15">
        <f t="shared" si="133"/>
        <v>1</v>
      </c>
      <c r="AN257" s="15">
        <f t="shared" si="134"/>
        <v>1</v>
      </c>
      <c r="AO257" s="15">
        <f t="shared" si="135"/>
        <v>1</v>
      </c>
      <c r="AP257" s="15">
        <f t="shared" si="136"/>
        <v>1</v>
      </c>
      <c r="AQ257" s="15">
        <f t="shared" si="137"/>
        <v>1</v>
      </c>
      <c r="AR257" s="15">
        <f t="shared" si="138"/>
        <v>1</v>
      </c>
      <c r="AS257" s="15">
        <f t="shared" si="139"/>
        <v>1</v>
      </c>
      <c r="AT257" s="15">
        <f t="shared" si="140"/>
        <v>1</v>
      </c>
      <c r="AU257" s="15">
        <f t="shared" si="141"/>
        <v>1</v>
      </c>
      <c r="AV257" s="15">
        <f t="shared" si="142"/>
        <v>1</v>
      </c>
      <c r="AW257" s="15">
        <f t="shared" si="143"/>
        <v>1</v>
      </c>
      <c r="AX257" s="15">
        <f t="shared" si="144"/>
        <v>1</v>
      </c>
      <c r="AY257" s="15">
        <f t="shared" si="145"/>
        <v>1</v>
      </c>
      <c r="AZ257" s="15">
        <f t="shared" si="146"/>
        <v>1</v>
      </c>
      <c r="BA257" s="15">
        <f t="shared" si="147"/>
        <v>1</v>
      </c>
      <c r="BB257" s="15">
        <f t="shared" si="148"/>
        <v>0</v>
      </c>
      <c r="BC257" s="15" t="str">
        <f t="shared" si="149"/>
        <v/>
      </c>
      <c r="BD257" s="15" t="str">
        <f t="shared" si="150"/>
        <v/>
      </c>
      <c r="BE257" s="11" t="e">
        <f t="shared" si="151"/>
        <v>#VALUE!</v>
      </c>
      <c r="BF257" s="11" t="e">
        <f t="shared" si="152"/>
        <v>#VALUE!</v>
      </c>
      <c r="BG257" s="11" t="e">
        <f t="shared" si="153"/>
        <v>#VALUE!</v>
      </c>
      <c r="BH257" t="str">
        <f t="shared" si="154"/>
        <v/>
      </c>
      <c r="BI257" t="str" cm="1">
        <f t="array" ref="BI257">_xlfn.IFS(
  L257&gt;0,"Critical Fail",
  M257&gt;0,"Important (Coaching)",
  TRUE,"Clean Pass"
)</f>
        <v>Clean Pass</v>
      </c>
      <c r="BJ257" t="str">
        <f t="shared" si="155"/>
        <v>NA</v>
      </c>
    </row>
    <row r="258" spans="1:62" x14ac:dyDescent="0.3">
      <c r="A258">
        <v>535858</v>
      </c>
      <c r="K258" t="str">
        <f t="shared" ref="K258:K321" si="156">IF(L258="","",IF(L258&gt;0,"Fail","Pass"))</f>
        <v>Pass</v>
      </c>
      <c r="L258" s="15">
        <f t="shared" ref="L258:L281" si="157">COUNTA(N258,P258,R258)</f>
        <v>0</v>
      </c>
      <c r="M258" s="15">
        <f t="shared" ref="M258:M281" si="158">COUNTA(T258,V258,X258)</f>
        <v>0</v>
      </c>
      <c r="Z258" s="15">
        <f t="shared" ref="Z258:Z281" si="159">IF(AND(G258="DV",ISNUMBER(SEARCH("C1",N258&amp;P258&amp;R258&amp;T258&amp;V258&amp;X258))),0,1)</f>
        <v>1</v>
      </c>
      <c r="AA258" s="15">
        <f t="shared" ref="AA258:AA281" si="160">IF(AND(G258="DV",ISNUMBER(SEARCH("C2",N258&amp;P258&amp;R258&amp;T258&amp;V258&amp;X258))),0,1)</f>
        <v>1</v>
      </c>
      <c r="AB258" s="15">
        <f t="shared" ref="AB258:AB281" si="161">IF(AND(G258="DV",ISNUMBER(SEARCH("C3",N258&amp;P258&amp;R258&amp;T258&amp;V258&amp;X258))),0,1)</f>
        <v>1</v>
      </c>
      <c r="AC258" s="15">
        <f t="shared" ref="AC258:AC281" si="162">IF(AND(G258="DV",ISNUMBER(SEARCH("C4",N258&amp;P258&amp;R258&amp;T258&amp;V258&amp;X258))),0,1)</f>
        <v>1</v>
      </c>
      <c r="AD258" s="15">
        <f t="shared" ref="AD258:AD281" si="163">IF(AND(G258="DV",ISNUMBER(SEARCH("C5",N258&amp;P258&amp;R258&amp;T258&amp;V258&amp;X258))),0,1)</f>
        <v>1</v>
      </c>
      <c r="AE258" s="15">
        <f t="shared" ref="AE258:AE281" si="164">IF(AND(G258="DV",ISNUMBER(SEARCH("C6",N258&amp;P258&amp;R258&amp;T258&amp;V258&amp;X258))),0,1)</f>
        <v>1</v>
      </c>
      <c r="AF258" s="15">
        <f t="shared" ref="AF258:AF281" si="165">IF(AND(G258="DV",ISNUMBER(SEARCH("C7",N258&amp;P258&amp;R258&amp;T258&amp;V258&amp;X258))),0,1)</f>
        <v>1</v>
      </c>
      <c r="AG258" s="15">
        <f t="shared" ref="AG258:AG281" si="166">IF(AND(G258="DV",ISNUMBER(SEARCH("C8",N258&amp;P258&amp;R258&amp;T258&amp;V258&amp;X258))),0,1)</f>
        <v>1</v>
      </c>
      <c r="AH258" s="15">
        <f t="shared" ref="AH258:AH281" si="167">IF(AND(G258="DV",ISNUMBER(SEARCH("C9",N258&amp;P258&amp;R258&amp;T258&amp;V258&amp;X258))),0,1)</f>
        <v>1</v>
      </c>
      <c r="AI258" s="15">
        <f t="shared" ref="AI258:AI281" si="168">IF(AND(G258="DV",ISNUMBER(SEARCH("I1",N258&amp;P258&amp;R258&amp;T258&amp;V258&amp;X258))),0,1)</f>
        <v>1</v>
      </c>
      <c r="AJ258" s="15">
        <f t="shared" ref="AJ258:AJ281" si="169">IF(AND(G258="DV",ISNUMBER(SEARCH("I2",N258&amp;P258&amp;R258&amp;T258&amp;V258&amp;X258))),0,1)</f>
        <v>1</v>
      </c>
      <c r="AK258" s="15">
        <f t="shared" ref="AK258:AK281" si="170">IF(AND(G258="DV",ISNUMBER(SEARCH("I3",N258&amp;P258&amp;R258&amp;T258&amp;V258&amp;X258))),0,1)</f>
        <v>1</v>
      </c>
      <c r="AL258" s="15">
        <f t="shared" ref="AL258:AL281" si="171">IF(AND(G258="AL",ISNUMBER(SEARCH("C1",N258&amp;P258&amp;R258&amp;T258&amp;V258&amp;X258))),0,1)</f>
        <v>1</v>
      </c>
      <c r="AM258" s="15">
        <f t="shared" ref="AM258:AM281" si="172">IF(AND(G258="AL",ISNUMBER(SEARCH("C2",N258&amp;P258&amp;R258&amp;T258&amp;V258&amp;X258))),0,1)</f>
        <v>1</v>
      </c>
      <c r="AN258" s="15">
        <f t="shared" ref="AN258:AN281" si="173">IF(AND(G258="AL",ISNUMBER(SEARCH("C3",N258&amp;P258&amp;R258&amp;T258&amp;V258&amp;X258))),0,1)</f>
        <v>1</v>
      </c>
      <c r="AO258" s="15">
        <f t="shared" ref="AO258:AO281" si="174">IF(AND(G258="AL",ISNUMBER(SEARCH("C4",N258&amp;P258&amp;R258&amp;T258&amp;V258&amp;X258))),0,1)</f>
        <v>1</v>
      </c>
      <c r="AP258" s="15">
        <f t="shared" ref="AP258:AP281" si="175">IF(AND(G258="AL",ISNUMBER(SEARCH("C5",N258&amp;P258&amp;R258&amp;T258&amp;V258&amp;X258))),0,1)</f>
        <v>1</v>
      </c>
      <c r="AQ258" s="15">
        <f t="shared" ref="AQ258:AQ281" si="176">IF(AND(G258="AL",ISNUMBER(SEARCH("C6",N258&amp;P258&amp;R258&amp;T258&amp;V258&amp;X258))),0,1)</f>
        <v>1</v>
      </c>
      <c r="AR258" s="15">
        <f t="shared" ref="AR258:AR281" si="177">IF(AND(G258="AL",ISNUMBER(SEARCH("C7",N258&amp;P258&amp;R258&amp;T258&amp;V258&amp;X258))),0,1)</f>
        <v>1</v>
      </c>
      <c r="AS258" s="15">
        <f t="shared" ref="AS258:AS281" si="178">IF(AND(G258="AL",ISNUMBER(SEARCH("C8",N258&amp;P258&amp;R258&amp;T258&amp;V258&amp;X258))),0,1)</f>
        <v>1</v>
      </c>
      <c r="AT258" s="15">
        <f t="shared" ref="AT258:AT281" si="179">IF(AND(G258="AL",ISNUMBER(SEARCH("C9",N258&amp;P258&amp;R258&amp;T258&amp;V258&amp;X258))),0,1)</f>
        <v>1</v>
      </c>
      <c r="AU258" s="15">
        <f t="shared" ref="AU258:AU281" si="180">IF(AND(G258="AL",ISNUMBER(SEARCH("C10",N258&amp;P258&amp;R258&amp;T258&amp;V258&amp;X258))),0,1)</f>
        <v>1</v>
      </c>
      <c r="AV258" s="15">
        <f t="shared" ref="AV258:AV281" si="181">IF(AND(G258="AL",ISNUMBER(SEARCH("C11",N258&amp;P258&amp;R258&amp;T258&amp;V258&amp;X258))),0,1)</f>
        <v>1</v>
      </c>
      <c r="AW258" s="15">
        <f t="shared" ref="AW258:AW281" si="182">IF(AND(G258="AL",ISNUMBER(SEARCH("C12",N258&amp;P258&amp;R258&amp;T258&amp;V258&amp;X258))),0,1)</f>
        <v>1</v>
      </c>
      <c r="AX258" s="15">
        <f t="shared" ref="AX258:AX281" si="183">IF(AND(G258="AL",ISNUMBER(SEARCH("C13",N258&amp;P258&amp;R258&amp;T258&amp;V258&amp;X258))),0,1)</f>
        <v>1</v>
      </c>
      <c r="AY258" s="15">
        <f t="shared" ref="AY258:AY281" si="184">IF(AND(G258="AL",ISNUMBER(SEARCH("I1",N258&amp;P258&amp;R258&amp;T258&amp;V258&amp;X258))),0,1)</f>
        <v>1</v>
      </c>
      <c r="AZ258" s="15">
        <f t="shared" ref="AZ258:AZ281" si="185">IF(AND(G258="AL",ISNUMBER(SEARCH("I2",N258&amp;P258&amp;R258&amp;T258&amp;V258&amp;X258))),0,1)</f>
        <v>1</v>
      </c>
      <c r="BA258" s="15">
        <f t="shared" ref="BA258:BA281" si="186">IF(AND(G258="AL",ISNUMBER(SEARCH("I3",N258&amp;P258&amp;R258&amp;T258&amp;V258&amp;X258))),0,1)</f>
        <v>1</v>
      </c>
      <c r="BB258" s="15">
        <f t="shared" ref="BB258:BB321" si="187">IF(L258&gt;0,1,0)</f>
        <v>0</v>
      </c>
      <c r="BC258" s="15" t="str">
        <f t="shared" ref="BC258:BC321" si="188">IF(G258="DV",9,IF(G258="AL",13,""))</f>
        <v/>
      </c>
      <c r="BD258" s="15" t="str">
        <f t="shared" ref="BD258:BD321" si="189">IF(G258="DV",3,IF(G258="AL",3,""))</f>
        <v/>
      </c>
      <c r="BE258" s="11" t="e">
        <f t="shared" ref="BE258:BE281" si="190">IF(BC258=0,1,(BC258-L258)/BC258)</f>
        <v>#VALUE!</v>
      </c>
      <c r="BF258" s="11" t="e">
        <f t="shared" ref="BF258:BF281" si="191">IF(BD258=0,1,(BD258-M258)/BD258)</f>
        <v>#VALUE!</v>
      </c>
      <c r="BG258" s="11" t="e">
        <f t="shared" ref="BG258:BG281" si="192">(BE258*0.7)+(BF258*0.3)</f>
        <v>#VALUE!</v>
      </c>
      <c r="BH258" t="str">
        <f t="shared" ref="BH258:BH281" si="193">_xlfn.TEXTJOIN(",",TRUE,N258,P258,R258)</f>
        <v/>
      </c>
      <c r="BI258" t="str" cm="1">
        <f t="array" ref="BI258">_xlfn.IFS(
  L258&gt;0,"Critical Fail",
  M258&gt;0,"Important (Coaching)",
  TRUE,"Clean Pass"
)</f>
        <v>Clean Pass</v>
      </c>
      <c r="BJ258" t="str">
        <f t="shared" ref="BJ258:BJ281" si="194">IF(COUNTA(N258:Y258)=0,"NA",_xlfn.TEXTJOIN(",",TRUE,N258:Y258))</f>
        <v>NA</v>
      </c>
    </row>
    <row r="259" spans="1:62" x14ac:dyDescent="0.3">
      <c r="A259">
        <v>116705</v>
      </c>
      <c r="K259" t="str">
        <f t="shared" si="156"/>
        <v>Pass</v>
      </c>
      <c r="L259" s="15">
        <f t="shared" si="157"/>
        <v>0</v>
      </c>
      <c r="M259" s="15">
        <f t="shared" si="158"/>
        <v>0</v>
      </c>
      <c r="Z259" s="15">
        <f t="shared" si="159"/>
        <v>1</v>
      </c>
      <c r="AA259" s="15">
        <f t="shared" si="160"/>
        <v>1</v>
      </c>
      <c r="AB259" s="15">
        <f t="shared" si="161"/>
        <v>1</v>
      </c>
      <c r="AC259" s="15">
        <f t="shared" si="162"/>
        <v>1</v>
      </c>
      <c r="AD259" s="15">
        <f t="shared" si="163"/>
        <v>1</v>
      </c>
      <c r="AE259" s="15">
        <f t="shared" si="164"/>
        <v>1</v>
      </c>
      <c r="AF259" s="15">
        <f t="shared" si="165"/>
        <v>1</v>
      </c>
      <c r="AG259" s="15">
        <f t="shared" si="166"/>
        <v>1</v>
      </c>
      <c r="AH259" s="15">
        <f t="shared" si="167"/>
        <v>1</v>
      </c>
      <c r="AI259" s="15">
        <f t="shared" si="168"/>
        <v>1</v>
      </c>
      <c r="AJ259" s="15">
        <f t="shared" si="169"/>
        <v>1</v>
      </c>
      <c r="AK259" s="15">
        <f t="shared" si="170"/>
        <v>1</v>
      </c>
      <c r="AL259" s="15">
        <f t="shared" si="171"/>
        <v>1</v>
      </c>
      <c r="AM259" s="15">
        <f t="shared" si="172"/>
        <v>1</v>
      </c>
      <c r="AN259" s="15">
        <f t="shared" si="173"/>
        <v>1</v>
      </c>
      <c r="AO259" s="15">
        <f t="shared" si="174"/>
        <v>1</v>
      </c>
      <c r="AP259" s="15">
        <f t="shared" si="175"/>
        <v>1</v>
      </c>
      <c r="AQ259" s="15">
        <f t="shared" si="176"/>
        <v>1</v>
      </c>
      <c r="AR259" s="15">
        <f t="shared" si="177"/>
        <v>1</v>
      </c>
      <c r="AS259" s="15">
        <f t="shared" si="178"/>
        <v>1</v>
      </c>
      <c r="AT259" s="15">
        <f t="shared" si="179"/>
        <v>1</v>
      </c>
      <c r="AU259" s="15">
        <f t="shared" si="180"/>
        <v>1</v>
      </c>
      <c r="AV259" s="15">
        <f t="shared" si="181"/>
        <v>1</v>
      </c>
      <c r="AW259" s="15">
        <f t="shared" si="182"/>
        <v>1</v>
      </c>
      <c r="AX259" s="15">
        <f t="shared" si="183"/>
        <v>1</v>
      </c>
      <c r="AY259" s="15">
        <f t="shared" si="184"/>
        <v>1</v>
      </c>
      <c r="AZ259" s="15">
        <f t="shared" si="185"/>
        <v>1</v>
      </c>
      <c r="BA259" s="15">
        <f t="shared" si="186"/>
        <v>1</v>
      </c>
      <c r="BB259" s="15">
        <f t="shared" si="187"/>
        <v>0</v>
      </c>
      <c r="BC259" s="15" t="str">
        <f t="shared" si="188"/>
        <v/>
      </c>
      <c r="BD259" s="15" t="str">
        <f t="shared" si="189"/>
        <v/>
      </c>
      <c r="BE259" s="11" t="e">
        <f t="shared" si="190"/>
        <v>#VALUE!</v>
      </c>
      <c r="BF259" s="11" t="e">
        <f t="shared" si="191"/>
        <v>#VALUE!</v>
      </c>
      <c r="BG259" s="11" t="e">
        <f t="shared" si="192"/>
        <v>#VALUE!</v>
      </c>
      <c r="BH259" t="str">
        <f t="shared" si="193"/>
        <v/>
      </c>
      <c r="BI259" t="str" cm="1">
        <f t="array" ref="BI259">_xlfn.IFS(
  L259&gt;0,"Critical Fail",
  M259&gt;0,"Important (Coaching)",
  TRUE,"Clean Pass"
)</f>
        <v>Clean Pass</v>
      </c>
      <c r="BJ259" t="str">
        <f t="shared" si="194"/>
        <v>NA</v>
      </c>
    </row>
    <row r="260" spans="1:62" x14ac:dyDescent="0.3">
      <c r="A260">
        <v>449209</v>
      </c>
      <c r="K260" t="str">
        <f t="shared" si="156"/>
        <v>Pass</v>
      </c>
      <c r="L260" s="15">
        <f t="shared" si="157"/>
        <v>0</v>
      </c>
      <c r="M260" s="15">
        <f t="shared" si="158"/>
        <v>0</v>
      </c>
      <c r="Z260" s="15">
        <f t="shared" si="159"/>
        <v>1</v>
      </c>
      <c r="AA260" s="15">
        <f t="shared" si="160"/>
        <v>1</v>
      </c>
      <c r="AB260" s="15">
        <f t="shared" si="161"/>
        <v>1</v>
      </c>
      <c r="AC260" s="15">
        <f t="shared" si="162"/>
        <v>1</v>
      </c>
      <c r="AD260" s="15">
        <f t="shared" si="163"/>
        <v>1</v>
      </c>
      <c r="AE260" s="15">
        <f t="shared" si="164"/>
        <v>1</v>
      </c>
      <c r="AF260" s="15">
        <f t="shared" si="165"/>
        <v>1</v>
      </c>
      <c r="AG260" s="15">
        <f t="shared" si="166"/>
        <v>1</v>
      </c>
      <c r="AH260" s="15">
        <f t="shared" si="167"/>
        <v>1</v>
      </c>
      <c r="AI260" s="15">
        <f t="shared" si="168"/>
        <v>1</v>
      </c>
      <c r="AJ260" s="15">
        <f t="shared" si="169"/>
        <v>1</v>
      </c>
      <c r="AK260" s="15">
        <f t="shared" si="170"/>
        <v>1</v>
      </c>
      <c r="AL260" s="15">
        <f t="shared" si="171"/>
        <v>1</v>
      </c>
      <c r="AM260" s="15">
        <f t="shared" si="172"/>
        <v>1</v>
      </c>
      <c r="AN260" s="15">
        <f t="shared" si="173"/>
        <v>1</v>
      </c>
      <c r="AO260" s="15">
        <f t="shared" si="174"/>
        <v>1</v>
      </c>
      <c r="AP260" s="15">
        <f t="shared" si="175"/>
        <v>1</v>
      </c>
      <c r="AQ260" s="15">
        <f t="shared" si="176"/>
        <v>1</v>
      </c>
      <c r="AR260" s="15">
        <f t="shared" si="177"/>
        <v>1</v>
      </c>
      <c r="AS260" s="15">
        <f t="shared" si="178"/>
        <v>1</v>
      </c>
      <c r="AT260" s="15">
        <f t="shared" si="179"/>
        <v>1</v>
      </c>
      <c r="AU260" s="15">
        <f t="shared" si="180"/>
        <v>1</v>
      </c>
      <c r="AV260" s="15">
        <f t="shared" si="181"/>
        <v>1</v>
      </c>
      <c r="AW260" s="15">
        <f t="shared" si="182"/>
        <v>1</v>
      </c>
      <c r="AX260" s="15">
        <f t="shared" si="183"/>
        <v>1</v>
      </c>
      <c r="AY260" s="15">
        <f t="shared" si="184"/>
        <v>1</v>
      </c>
      <c r="AZ260" s="15">
        <f t="shared" si="185"/>
        <v>1</v>
      </c>
      <c r="BA260" s="15">
        <f t="shared" si="186"/>
        <v>1</v>
      </c>
      <c r="BB260" s="15">
        <f t="shared" si="187"/>
        <v>0</v>
      </c>
      <c r="BC260" s="15" t="str">
        <f t="shared" si="188"/>
        <v/>
      </c>
      <c r="BD260" s="15" t="str">
        <f t="shared" si="189"/>
        <v/>
      </c>
      <c r="BE260" s="11" t="e">
        <f t="shared" si="190"/>
        <v>#VALUE!</v>
      </c>
      <c r="BF260" s="11" t="e">
        <f t="shared" si="191"/>
        <v>#VALUE!</v>
      </c>
      <c r="BG260" s="11" t="e">
        <f t="shared" si="192"/>
        <v>#VALUE!</v>
      </c>
      <c r="BH260" t="str">
        <f t="shared" si="193"/>
        <v/>
      </c>
      <c r="BI260" t="str" cm="1">
        <f t="array" ref="BI260">_xlfn.IFS(
  L260&gt;0,"Critical Fail",
  M260&gt;0,"Important (Coaching)",
  TRUE,"Clean Pass"
)</f>
        <v>Clean Pass</v>
      </c>
      <c r="BJ260" t="str">
        <f t="shared" si="194"/>
        <v>NA</v>
      </c>
    </row>
    <row r="261" spans="1:62" x14ac:dyDescent="0.3">
      <c r="A261">
        <v>658589</v>
      </c>
      <c r="K261" t="str">
        <f t="shared" si="156"/>
        <v>Pass</v>
      </c>
      <c r="L261" s="15">
        <f t="shared" si="157"/>
        <v>0</v>
      </c>
      <c r="M261" s="15">
        <f t="shared" si="158"/>
        <v>0</v>
      </c>
      <c r="Z261" s="15">
        <f t="shared" si="159"/>
        <v>1</v>
      </c>
      <c r="AA261" s="15">
        <f t="shared" si="160"/>
        <v>1</v>
      </c>
      <c r="AB261" s="15">
        <f t="shared" si="161"/>
        <v>1</v>
      </c>
      <c r="AC261" s="15">
        <f t="shared" si="162"/>
        <v>1</v>
      </c>
      <c r="AD261" s="15">
        <f t="shared" si="163"/>
        <v>1</v>
      </c>
      <c r="AE261" s="15">
        <f t="shared" si="164"/>
        <v>1</v>
      </c>
      <c r="AF261" s="15">
        <f t="shared" si="165"/>
        <v>1</v>
      </c>
      <c r="AG261" s="15">
        <f t="shared" si="166"/>
        <v>1</v>
      </c>
      <c r="AH261" s="15">
        <f t="shared" si="167"/>
        <v>1</v>
      </c>
      <c r="AI261" s="15">
        <f t="shared" si="168"/>
        <v>1</v>
      </c>
      <c r="AJ261" s="15">
        <f t="shared" si="169"/>
        <v>1</v>
      </c>
      <c r="AK261" s="15">
        <f t="shared" si="170"/>
        <v>1</v>
      </c>
      <c r="AL261" s="15">
        <f t="shared" si="171"/>
        <v>1</v>
      </c>
      <c r="AM261" s="15">
        <f t="shared" si="172"/>
        <v>1</v>
      </c>
      <c r="AN261" s="15">
        <f t="shared" si="173"/>
        <v>1</v>
      </c>
      <c r="AO261" s="15">
        <f t="shared" si="174"/>
        <v>1</v>
      </c>
      <c r="AP261" s="15">
        <f t="shared" si="175"/>
        <v>1</v>
      </c>
      <c r="AQ261" s="15">
        <f t="shared" si="176"/>
        <v>1</v>
      </c>
      <c r="AR261" s="15">
        <f t="shared" si="177"/>
        <v>1</v>
      </c>
      <c r="AS261" s="15">
        <f t="shared" si="178"/>
        <v>1</v>
      </c>
      <c r="AT261" s="15">
        <f t="shared" si="179"/>
        <v>1</v>
      </c>
      <c r="AU261" s="15">
        <f t="shared" si="180"/>
        <v>1</v>
      </c>
      <c r="AV261" s="15">
        <f t="shared" si="181"/>
        <v>1</v>
      </c>
      <c r="AW261" s="15">
        <f t="shared" si="182"/>
        <v>1</v>
      </c>
      <c r="AX261" s="15">
        <f t="shared" si="183"/>
        <v>1</v>
      </c>
      <c r="AY261" s="15">
        <f t="shared" si="184"/>
        <v>1</v>
      </c>
      <c r="AZ261" s="15">
        <f t="shared" si="185"/>
        <v>1</v>
      </c>
      <c r="BA261" s="15">
        <f t="shared" si="186"/>
        <v>1</v>
      </c>
      <c r="BB261" s="15">
        <f t="shared" si="187"/>
        <v>0</v>
      </c>
      <c r="BC261" s="15" t="str">
        <f t="shared" si="188"/>
        <v/>
      </c>
      <c r="BD261" s="15" t="str">
        <f t="shared" si="189"/>
        <v/>
      </c>
      <c r="BE261" s="11" t="e">
        <f t="shared" si="190"/>
        <v>#VALUE!</v>
      </c>
      <c r="BF261" s="11" t="e">
        <f t="shared" si="191"/>
        <v>#VALUE!</v>
      </c>
      <c r="BG261" s="11" t="e">
        <f t="shared" si="192"/>
        <v>#VALUE!</v>
      </c>
      <c r="BH261" t="str">
        <f t="shared" si="193"/>
        <v/>
      </c>
      <c r="BI261" t="str" cm="1">
        <f t="array" ref="BI261">_xlfn.IFS(
  L261&gt;0,"Critical Fail",
  M261&gt;0,"Important (Coaching)",
  TRUE,"Clean Pass"
)</f>
        <v>Clean Pass</v>
      </c>
      <c r="BJ261" t="str">
        <f t="shared" si="194"/>
        <v>NA</v>
      </c>
    </row>
    <row r="262" spans="1:62" x14ac:dyDescent="0.3">
      <c r="A262">
        <v>200357</v>
      </c>
      <c r="K262" t="str">
        <f t="shared" si="156"/>
        <v>Pass</v>
      </c>
      <c r="L262" s="15">
        <f t="shared" si="157"/>
        <v>0</v>
      </c>
      <c r="M262" s="15">
        <f t="shared" si="158"/>
        <v>0</v>
      </c>
      <c r="Z262" s="15">
        <f t="shared" si="159"/>
        <v>1</v>
      </c>
      <c r="AA262" s="15">
        <f t="shared" si="160"/>
        <v>1</v>
      </c>
      <c r="AB262" s="15">
        <f t="shared" si="161"/>
        <v>1</v>
      </c>
      <c r="AC262" s="15">
        <f t="shared" si="162"/>
        <v>1</v>
      </c>
      <c r="AD262" s="15">
        <f t="shared" si="163"/>
        <v>1</v>
      </c>
      <c r="AE262" s="15">
        <f t="shared" si="164"/>
        <v>1</v>
      </c>
      <c r="AF262" s="15">
        <f t="shared" si="165"/>
        <v>1</v>
      </c>
      <c r="AG262" s="15">
        <f t="shared" si="166"/>
        <v>1</v>
      </c>
      <c r="AH262" s="15">
        <f t="shared" si="167"/>
        <v>1</v>
      </c>
      <c r="AI262" s="15">
        <f t="shared" si="168"/>
        <v>1</v>
      </c>
      <c r="AJ262" s="15">
        <f t="shared" si="169"/>
        <v>1</v>
      </c>
      <c r="AK262" s="15">
        <f t="shared" si="170"/>
        <v>1</v>
      </c>
      <c r="AL262" s="15">
        <f t="shared" si="171"/>
        <v>1</v>
      </c>
      <c r="AM262" s="15">
        <f t="shared" si="172"/>
        <v>1</v>
      </c>
      <c r="AN262" s="15">
        <f t="shared" si="173"/>
        <v>1</v>
      </c>
      <c r="AO262" s="15">
        <f t="shared" si="174"/>
        <v>1</v>
      </c>
      <c r="AP262" s="15">
        <f t="shared" si="175"/>
        <v>1</v>
      </c>
      <c r="AQ262" s="15">
        <f t="shared" si="176"/>
        <v>1</v>
      </c>
      <c r="AR262" s="15">
        <f t="shared" si="177"/>
        <v>1</v>
      </c>
      <c r="AS262" s="15">
        <f t="shared" si="178"/>
        <v>1</v>
      </c>
      <c r="AT262" s="15">
        <f t="shared" si="179"/>
        <v>1</v>
      </c>
      <c r="AU262" s="15">
        <f t="shared" si="180"/>
        <v>1</v>
      </c>
      <c r="AV262" s="15">
        <f t="shared" si="181"/>
        <v>1</v>
      </c>
      <c r="AW262" s="15">
        <f t="shared" si="182"/>
        <v>1</v>
      </c>
      <c r="AX262" s="15">
        <f t="shared" si="183"/>
        <v>1</v>
      </c>
      <c r="AY262" s="15">
        <f t="shared" si="184"/>
        <v>1</v>
      </c>
      <c r="AZ262" s="15">
        <f t="shared" si="185"/>
        <v>1</v>
      </c>
      <c r="BA262" s="15">
        <f t="shared" si="186"/>
        <v>1</v>
      </c>
      <c r="BB262" s="15">
        <f t="shared" si="187"/>
        <v>0</v>
      </c>
      <c r="BC262" s="15" t="str">
        <f t="shared" si="188"/>
        <v/>
      </c>
      <c r="BD262" s="15" t="str">
        <f t="shared" si="189"/>
        <v/>
      </c>
      <c r="BE262" s="11" t="e">
        <f t="shared" si="190"/>
        <v>#VALUE!</v>
      </c>
      <c r="BF262" s="11" t="e">
        <f t="shared" si="191"/>
        <v>#VALUE!</v>
      </c>
      <c r="BG262" s="11" t="e">
        <f t="shared" si="192"/>
        <v>#VALUE!</v>
      </c>
      <c r="BH262" t="str">
        <f t="shared" si="193"/>
        <v/>
      </c>
      <c r="BI262" t="str" cm="1">
        <f t="array" ref="BI262">_xlfn.IFS(
  L262&gt;0,"Critical Fail",
  M262&gt;0,"Important (Coaching)",
  TRUE,"Clean Pass"
)</f>
        <v>Clean Pass</v>
      </c>
      <c r="BJ262" t="str">
        <f t="shared" si="194"/>
        <v>NA</v>
      </c>
    </row>
    <row r="263" spans="1:62" x14ac:dyDescent="0.3">
      <c r="A263">
        <v>496803</v>
      </c>
      <c r="K263" t="str">
        <f t="shared" si="156"/>
        <v>Pass</v>
      </c>
      <c r="L263" s="15">
        <f t="shared" si="157"/>
        <v>0</v>
      </c>
      <c r="M263" s="15">
        <f t="shared" si="158"/>
        <v>0</v>
      </c>
      <c r="Z263" s="15">
        <f t="shared" si="159"/>
        <v>1</v>
      </c>
      <c r="AA263" s="15">
        <f t="shared" si="160"/>
        <v>1</v>
      </c>
      <c r="AB263" s="15">
        <f t="shared" si="161"/>
        <v>1</v>
      </c>
      <c r="AC263" s="15">
        <f t="shared" si="162"/>
        <v>1</v>
      </c>
      <c r="AD263" s="15">
        <f t="shared" si="163"/>
        <v>1</v>
      </c>
      <c r="AE263" s="15">
        <f t="shared" si="164"/>
        <v>1</v>
      </c>
      <c r="AF263" s="15">
        <f t="shared" si="165"/>
        <v>1</v>
      </c>
      <c r="AG263" s="15">
        <f t="shared" si="166"/>
        <v>1</v>
      </c>
      <c r="AH263" s="15">
        <f t="shared" si="167"/>
        <v>1</v>
      </c>
      <c r="AI263" s="15">
        <f t="shared" si="168"/>
        <v>1</v>
      </c>
      <c r="AJ263" s="15">
        <f t="shared" si="169"/>
        <v>1</v>
      </c>
      <c r="AK263" s="15">
        <f t="shared" si="170"/>
        <v>1</v>
      </c>
      <c r="AL263" s="15">
        <f t="shared" si="171"/>
        <v>1</v>
      </c>
      <c r="AM263" s="15">
        <f t="shared" si="172"/>
        <v>1</v>
      </c>
      <c r="AN263" s="15">
        <f t="shared" si="173"/>
        <v>1</v>
      </c>
      <c r="AO263" s="15">
        <f t="shared" si="174"/>
        <v>1</v>
      </c>
      <c r="AP263" s="15">
        <f t="shared" si="175"/>
        <v>1</v>
      </c>
      <c r="AQ263" s="15">
        <f t="shared" si="176"/>
        <v>1</v>
      </c>
      <c r="AR263" s="15">
        <f t="shared" si="177"/>
        <v>1</v>
      </c>
      <c r="AS263" s="15">
        <f t="shared" si="178"/>
        <v>1</v>
      </c>
      <c r="AT263" s="15">
        <f t="shared" si="179"/>
        <v>1</v>
      </c>
      <c r="AU263" s="15">
        <f t="shared" si="180"/>
        <v>1</v>
      </c>
      <c r="AV263" s="15">
        <f t="shared" si="181"/>
        <v>1</v>
      </c>
      <c r="AW263" s="15">
        <f t="shared" si="182"/>
        <v>1</v>
      </c>
      <c r="AX263" s="15">
        <f t="shared" si="183"/>
        <v>1</v>
      </c>
      <c r="AY263" s="15">
        <f t="shared" si="184"/>
        <v>1</v>
      </c>
      <c r="AZ263" s="15">
        <f t="shared" si="185"/>
        <v>1</v>
      </c>
      <c r="BA263" s="15">
        <f t="shared" si="186"/>
        <v>1</v>
      </c>
      <c r="BB263" s="15">
        <f t="shared" si="187"/>
        <v>0</v>
      </c>
      <c r="BC263" s="15" t="str">
        <f t="shared" si="188"/>
        <v/>
      </c>
      <c r="BD263" s="15" t="str">
        <f t="shared" si="189"/>
        <v/>
      </c>
      <c r="BE263" s="11" t="e">
        <f t="shared" si="190"/>
        <v>#VALUE!</v>
      </c>
      <c r="BF263" s="11" t="e">
        <f t="shared" si="191"/>
        <v>#VALUE!</v>
      </c>
      <c r="BG263" s="11" t="e">
        <f t="shared" si="192"/>
        <v>#VALUE!</v>
      </c>
      <c r="BH263" t="str">
        <f t="shared" si="193"/>
        <v/>
      </c>
      <c r="BI263" t="str" cm="1">
        <f t="array" ref="BI263">_xlfn.IFS(
  L263&gt;0,"Critical Fail",
  M263&gt;0,"Important (Coaching)",
  TRUE,"Clean Pass"
)</f>
        <v>Clean Pass</v>
      </c>
      <c r="BJ263" t="str">
        <f t="shared" si="194"/>
        <v>NA</v>
      </c>
    </row>
    <row r="264" spans="1:62" x14ac:dyDescent="0.3">
      <c r="A264">
        <v>752006</v>
      </c>
      <c r="K264" t="str">
        <f t="shared" si="156"/>
        <v>Pass</v>
      </c>
      <c r="L264" s="15">
        <f t="shared" si="157"/>
        <v>0</v>
      </c>
      <c r="M264" s="15">
        <f t="shared" si="158"/>
        <v>0</v>
      </c>
      <c r="Z264" s="15">
        <f t="shared" si="159"/>
        <v>1</v>
      </c>
      <c r="AA264" s="15">
        <f t="shared" si="160"/>
        <v>1</v>
      </c>
      <c r="AB264" s="15">
        <f t="shared" si="161"/>
        <v>1</v>
      </c>
      <c r="AC264" s="15">
        <f t="shared" si="162"/>
        <v>1</v>
      </c>
      <c r="AD264" s="15">
        <f t="shared" si="163"/>
        <v>1</v>
      </c>
      <c r="AE264" s="15">
        <f t="shared" si="164"/>
        <v>1</v>
      </c>
      <c r="AF264" s="15">
        <f t="shared" si="165"/>
        <v>1</v>
      </c>
      <c r="AG264" s="15">
        <f t="shared" si="166"/>
        <v>1</v>
      </c>
      <c r="AH264" s="15">
        <f t="shared" si="167"/>
        <v>1</v>
      </c>
      <c r="AI264" s="15">
        <f t="shared" si="168"/>
        <v>1</v>
      </c>
      <c r="AJ264" s="15">
        <f t="shared" si="169"/>
        <v>1</v>
      </c>
      <c r="AK264" s="15">
        <f t="shared" si="170"/>
        <v>1</v>
      </c>
      <c r="AL264" s="15">
        <f t="shared" si="171"/>
        <v>1</v>
      </c>
      <c r="AM264" s="15">
        <f t="shared" si="172"/>
        <v>1</v>
      </c>
      <c r="AN264" s="15">
        <f t="shared" si="173"/>
        <v>1</v>
      </c>
      <c r="AO264" s="15">
        <f t="shared" si="174"/>
        <v>1</v>
      </c>
      <c r="AP264" s="15">
        <f t="shared" si="175"/>
        <v>1</v>
      </c>
      <c r="AQ264" s="15">
        <f t="shared" si="176"/>
        <v>1</v>
      </c>
      <c r="AR264" s="15">
        <f t="shared" si="177"/>
        <v>1</v>
      </c>
      <c r="AS264" s="15">
        <f t="shared" si="178"/>
        <v>1</v>
      </c>
      <c r="AT264" s="15">
        <f t="shared" si="179"/>
        <v>1</v>
      </c>
      <c r="AU264" s="15">
        <f t="shared" si="180"/>
        <v>1</v>
      </c>
      <c r="AV264" s="15">
        <f t="shared" si="181"/>
        <v>1</v>
      </c>
      <c r="AW264" s="15">
        <f t="shared" si="182"/>
        <v>1</v>
      </c>
      <c r="AX264" s="15">
        <f t="shared" si="183"/>
        <v>1</v>
      </c>
      <c r="AY264" s="15">
        <f t="shared" si="184"/>
        <v>1</v>
      </c>
      <c r="AZ264" s="15">
        <f t="shared" si="185"/>
        <v>1</v>
      </c>
      <c r="BA264" s="15">
        <f t="shared" si="186"/>
        <v>1</v>
      </c>
      <c r="BB264" s="15">
        <f t="shared" si="187"/>
        <v>0</v>
      </c>
      <c r="BC264" s="15" t="str">
        <f t="shared" si="188"/>
        <v/>
      </c>
      <c r="BD264" s="15" t="str">
        <f t="shared" si="189"/>
        <v/>
      </c>
      <c r="BE264" s="11" t="e">
        <f t="shared" si="190"/>
        <v>#VALUE!</v>
      </c>
      <c r="BF264" s="11" t="e">
        <f t="shared" si="191"/>
        <v>#VALUE!</v>
      </c>
      <c r="BG264" s="11" t="e">
        <f t="shared" si="192"/>
        <v>#VALUE!</v>
      </c>
      <c r="BH264" t="str">
        <f t="shared" si="193"/>
        <v/>
      </c>
      <c r="BI264" t="str" cm="1">
        <f t="array" ref="BI264">_xlfn.IFS(
  L264&gt;0,"Critical Fail",
  M264&gt;0,"Important (Coaching)",
  TRUE,"Clean Pass"
)</f>
        <v>Clean Pass</v>
      </c>
      <c r="BJ264" t="str">
        <f t="shared" si="194"/>
        <v>NA</v>
      </c>
    </row>
    <row r="265" spans="1:62" x14ac:dyDescent="0.3">
      <c r="A265">
        <v>238432</v>
      </c>
      <c r="K265" t="str">
        <f t="shared" si="156"/>
        <v>Pass</v>
      </c>
      <c r="L265" s="15">
        <f t="shared" si="157"/>
        <v>0</v>
      </c>
      <c r="M265" s="15">
        <f t="shared" si="158"/>
        <v>0</v>
      </c>
      <c r="Z265" s="15">
        <f t="shared" si="159"/>
        <v>1</v>
      </c>
      <c r="AA265" s="15">
        <f t="shared" si="160"/>
        <v>1</v>
      </c>
      <c r="AB265" s="15">
        <f t="shared" si="161"/>
        <v>1</v>
      </c>
      <c r="AC265" s="15">
        <f t="shared" si="162"/>
        <v>1</v>
      </c>
      <c r="AD265" s="15">
        <f t="shared" si="163"/>
        <v>1</v>
      </c>
      <c r="AE265" s="15">
        <f t="shared" si="164"/>
        <v>1</v>
      </c>
      <c r="AF265" s="15">
        <f t="shared" si="165"/>
        <v>1</v>
      </c>
      <c r="AG265" s="15">
        <f t="shared" si="166"/>
        <v>1</v>
      </c>
      <c r="AH265" s="15">
        <f t="shared" si="167"/>
        <v>1</v>
      </c>
      <c r="AI265" s="15">
        <f t="shared" si="168"/>
        <v>1</v>
      </c>
      <c r="AJ265" s="15">
        <f t="shared" si="169"/>
        <v>1</v>
      </c>
      <c r="AK265" s="15">
        <f t="shared" si="170"/>
        <v>1</v>
      </c>
      <c r="AL265" s="15">
        <f t="shared" si="171"/>
        <v>1</v>
      </c>
      <c r="AM265" s="15">
        <f t="shared" si="172"/>
        <v>1</v>
      </c>
      <c r="AN265" s="15">
        <f t="shared" si="173"/>
        <v>1</v>
      </c>
      <c r="AO265" s="15">
        <f t="shared" si="174"/>
        <v>1</v>
      </c>
      <c r="AP265" s="15">
        <f t="shared" si="175"/>
        <v>1</v>
      </c>
      <c r="AQ265" s="15">
        <f t="shared" si="176"/>
        <v>1</v>
      </c>
      <c r="AR265" s="15">
        <f t="shared" si="177"/>
        <v>1</v>
      </c>
      <c r="AS265" s="15">
        <f t="shared" si="178"/>
        <v>1</v>
      </c>
      <c r="AT265" s="15">
        <f t="shared" si="179"/>
        <v>1</v>
      </c>
      <c r="AU265" s="15">
        <f t="shared" si="180"/>
        <v>1</v>
      </c>
      <c r="AV265" s="15">
        <f t="shared" si="181"/>
        <v>1</v>
      </c>
      <c r="AW265" s="15">
        <f t="shared" si="182"/>
        <v>1</v>
      </c>
      <c r="AX265" s="15">
        <f t="shared" si="183"/>
        <v>1</v>
      </c>
      <c r="AY265" s="15">
        <f t="shared" si="184"/>
        <v>1</v>
      </c>
      <c r="AZ265" s="15">
        <f t="shared" si="185"/>
        <v>1</v>
      </c>
      <c r="BA265" s="15">
        <f t="shared" si="186"/>
        <v>1</v>
      </c>
      <c r="BB265" s="15">
        <f t="shared" si="187"/>
        <v>0</v>
      </c>
      <c r="BC265" s="15" t="str">
        <f t="shared" si="188"/>
        <v/>
      </c>
      <c r="BD265" s="15" t="str">
        <f t="shared" si="189"/>
        <v/>
      </c>
      <c r="BE265" s="11" t="e">
        <f t="shared" si="190"/>
        <v>#VALUE!</v>
      </c>
      <c r="BF265" s="11" t="e">
        <f t="shared" si="191"/>
        <v>#VALUE!</v>
      </c>
      <c r="BG265" s="11" t="e">
        <f t="shared" si="192"/>
        <v>#VALUE!</v>
      </c>
      <c r="BH265" t="str">
        <f t="shared" si="193"/>
        <v/>
      </c>
      <c r="BI265" t="str" cm="1">
        <f t="array" ref="BI265">_xlfn.IFS(
  L265&gt;0,"Critical Fail",
  M265&gt;0,"Important (Coaching)",
  TRUE,"Clean Pass"
)</f>
        <v>Clean Pass</v>
      </c>
      <c r="BJ265" t="str">
        <f t="shared" si="194"/>
        <v>NA</v>
      </c>
    </row>
    <row r="266" spans="1:62" x14ac:dyDescent="0.3">
      <c r="A266">
        <v>921538</v>
      </c>
      <c r="K266" t="str">
        <f t="shared" si="156"/>
        <v>Pass</v>
      </c>
      <c r="L266" s="15">
        <f t="shared" si="157"/>
        <v>0</v>
      </c>
      <c r="M266" s="15">
        <f t="shared" si="158"/>
        <v>0</v>
      </c>
      <c r="Z266" s="15">
        <f t="shared" si="159"/>
        <v>1</v>
      </c>
      <c r="AA266" s="15">
        <f t="shared" si="160"/>
        <v>1</v>
      </c>
      <c r="AB266" s="15">
        <f t="shared" si="161"/>
        <v>1</v>
      </c>
      <c r="AC266" s="15">
        <f t="shared" si="162"/>
        <v>1</v>
      </c>
      <c r="AD266" s="15">
        <f t="shared" si="163"/>
        <v>1</v>
      </c>
      <c r="AE266" s="15">
        <f t="shared" si="164"/>
        <v>1</v>
      </c>
      <c r="AF266" s="15">
        <f t="shared" si="165"/>
        <v>1</v>
      </c>
      <c r="AG266" s="15">
        <f t="shared" si="166"/>
        <v>1</v>
      </c>
      <c r="AH266" s="15">
        <f t="shared" si="167"/>
        <v>1</v>
      </c>
      <c r="AI266" s="15">
        <f t="shared" si="168"/>
        <v>1</v>
      </c>
      <c r="AJ266" s="15">
        <f t="shared" si="169"/>
        <v>1</v>
      </c>
      <c r="AK266" s="15">
        <f t="shared" si="170"/>
        <v>1</v>
      </c>
      <c r="AL266" s="15">
        <f t="shared" si="171"/>
        <v>1</v>
      </c>
      <c r="AM266" s="15">
        <f t="shared" si="172"/>
        <v>1</v>
      </c>
      <c r="AN266" s="15">
        <f t="shared" si="173"/>
        <v>1</v>
      </c>
      <c r="AO266" s="15">
        <f t="shared" si="174"/>
        <v>1</v>
      </c>
      <c r="AP266" s="15">
        <f t="shared" si="175"/>
        <v>1</v>
      </c>
      <c r="AQ266" s="15">
        <f t="shared" si="176"/>
        <v>1</v>
      </c>
      <c r="AR266" s="15">
        <f t="shared" si="177"/>
        <v>1</v>
      </c>
      <c r="AS266" s="15">
        <f t="shared" si="178"/>
        <v>1</v>
      </c>
      <c r="AT266" s="15">
        <f t="shared" si="179"/>
        <v>1</v>
      </c>
      <c r="AU266" s="15">
        <f t="shared" si="180"/>
        <v>1</v>
      </c>
      <c r="AV266" s="15">
        <f t="shared" si="181"/>
        <v>1</v>
      </c>
      <c r="AW266" s="15">
        <f t="shared" si="182"/>
        <v>1</v>
      </c>
      <c r="AX266" s="15">
        <f t="shared" si="183"/>
        <v>1</v>
      </c>
      <c r="AY266" s="15">
        <f t="shared" si="184"/>
        <v>1</v>
      </c>
      <c r="AZ266" s="15">
        <f t="shared" si="185"/>
        <v>1</v>
      </c>
      <c r="BA266" s="15">
        <f t="shared" si="186"/>
        <v>1</v>
      </c>
      <c r="BB266" s="15">
        <f t="shared" si="187"/>
        <v>0</v>
      </c>
      <c r="BC266" s="15" t="str">
        <f t="shared" si="188"/>
        <v/>
      </c>
      <c r="BD266" s="15" t="str">
        <f t="shared" si="189"/>
        <v/>
      </c>
      <c r="BE266" s="11" t="e">
        <f t="shared" si="190"/>
        <v>#VALUE!</v>
      </c>
      <c r="BF266" s="11" t="e">
        <f t="shared" si="191"/>
        <v>#VALUE!</v>
      </c>
      <c r="BG266" s="11" t="e">
        <f t="shared" si="192"/>
        <v>#VALUE!</v>
      </c>
      <c r="BH266" t="str">
        <f t="shared" si="193"/>
        <v/>
      </c>
      <c r="BI266" t="str" cm="1">
        <f t="array" ref="BI266">_xlfn.IFS(
  L266&gt;0,"Critical Fail",
  M266&gt;0,"Important (Coaching)",
  TRUE,"Clean Pass"
)</f>
        <v>Clean Pass</v>
      </c>
      <c r="BJ266" t="str">
        <f t="shared" si="194"/>
        <v>NA</v>
      </c>
    </row>
    <row r="267" spans="1:62" x14ac:dyDescent="0.3">
      <c r="A267">
        <v>971101</v>
      </c>
      <c r="K267" t="str">
        <f t="shared" si="156"/>
        <v>Pass</v>
      </c>
      <c r="L267" s="15">
        <f t="shared" si="157"/>
        <v>0</v>
      </c>
      <c r="M267" s="15">
        <f t="shared" si="158"/>
        <v>0</v>
      </c>
      <c r="Z267" s="15">
        <f t="shared" si="159"/>
        <v>1</v>
      </c>
      <c r="AA267" s="15">
        <f t="shared" si="160"/>
        <v>1</v>
      </c>
      <c r="AB267" s="15">
        <f t="shared" si="161"/>
        <v>1</v>
      </c>
      <c r="AC267" s="15">
        <f t="shared" si="162"/>
        <v>1</v>
      </c>
      <c r="AD267" s="15">
        <f t="shared" si="163"/>
        <v>1</v>
      </c>
      <c r="AE267" s="15">
        <f t="shared" si="164"/>
        <v>1</v>
      </c>
      <c r="AF267" s="15">
        <f t="shared" si="165"/>
        <v>1</v>
      </c>
      <c r="AG267" s="15">
        <f t="shared" si="166"/>
        <v>1</v>
      </c>
      <c r="AH267" s="15">
        <f t="shared" si="167"/>
        <v>1</v>
      </c>
      <c r="AI267" s="15">
        <f t="shared" si="168"/>
        <v>1</v>
      </c>
      <c r="AJ267" s="15">
        <f t="shared" si="169"/>
        <v>1</v>
      </c>
      <c r="AK267" s="15">
        <f t="shared" si="170"/>
        <v>1</v>
      </c>
      <c r="AL267" s="15">
        <f t="shared" si="171"/>
        <v>1</v>
      </c>
      <c r="AM267" s="15">
        <f t="shared" si="172"/>
        <v>1</v>
      </c>
      <c r="AN267" s="15">
        <f t="shared" si="173"/>
        <v>1</v>
      </c>
      <c r="AO267" s="15">
        <f t="shared" si="174"/>
        <v>1</v>
      </c>
      <c r="AP267" s="15">
        <f t="shared" si="175"/>
        <v>1</v>
      </c>
      <c r="AQ267" s="15">
        <f t="shared" si="176"/>
        <v>1</v>
      </c>
      <c r="AR267" s="15">
        <f t="shared" si="177"/>
        <v>1</v>
      </c>
      <c r="AS267" s="15">
        <f t="shared" si="178"/>
        <v>1</v>
      </c>
      <c r="AT267" s="15">
        <f t="shared" si="179"/>
        <v>1</v>
      </c>
      <c r="AU267" s="15">
        <f t="shared" si="180"/>
        <v>1</v>
      </c>
      <c r="AV267" s="15">
        <f t="shared" si="181"/>
        <v>1</v>
      </c>
      <c r="AW267" s="15">
        <f t="shared" si="182"/>
        <v>1</v>
      </c>
      <c r="AX267" s="15">
        <f t="shared" si="183"/>
        <v>1</v>
      </c>
      <c r="AY267" s="15">
        <f t="shared" si="184"/>
        <v>1</v>
      </c>
      <c r="AZ267" s="15">
        <f t="shared" si="185"/>
        <v>1</v>
      </c>
      <c r="BA267" s="15">
        <f t="shared" si="186"/>
        <v>1</v>
      </c>
      <c r="BB267" s="15">
        <f t="shared" si="187"/>
        <v>0</v>
      </c>
      <c r="BC267" s="15" t="str">
        <f t="shared" si="188"/>
        <v/>
      </c>
      <c r="BD267" s="15" t="str">
        <f t="shared" si="189"/>
        <v/>
      </c>
      <c r="BE267" s="11" t="e">
        <f t="shared" si="190"/>
        <v>#VALUE!</v>
      </c>
      <c r="BF267" s="11" t="e">
        <f t="shared" si="191"/>
        <v>#VALUE!</v>
      </c>
      <c r="BG267" s="11" t="e">
        <f t="shared" si="192"/>
        <v>#VALUE!</v>
      </c>
      <c r="BH267" t="str">
        <f t="shared" si="193"/>
        <v/>
      </c>
      <c r="BI267" t="str" cm="1">
        <f t="array" ref="BI267">_xlfn.IFS(
  L267&gt;0,"Critical Fail",
  M267&gt;0,"Important (Coaching)",
  TRUE,"Clean Pass"
)</f>
        <v>Clean Pass</v>
      </c>
      <c r="BJ267" t="str">
        <f t="shared" si="194"/>
        <v>NA</v>
      </c>
    </row>
    <row r="268" spans="1:62" x14ac:dyDescent="0.3">
      <c r="A268">
        <v>863654</v>
      </c>
      <c r="K268" t="str">
        <f t="shared" si="156"/>
        <v>Pass</v>
      </c>
      <c r="L268" s="15">
        <f t="shared" si="157"/>
        <v>0</v>
      </c>
      <c r="M268" s="15">
        <f t="shared" si="158"/>
        <v>0</v>
      </c>
      <c r="Z268" s="15">
        <f t="shared" si="159"/>
        <v>1</v>
      </c>
      <c r="AA268" s="15">
        <f t="shared" si="160"/>
        <v>1</v>
      </c>
      <c r="AB268" s="15">
        <f t="shared" si="161"/>
        <v>1</v>
      </c>
      <c r="AC268" s="15">
        <f t="shared" si="162"/>
        <v>1</v>
      </c>
      <c r="AD268" s="15">
        <f t="shared" si="163"/>
        <v>1</v>
      </c>
      <c r="AE268" s="15">
        <f t="shared" si="164"/>
        <v>1</v>
      </c>
      <c r="AF268" s="15">
        <f t="shared" si="165"/>
        <v>1</v>
      </c>
      <c r="AG268" s="15">
        <f t="shared" si="166"/>
        <v>1</v>
      </c>
      <c r="AH268" s="15">
        <f t="shared" si="167"/>
        <v>1</v>
      </c>
      <c r="AI268" s="15">
        <f t="shared" si="168"/>
        <v>1</v>
      </c>
      <c r="AJ268" s="15">
        <f t="shared" si="169"/>
        <v>1</v>
      </c>
      <c r="AK268" s="15">
        <f t="shared" si="170"/>
        <v>1</v>
      </c>
      <c r="AL268" s="15">
        <f t="shared" si="171"/>
        <v>1</v>
      </c>
      <c r="AM268" s="15">
        <f t="shared" si="172"/>
        <v>1</v>
      </c>
      <c r="AN268" s="15">
        <f t="shared" si="173"/>
        <v>1</v>
      </c>
      <c r="AO268" s="15">
        <f t="shared" si="174"/>
        <v>1</v>
      </c>
      <c r="AP268" s="15">
        <f t="shared" si="175"/>
        <v>1</v>
      </c>
      <c r="AQ268" s="15">
        <f t="shared" si="176"/>
        <v>1</v>
      </c>
      <c r="AR268" s="15">
        <f t="shared" si="177"/>
        <v>1</v>
      </c>
      <c r="AS268" s="15">
        <f t="shared" si="178"/>
        <v>1</v>
      </c>
      <c r="AT268" s="15">
        <f t="shared" si="179"/>
        <v>1</v>
      </c>
      <c r="AU268" s="15">
        <f t="shared" si="180"/>
        <v>1</v>
      </c>
      <c r="AV268" s="15">
        <f t="shared" si="181"/>
        <v>1</v>
      </c>
      <c r="AW268" s="15">
        <f t="shared" si="182"/>
        <v>1</v>
      </c>
      <c r="AX268" s="15">
        <f t="shared" si="183"/>
        <v>1</v>
      </c>
      <c r="AY268" s="15">
        <f t="shared" si="184"/>
        <v>1</v>
      </c>
      <c r="AZ268" s="15">
        <f t="shared" si="185"/>
        <v>1</v>
      </c>
      <c r="BA268" s="15">
        <f t="shared" si="186"/>
        <v>1</v>
      </c>
      <c r="BB268" s="15">
        <f t="shared" si="187"/>
        <v>0</v>
      </c>
      <c r="BC268" s="15" t="str">
        <f t="shared" si="188"/>
        <v/>
      </c>
      <c r="BD268" s="15" t="str">
        <f t="shared" si="189"/>
        <v/>
      </c>
      <c r="BE268" s="11" t="e">
        <f t="shared" si="190"/>
        <v>#VALUE!</v>
      </c>
      <c r="BF268" s="11" t="e">
        <f t="shared" si="191"/>
        <v>#VALUE!</v>
      </c>
      <c r="BG268" s="11" t="e">
        <f t="shared" si="192"/>
        <v>#VALUE!</v>
      </c>
      <c r="BH268" t="str">
        <f t="shared" si="193"/>
        <v/>
      </c>
      <c r="BI268" t="str" cm="1">
        <f t="array" ref="BI268">_xlfn.IFS(
  L268&gt;0,"Critical Fail",
  M268&gt;0,"Important (Coaching)",
  TRUE,"Clean Pass"
)</f>
        <v>Clean Pass</v>
      </c>
      <c r="BJ268" t="str">
        <f t="shared" si="194"/>
        <v>NA</v>
      </c>
    </row>
    <row r="269" spans="1:62" x14ac:dyDescent="0.3">
      <c r="A269">
        <v>269241</v>
      </c>
      <c r="K269" t="str">
        <f t="shared" si="156"/>
        <v>Pass</v>
      </c>
      <c r="L269" s="15">
        <f t="shared" si="157"/>
        <v>0</v>
      </c>
      <c r="M269" s="15">
        <f t="shared" si="158"/>
        <v>0</v>
      </c>
      <c r="Z269" s="15">
        <f t="shared" si="159"/>
        <v>1</v>
      </c>
      <c r="AA269" s="15">
        <f t="shared" si="160"/>
        <v>1</v>
      </c>
      <c r="AB269" s="15">
        <f t="shared" si="161"/>
        <v>1</v>
      </c>
      <c r="AC269" s="15">
        <f t="shared" si="162"/>
        <v>1</v>
      </c>
      <c r="AD269" s="15">
        <f t="shared" si="163"/>
        <v>1</v>
      </c>
      <c r="AE269" s="15">
        <f t="shared" si="164"/>
        <v>1</v>
      </c>
      <c r="AF269" s="15">
        <f t="shared" si="165"/>
        <v>1</v>
      </c>
      <c r="AG269" s="15">
        <f t="shared" si="166"/>
        <v>1</v>
      </c>
      <c r="AH269" s="15">
        <f t="shared" si="167"/>
        <v>1</v>
      </c>
      <c r="AI269" s="15">
        <f t="shared" si="168"/>
        <v>1</v>
      </c>
      <c r="AJ269" s="15">
        <f t="shared" si="169"/>
        <v>1</v>
      </c>
      <c r="AK269" s="15">
        <f t="shared" si="170"/>
        <v>1</v>
      </c>
      <c r="AL269" s="15">
        <f t="shared" si="171"/>
        <v>1</v>
      </c>
      <c r="AM269" s="15">
        <f t="shared" si="172"/>
        <v>1</v>
      </c>
      <c r="AN269" s="15">
        <f t="shared" si="173"/>
        <v>1</v>
      </c>
      <c r="AO269" s="15">
        <f t="shared" si="174"/>
        <v>1</v>
      </c>
      <c r="AP269" s="15">
        <f t="shared" si="175"/>
        <v>1</v>
      </c>
      <c r="AQ269" s="15">
        <f t="shared" si="176"/>
        <v>1</v>
      </c>
      <c r="AR269" s="15">
        <f t="shared" si="177"/>
        <v>1</v>
      </c>
      <c r="AS269" s="15">
        <f t="shared" si="178"/>
        <v>1</v>
      </c>
      <c r="AT269" s="15">
        <f t="shared" si="179"/>
        <v>1</v>
      </c>
      <c r="AU269" s="15">
        <f t="shared" si="180"/>
        <v>1</v>
      </c>
      <c r="AV269" s="15">
        <f t="shared" si="181"/>
        <v>1</v>
      </c>
      <c r="AW269" s="15">
        <f t="shared" si="182"/>
        <v>1</v>
      </c>
      <c r="AX269" s="15">
        <f t="shared" si="183"/>
        <v>1</v>
      </c>
      <c r="AY269" s="15">
        <f t="shared" si="184"/>
        <v>1</v>
      </c>
      <c r="AZ269" s="15">
        <f t="shared" si="185"/>
        <v>1</v>
      </c>
      <c r="BA269" s="15">
        <f t="shared" si="186"/>
        <v>1</v>
      </c>
      <c r="BB269" s="15">
        <f t="shared" si="187"/>
        <v>0</v>
      </c>
      <c r="BC269" s="15" t="str">
        <f t="shared" si="188"/>
        <v/>
      </c>
      <c r="BD269" s="15" t="str">
        <f t="shared" si="189"/>
        <v/>
      </c>
      <c r="BE269" s="11" t="e">
        <f t="shared" si="190"/>
        <v>#VALUE!</v>
      </c>
      <c r="BF269" s="11" t="e">
        <f t="shared" si="191"/>
        <v>#VALUE!</v>
      </c>
      <c r="BG269" s="11" t="e">
        <f t="shared" si="192"/>
        <v>#VALUE!</v>
      </c>
      <c r="BH269" t="str">
        <f t="shared" si="193"/>
        <v/>
      </c>
      <c r="BI269" t="str" cm="1">
        <f t="array" ref="BI269">_xlfn.IFS(
  L269&gt;0,"Critical Fail",
  M269&gt;0,"Important (Coaching)",
  TRUE,"Clean Pass"
)</f>
        <v>Clean Pass</v>
      </c>
      <c r="BJ269" t="str">
        <f t="shared" si="194"/>
        <v>NA</v>
      </c>
    </row>
    <row r="270" spans="1:62" x14ac:dyDescent="0.3">
      <c r="A270">
        <v>690032</v>
      </c>
      <c r="K270" t="str">
        <f t="shared" si="156"/>
        <v>Pass</v>
      </c>
      <c r="L270" s="15">
        <f t="shared" si="157"/>
        <v>0</v>
      </c>
      <c r="M270" s="15">
        <f t="shared" si="158"/>
        <v>0</v>
      </c>
      <c r="Z270" s="15">
        <f t="shared" si="159"/>
        <v>1</v>
      </c>
      <c r="AA270" s="15">
        <f t="shared" si="160"/>
        <v>1</v>
      </c>
      <c r="AB270" s="15">
        <f t="shared" si="161"/>
        <v>1</v>
      </c>
      <c r="AC270" s="15">
        <f t="shared" si="162"/>
        <v>1</v>
      </c>
      <c r="AD270" s="15">
        <f t="shared" si="163"/>
        <v>1</v>
      </c>
      <c r="AE270" s="15">
        <f t="shared" si="164"/>
        <v>1</v>
      </c>
      <c r="AF270" s="15">
        <f t="shared" si="165"/>
        <v>1</v>
      </c>
      <c r="AG270" s="15">
        <f t="shared" si="166"/>
        <v>1</v>
      </c>
      <c r="AH270" s="15">
        <f t="shared" si="167"/>
        <v>1</v>
      </c>
      <c r="AI270" s="15">
        <f t="shared" si="168"/>
        <v>1</v>
      </c>
      <c r="AJ270" s="15">
        <f t="shared" si="169"/>
        <v>1</v>
      </c>
      <c r="AK270" s="15">
        <f t="shared" si="170"/>
        <v>1</v>
      </c>
      <c r="AL270" s="15">
        <f t="shared" si="171"/>
        <v>1</v>
      </c>
      <c r="AM270" s="15">
        <f t="shared" si="172"/>
        <v>1</v>
      </c>
      <c r="AN270" s="15">
        <f t="shared" si="173"/>
        <v>1</v>
      </c>
      <c r="AO270" s="15">
        <f t="shared" si="174"/>
        <v>1</v>
      </c>
      <c r="AP270" s="15">
        <f t="shared" si="175"/>
        <v>1</v>
      </c>
      <c r="AQ270" s="15">
        <f t="shared" si="176"/>
        <v>1</v>
      </c>
      <c r="AR270" s="15">
        <f t="shared" si="177"/>
        <v>1</v>
      </c>
      <c r="AS270" s="15">
        <f t="shared" si="178"/>
        <v>1</v>
      </c>
      <c r="AT270" s="15">
        <f t="shared" si="179"/>
        <v>1</v>
      </c>
      <c r="AU270" s="15">
        <f t="shared" si="180"/>
        <v>1</v>
      </c>
      <c r="AV270" s="15">
        <f t="shared" si="181"/>
        <v>1</v>
      </c>
      <c r="AW270" s="15">
        <f t="shared" si="182"/>
        <v>1</v>
      </c>
      <c r="AX270" s="15">
        <f t="shared" si="183"/>
        <v>1</v>
      </c>
      <c r="AY270" s="15">
        <f t="shared" si="184"/>
        <v>1</v>
      </c>
      <c r="AZ270" s="15">
        <f t="shared" si="185"/>
        <v>1</v>
      </c>
      <c r="BA270" s="15">
        <f t="shared" si="186"/>
        <v>1</v>
      </c>
      <c r="BB270" s="15">
        <f t="shared" si="187"/>
        <v>0</v>
      </c>
      <c r="BC270" s="15" t="str">
        <f t="shared" si="188"/>
        <v/>
      </c>
      <c r="BD270" s="15" t="str">
        <f t="shared" si="189"/>
        <v/>
      </c>
      <c r="BE270" s="11" t="e">
        <f t="shared" si="190"/>
        <v>#VALUE!</v>
      </c>
      <c r="BF270" s="11" t="e">
        <f t="shared" si="191"/>
        <v>#VALUE!</v>
      </c>
      <c r="BG270" s="11" t="e">
        <f t="shared" si="192"/>
        <v>#VALUE!</v>
      </c>
      <c r="BH270" t="str">
        <f t="shared" si="193"/>
        <v/>
      </c>
      <c r="BI270" t="str" cm="1">
        <f t="array" ref="BI270">_xlfn.IFS(
  L270&gt;0,"Critical Fail",
  M270&gt;0,"Important (Coaching)",
  TRUE,"Clean Pass"
)</f>
        <v>Clean Pass</v>
      </c>
      <c r="BJ270" t="str">
        <f t="shared" si="194"/>
        <v>NA</v>
      </c>
    </row>
    <row r="271" spans="1:62" x14ac:dyDescent="0.3">
      <c r="A271">
        <v>262095</v>
      </c>
      <c r="K271" t="str">
        <f t="shared" si="156"/>
        <v>Pass</v>
      </c>
      <c r="L271" s="15">
        <f t="shared" si="157"/>
        <v>0</v>
      </c>
      <c r="M271" s="15">
        <f t="shared" si="158"/>
        <v>0</v>
      </c>
      <c r="Z271" s="15">
        <f t="shared" si="159"/>
        <v>1</v>
      </c>
      <c r="AA271" s="15">
        <f t="shared" si="160"/>
        <v>1</v>
      </c>
      <c r="AB271" s="15">
        <f t="shared" si="161"/>
        <v>1</v>
      </c>
      <c r="AC271" s="15">
        <f t="shared" si="162"/>
        <v>1</v>
      </c>
      <c r="AD271" s="15">
        <f t="shared" si="163"/>
        <v>1</v>
      </c>
      <c r="AE271" s="15">
        <f t="shared" si="164"/>
        <v>1</v>
      </c>
      <c r="AF271" s="15">
        <f t="shared" si="165"/>
        <v>1</v>
      </c>
      <c r="AG271" s="15">
        <f t="shared" si="166"/>
        <v>1</v>
      </c>
      <c r="AH271" s="15">
        <f t="shared" si="167"/>
        <v>1</v>
      </c>
      <c r="AI271" s="15">
        <f t="shared" si="168"/>
        <v>1</v>
      </c>
      <c r="AJ271" s="15">
        <f t="shared" si="169"/>
        <v>1</v>
      </c>
      <c r="AK271" s="15">
        <f t="shared" si="170"/>
        <v>1</v>
      </c>
      <c r="AL271" s="15">
        <f t="shared" si="171"/>
        <v>1</v>
      </c>
      <c r="AM271" s="15">
        <f t="shared" si="172"/>
        <v>1</v>
      </c>
      <c r="AN271" s="15">
        <f t="shared" si="173"/>
        <v>1</v>
      </c>
      <c r="AO271" s="15">
        <f t="shared" si="174"/>
        <v>1</v>
      </c>
      <c r="AP271" s="15">
        <f t="shared" si="175"/>
        <v>1</v>
      </c>
      <c r="AQ271" s="15">
        <f t="shared" si="176"/>
        <v>1</v>
      </c>
      <c r="AR271" s="15">
        <f t="shared" si="177"/>
        <v>1</v>
      </c>
      <c r="AS271" s="15">
        <f t="shared" si="178"/>
        <v>1</v>
      </c>
      <c r="AT271" s="15">
        <f t="shared" si="179"/>
        <v>1</v>
      </c>
      <c r="AU271" s="15">
        <f t="shared" si="180"/>
        <v>1</v>
      </c>
      <c r="AV271" s="15">
        <f t="shared" si="181"/>
        <v>1</v>
      </c>
      <c r="AW271" s="15">
        <f t="shared" si="182"/>
        <v>1</v>
      </c>
      <c r="AX271" s="15">
        <f t="shared" si="183"/>
        <v>1</v>
      </c>
      <c r="AY271" s="15">
        <f t="shared" si="184"/>
        <v>1</v>
      </c>
      <c r="AZ271" s="15">
        <f t="shared" si="185"/>
        <v>1</v>
      </c>
      <c r="BA271" s="15">
        <f t="shared" si="186"/>
        <v>1</v>
      </c>
      <c r="BB271" s="15">
        <f t="shared" si="187"/>
        <v>0</v>
      </c>
      <c r="BC271" s="15" t="str">
        <f t="shared" si="188"/>
        <v/>
      </c>
      <c r="BD271" s="15" t="str">
        <f t="shared" si="189"/>
        <v/>
      </c>
      <c r="BE271" s="11" t="e">
        <f t="shared" si="190"/>
        <v>#VALUE!</v>
      </c>
      <c r="BF271" s="11" t="e">
        <f t="shared" si="191"/>
        <v>#VALUE!</v>
      </c>
      <c r="BG271" s="11" t="e">
        <f t="shared" si="192"/>
        <v>#VALUE!</v>
      </c>
      <c r="BH271" t="str">
        <f t="shared" si="193"/>
        <v/>
      </c>
      <c r="BI271" t="str" cm="1">
        <f t="array" ref="BI271">_xlfn.IFS(
  L271&gt;0,"Critical Fail",
  M271&gt;0,"Important (Coaching)",
  TRUE,"Clean Pass"
)</f>
        <v>Clean Pass</v>
      </c>
      <c r="BJ271" t="str">
        <f t="shared" si="194"/>
        <v>NA</v>
      </c>
    </row>
    <row r="272" spans="1:62" x14ac:dyDescent="0.3">
      <c r="A272">
        <v>204042</v>
      </c>
      <c r="K272" t="str">
        <f t="shared" si="156"/>
        <v>Pass</v>
      </c>
      <c r="L272" s="15">
        <f t="shared" si="157"/>
        <v>0</v>
      </c>
      <c r="M272" s="15">
        <f t="shared" si="158"/>
        <v>0</v>
      </c>
      <c r="Z272" s="15">
        <f t="shared" si="159"/>
        <v>1</v>
      </c>
      <c r="AA272" s="15">
        <f t="shared" si="160"/>
        <v>1</v>
      </c>
      <c r="AB272" s="15">
        <f t="shared" si="161"/>
        <v>1</v>
      </c>
      <c r="AC272" s="15">
        <f t="shared" si="162"/>
        <v>1</v>
      </c>
      <c r="AD272" s="15">
        <f t="shared" si="163"/>
        <v>1</v>
      </c>
      <c r="AE272" s="15">
        <f t="shared" si="164"/>
        <v>1</v>
      </c>
      <c r="AF272" s="15">
        <f t="shared" si="165"/>
        <v>1</v>
      </c>
      <c r="AG272" s="15">
        <f t="shared" si="166"/>
        <v>1</v>
      </c>
      <c r="AH272" s="15">
        <f t="shared" si="167"/>
        <v>1</v>
      </c>
      <c r="AI272" s="15">
        <f t="shared" si="168"/>
        <v>1</v>
      </c>
      <c r="AJ272" s="15">
        <f t="shared" si="169"/>
        <v>1</v>
      </c>
      <c r="AK272" s="15">
        <f t="shared" si="170"/>
        <v>1</v>
      </c>
      <c r="AL272" s="15">
        <f t="shared" si="171"/>
        <v>1</v>
      </c>
      <c r="AM272" s="15">
        <f t="shared" si="172"/>
        <v>1</v>
      </c>
      <c r="AN272" s="15">
        <f t="shared" si="173"/>
        <v>1</v>
      </c>
      <c r="AO272" s="15">
        <f t="shared" si="174"/>
        <v>1</v>
      </c>
      <c r="AP272" s="15">
        <f t="shared" si="175"/>
        <v>1</v>
      </c>
      <c r="AQ272" s="15">
        <f t="shared" si="176"/>
        <v>1</v>
      </c>
      <c r="AR272" s="15">
        <f t="shared" si="177"/>
        <v>1</v>
      </c>
      <c r="AS272" s="15">
        <f t="shared" si="178"/>
        <v>1</v>
      </c>
      <c r="AT272" s="15">
        <f t="shared" si="179"/>
        <v>1</v>
      </c>
      <c r="AU272" s="15">
        <f t="shared" si="180"/>
        <v>1</v>
      </c>
      <c r="AV272" s="15">
        <f t="shared" si="181"/>
        <v>1</v>
      </c>
      <c r="AW272" s="15">
        <f t="shared" si="182"/>
        <v>1</v>
      </c>
      <c r="AX272" s="15">
        <f t="shared" si="183"/>
        <v>1</v>
      </c>
      <c r="AY272" s="15">
        <f t="shared" si="184"/>
        <v>1</v>
      </c>
      <c r="AZ272" s="15">
        <f t="shared" si="185"/>
        <v>1</v>
      </c>
      <c r="BA272" s="15">
        <f t="shared" si="186"/>
        <v>1</v>
      </c>
      <c r="BB272" s="15">
        <f t="shared" si="187"/>
        <v>0</v>
      </c>
      <c r="BC272" s="15" t="str">
        <f t="shared" si="188"/>
        <v/>
      </c>
      <c r="BD272" s="15" t="str">
        <f t="shared" si="189"/>
        <v/>
      </c>
      <c r="BE272" s="11" t="e">
        <f t="shared" si="190"/>
        <v>#VALUE!</v>
      </c>
      <c r="BF272" s="11" t="e">
        <f t="shared" si="191"/>
        <v>#VALUE!</v>
      </c>
      <c r="BG272" s="11" t="e">
        <f t="shared" si="192"/>
        <v>#VALUE!</v>
      </c>
      <c r="BH272" t="str">
        <f t="shared" si="193"/>
        <v/>
      </c>
      <c r="BI272" t="str" cm="1">
        <f t="array" ref="BI272">_xlfn.IFS(
  L272&gt;0,"Critical Fail",
  M272&gt;0,"Important (Coaching)",
  TRUE,"Clean Pass"
)</f>
        <v>Clean Pass</v>
      </c>
      <c r="BJ272" t="str">
        <f t="shared" si="194"/>
        <v>NA</v>
      </c>
    </row>
    <row r="273" spans="1:62" x14ac:dyDescent="0.3">
      <c r="A273">
        <v>306822</v>
      </c>
      <c r="K273" t="str">
        <f t="shared" si="156"/>
        <v>Pass</v>
      </c>
      <c r="L273" s="15">
        <f t="shared" si="157"/>
        <v>0</v>
      </c>
      <c r="M273" s="15">
        <f t="shared" si="158"/>
        <v>0</v>
      </c>
      <c r="Z273" s="15">
        <f t="shared" si="159"/>
        <v>1</v>
      </c>
      <c r="AA273" s="15">
        <f t="shared" si="160"/>
        <v>1</v>
      </c>
      <c r="AB273" s="15">
        <f t="shared" si="161"/>
        <v>1</v>
      </c>
      <c r="AC273" s="15">
        <f t="shared" si="162"/>
        <v>1</v>
      </c>
      <c r="AD273" s="15">
        <f t="shared" si="163"/>
        <v>1</v>
      </c>
      <c r="AE273" s="15">
        <f t="shared" si="164"/>
        <v>1</v>
      </c>
      <c r="AF273" s="15">
        <f t="shared" si="165"/>
        <v>1</v>
      </c>
      <c r="AG273" s="15">
        <f t="shared" si="166"/>
        <v>1</v>
      </c>
      <c r="AH273" s="15">
        <f t="shared" si="167"/>
        <v>1</v>
      </c>
      <c r="AI273" s="15">
        <f t="shared" si="168"/>
        <v>1</v>
      </c>
      <c r="AJ273" s="15">
        <f t="shared" si="169"/>
        <v>1</v>
      </c>
      <c r="AK273" s="15">
        <f t="shared" si="170"/>
        <v>1</v>
      </c>
      <c r="AL273" s="15">
        <f t="shared" si="171"/>
        <v>1</v>
      </c>
      <c r="AM273" s="15">
        <f t="shared" si="172"/>
        <v>1</v>
      </c>
      <c r="AN273" s="15">
        <f t="shared" si="173"/>
        <v>1</v>
      </c>
      <c r="AO273" s="15">
        <f t="shared" si="174"/>
        <v>1</v>
      </c>
      <c r="AP273" s="15">
        <f t="shared" si="175"/>
        <v>1</v>
      </c>
      <c r="AQ273" s="15">
        <f t="shared" si="176"/>
        <v>1</v>
      </c>
      <c r="AR273" s="15">
        <f t="shared" si="177"/>
        <v>1</v>
      </c>
      <c r="AS273" s="15">
        <f t="shared" si="178"/>
        <v>1</v>
      </c>
      <c r="AT273" s="15">
        <f t="shared" si="179"/>
        <v>1</v>
      </c>
      <c r="AU273" s="15">
        <f t="shared" si="180"/>
        <v>1</v>
      </c>
      <c r="AV273" s="15">
        <f t="shared" si="181"/>
        <v>1</v>
      </c>
      <c r="AW273" s="15">
        <f t="shared" si="182"/>
        <v>1</v>
      </c>
      <c r="AX273" s="15">
        <f t="shared" si="183"/>
        <v>1</v>
      </c>
      <c r="AY273" s="15">
        <f t="shared" si="184"/>
        <v>1</v>
      </c>
      <c r="AZ273" s="15">
        <f t="shared" si="185"/>
        <v>1</v>
      </c>
      <c r="BA273" s="15">
        <f t="shared" si="186"/>
        <v>1</v>
      </c>
      <c r="BB273" s="15">
        <f t="shared" si="187"/>
        <v>0</v>
      </c>
      <c r="BC273" s="15" t="str">
        <f t="shared" si="188"/>
        <v/>
      </c>
      <c r="BD273" s="15" t="str">
        <f t="shared" si="189"/>
        <v/>
      </c>
      <c r="BE273" s="11" t="e">
        <f t="shared" si="190"/>
        <v>#VALUE!</v>
      </c>
      <c r="BF273" s="11" t="e">
        <f t="shared" si="191"/>
        <v>#VALUE!</v>
      </c>
      <c r="BG273" s="11" t="e">
        <f t="shared" si="192"/>
        <v>#VALUE!</v>
      </c>
      <c r="BH273" t="str">
        <f t="shared" si="193"/>
        <v/>
      </c>
      <c r="BI273" t="str" cm="1">
        <f t="array" ref="BI273">_xlfn.IFS(
  L273&gt;0,"Critical Fail",
  M273&gt;0,"Important (Coaching)",
  TRUE,"Clean Pass"
)</f>
        <v>Clean Pass</v>
      </c>
      <c r="BJ273" t="str">
        <f t="shared" si="194"/>
        <v>NA</v>
      </c>
    </row>
    <row r="274" spans="1:62" x14ac:dyDescent="0.3">
      <c r="A274">
        <v>133477</v>
      </c>
      <c r="K274" t="str">
        <f t="shared" si="156"/>
        <v>Pass</v>
      </c>
      <c r="L274" s="15">
        <f t="shared" si="157"/>
        <v>0</v>
      </c>
      <c r="M274" s="15">
        <f t="shared" si="158"/>
        <v>0</v>
      </c>
      <c r="Z274" s="15">
        <f t="shared" si="159"/>
        <v>1</v>
      </c>
      <c r="AA274" s="15">
        <f t="shared" si="160"/>
        <v>1</v>
      </c>
      <c r="AB274" s="15">
        <f t="shared" si="161"/>
        <v>1</v>
      </c>
      <c r="AC274" s="15">
        <f t="shared" si="162"/>
        <v>1</v>
      </c>
      <c r="AD274" s="15">
        <f t="shared" si="163"/>
        <v>1</v>
      </c>
      <c r="AE274" s="15">
        <f t="shared" si="164"/>
        <v>1</v>
      </c>
      <c r="AF274" s="15">
        <f t="shared" si="165"/>
        <v>1</v>
      </c>
      <c r="AG274" s="15">
        <f t="shared" si="166"/>
        <v>1</v>
      </c>
      <c r="AH274" s="15">
        <f t="shared" si="167"/>
        <v>1</v>
      </c>
      <c r="AI274" s="15">
        <f t="shared" si="168"/>
        <v>1</v>
      </c>
      <c r="AJ274" s="15">
        <f t="shared" si="169"/>
        <v>1</v>
      </c>
      <c r="AK274" s="15">
        <f t="shared" si="170"/>
        <v>1</v>
      </c>
      <c r="AL274" s="15">
        <f t="shared" si="171"/>
        <v>1</v>
      </c>
      <c r="AM274" s="15">
        <f t="shared" si="172"/>
        <v>1</v>
      </c>
      <c r="AN274" s="15">
        <f t="shared" si="173"/>
        <v>1</v>
      </c>
      <c r="AO274" s="15">
        <f t="shared" si="174"/>
        <v>1</v>
      </c>
      <c r="AP274" s="15">
        <f t="shared" si="175"/>
        <v>1</v>
      </c>
      <c r="AQ274" s="15">
        <f t="shared" si="176"/>
        <v>1</v>
      </c>
      <c r="AR274" s="15">
        <f t="shared" si="177"/>
        <v>1</v>
      </c>
      <c r="AS274" s="15">
        <f t="shared" si="178"/>
        <v>1</v>
      </c>
      <c r="AT274" s="15">
        <f t="shared" si="179"/>
        <v>1</v>
      </c>
      <c r="AU274" s="15">
        <f t="shared" si="180"/>
        <v>1</v>
      </c>
      <c r="AV274" s="15">
        <f t="shared" si="181"/>
        <v>1</v>
      </c>
      <c r="AW274" s="15">
        <f t="shared" si="182"/>
        <v>1</v>
      </c>
      <c r="AX274" s="15">
        <f t="shared" si="183"/>
        <v>1</v>
      </c>
      <c r="AY274" s="15">
        <f t="shared" si="184"/>
        <v>1</v>
      </c>
      <c r="AZ274" s="15">
        <f t="shared" si="185"/>
        <v>1</v>
      </c>
      <c r="BA274" s="15">
        <f t="shared" si="186"/>
        <v>1</v>
      </c>
      <c r="BB274" s="15">
        <f t="shared" si="187"/>
        <v>0</v>
      </c>
      <c r="BC274" s="15" t="str">
        <f t="shared" si="188"/>
        <v/>
      </c>
      <c r="BD274" s="15" t="str">
        <f t="shared" si="189"/>
        <v/>
      </c>
      <c r="BE274" s="11" t="e">
        <f t="shared" si="190"/>
        <v>#VALUE!</v>
      </c>
      <c r="BF274" s="11" t="e">
        <f t="shared" si="191"/>
        <v>#VALUE!</v>
      </c>
      <c r="BG274" s="11" t="e">
        <f t="shared" si="192"/>
        <v>#VALUE!</v>
      </c>
      <c r="BH274" t="str">
        <f t="shared" si="193"/>
        <v/>
      </c>
      <c r="BI274" t="str" cm="1">
        <f t="array" ref="BI274">_xlfn.IFS(
  L274&gt;0,"Critical Fail",
  M274&gt;0,"Important (Coaching)",
  TRUE,"Clean Pass"
)</f>
        <v>Clean Pass</v>
      </c>
      <c r="BJ274" t="str">
        <f t="shared" si="194"/>
        <v>NA</v>
      </c>
    </row>
    <row r="275" spans="1:62" x14ac:dyDescent="0.3">
      <c r="A275">
        <v>258975</v>
      </c>
      <c r="K275" t="str">
        <f t="shared" si="156"/>
        <v>Pass</v>
      </c>
      <c r="L275" s="15">
        <f t="shared" si="157"/>
        <v>0</v>
      </c>
      <c r="M275" s="15">
        <f t="shared" si="158"/>
        <v>0</v>
      </c>
      <c r="Z275" s="15">
        <f t="shared" si="159"/>
        <v>1</v>
      </c>
      <c r="AA275" s="15">
        <f t="shared" si="160"/>
        <v>1</v>
      </c>
      <c r="AB275" s="15">
        <f t="shared" si="161"/>
        <v>1</v>
      </c>
      <c r="AC275" s="15">
        <f t="shared" si="162"/>
        <v>1</v>
      </c>
      <c r="AD275" s="15">
        <f t="shared" si="163"/>
        <v>1</v>
      </c>
      <c r="AE275" s="15">
        <f t="shared" si="164"/>
        <v>1</v>
      </c>
      <c r="AF275" s="15">
        <f t="shared" si="165"/>
        <v>1</v>
      </c>
      <c r="AG275" s="15">
        <f t="shared" si="166"/>
        <v>1</v>
      </c>
      <c r="AH275" s="15">
        <f t="shared" si="167"/>
        <v>1</v>
      </c>
      <c r="AI275" s="15">
        <f t="shared" si="168"/>
        <v>1</v>
      </c>
      <c r="AJ275" s="15">
        <f t="shared" si="169"/>
        <v>1</v>
      </c>
      <c r="AK275" s="15">
        <f t="shared" si="170"/>
        <v>1</v>
      </c>
      <c r="AL275" s="15">
        <f t="shared" si="171"/>
        <v>1</v>
      </c>
      <c r="AM275" s="15">
        <f t="shared" si="172"/>
        <v>1</v>
      </c>
      <c r="AN275" s="15">
        <f t="shared" si="173"/>
        <v>1</v>
      </c>
      <c r="AO275" s="15">
        <f t="shared" si="174"/>
        <v>1</v>
      </c>
      <c r="AP275" s="15">
        <f t="shared" si="175"/>
        <v>1</v>
      </c>
      <c r="AQ275" s="15">
        <f t="shared" si="176"/>
        <v>1</v>
      </c>
      <c r="AR275" s="15">
        <f t="shared" si="177"/>
        <v>1</v>
      </c>
      <c r="AS275" s="15">
        <f t="shared" si="178"/>
        <v>1</v>
      </c>
      <c r="AT275" s="15">
        <f t="shared" si="179"/>
        <v>1</v>
      </c>
      <c r="AU275" s="15">
        <f t="shared" si="180"/>
        <v>1</v>
      </c>
      <c r="AV275" s="15">
        <f t="shared" si="181"/>
        <v>1</v>
      </c>
      <c r="AW275" s="15">
        <f t="shared" si="182"/>
        <v>1</v>
      </c>
      <c r="AX275" s="15">
        <f t="shared" si="183"/>
        <v>1</v>
      </c>
      <c r="AY275" s="15">
        <f t="shared" si="184"/>
        <v>1</v>
      </c>
      <c r="AZ275" s="15">
        <f t="shared" si="185"/>
        <v>1</v>
      </c>
      <c r="BA275" s="15">
        <f t="shared" si="186"/>
        <v>1</v>
      </c>
      <c r="BB275" s="15">
        <f t="shared" si="187"/>
        <v>0</v>
      </c>
      <c r="BC275" s="15" t="str">
        <f t="shared" si="188"/>
        <v/>
      </c>
      <c r="BD275" s="15" t="str">
        <f t="shared" si="189"/>
        <v/>
      </c>
      <c r="BE275" s="11" t="e">
        <f t="shared" si="190"/>
        <v>#VALUE!</v>
      </c>
      <c r="BF275" s="11" t="e">
        <f t="shared" si="191"/>
        <v>#VALUE!</v>
      </c>
      <c r="BG275" s="11" t="e">
        <f t="shared" si="192"/>
        <v>#VALUE!</v>
      </c>
      <c r="BH275" t="str">
        <f t="shared" si="193"/>
        <v/>
      </c>
      <c r="BI275" t="str" cm="1">
        <f t="array" ref="BI275">_xlfn.IFS(
  L275&gt;0,"Critical Fail",
  M275&gt;0,"Important (Coaching)",
  TRUE,"Clean Pass"
)</f>
        <v>Clean Pass</v>
      </c>
      <c r="BJ275" t="str">
        <f t="shared" si="194"/>
        <v>NA</v>
      </c>
    </row>
    <row r="276" spans="1:62" x14ac:dyDescent="0.3">
      <c r="A276">
        <v>990206</v>
      </c>
      <c r="K276" t="str">
        <f t="shared" si="156"/>
        <v>Pass</v>
      </c>
      <c r="L276" s="15">
        <f t="shared" si="157"/>
        <v>0</v>
      </c>
      <c r="M276" s="15">
        <f t="shared" si="158"/>
        <v>0</v>
      </c>
      <c r="Z276" s="15">
        <f t="shared" si="159"/>
        <v>1</v>
      </c>
      <c r="AA276" s="15">
        <f t="shared" si="160"/>
        <v>1</v>
      </c>
      <c r="AB276" s="15">
        <f t="shared" si="161"/>
        <v>1</v>
      </c>
      <c r="AC276" s="15">
        <f t="shared" si="162"/>
        <v>1</v>
      </c>
      <c r="AD276" s="15">
        <f t="shared" si="163"/>
        <v>1</v>
      </c>
      <c r="AE276" s="15">
        <f t="shared" si="164"/>
        <v>1</v>
      </c>
      <c r="AF276" s="15">
        <f t="shared" si="165"/>
        <v>1</v>
      </c>
      <c r="AG276" s="15">
        <f t="shared" si="166"/>
        <v>1</v>
      </c>
      <c r="AH276" s="15">
        <f t="shared" si="167"/>
        <v>1</v>
      </c>
      <c r="AI276" s="15">
        <f t="shared" si="168"/>
        <v>1</v>
      </c>
      <c r="AJ276" s="15">
        <f t="shared" si="169"/>
        <v>1</v>
      </c>
      <c r="AK276" s="15">
        <f t="shared" si="170"/>
        <v>1</v>
      </c>
      <c r="AL276" s="15">
        <f t="shared" si="171"/>
        <v>1</v>
      </c>
      <c r="AM276" s="15">
        <f t="shared" si="172"/>
        <v>1</v>
      </c>
      <c r="AN276" s="15">
        <f t="shared" si="173"/>
        <v>1</v>
      </c>
      <c r="AO276" s="15">
        <f t="shared" si="174"/>
        <v>1</v>
      </c>
      <c r="AP276" s="15">
        <f t="shared" si="175"/>
        <v>1</v>
      </c>
      <c r="AQ276" s="15">
        <f t="shared" si="176"/>
        <v>1</v>
      </c>
      <c r="AR276" s="15">
        <f t="shared" si="177"/>
        <v>1</v>
      </c>
      <c r="AS276" s="15">
        <f t="shared" si="178"/>
        <v>1</v>
      </c>
      <c r="AT276" s="15">
        <f t="shared" si="179"/>
        <v>1</v>
      </c>
      <c r="AU276" s="15">
        <f t="shared" si="180"/>
        <v>1</v>
      </c>
      <c r="AV276" s="15">
        <f t="shared" si="181"/>
        <v>1</v>
      </c>
      <c r="AW276" s="15">
        <f t="shared" si="182"/>
        <v>1</v>
      </c>
      <c r="AX276" s="15">
        <f t="shared" si="183"/>
        <v>1</v>
      </c>
      <c r="AY276" s="15">
        <f t="shared" si="184"/>
        <v>1</v>
      </c>
      <c r="AZ276" s="15">
        <f t="shared" si="185"/>
        <v>1</v>
      </c>
      <c r="BA276" s="15">
        <f t="shared" si="186"/>
        <v>1</v>
      </c>
      <c r="BB276" s="15">
        <f t="shared" si="187"/>
        <v>0</v>
      </c>
      <c r="BC276" s="15" t="str">
        <f t="shared" si="188"/>
        <v/>
      </c>
      <c r="BD276" s="15" t="str">
        <f t="shared" si="189"/>
        <v/>
      </c>
      <c r="BE276" s="11" t="e">
        <f t="shared" si="190"/>
        <v>#VALUE!</v>
      </c>
      <c r="BF276" s="11" t="e">
        <f t="shared" si="191"/>
        <v>#VALUE!</v>
      </c>
      <c r="BG276" s="11" t="e">
        <f t="shared" si="192"/>
        <v>#VALUE!</v>
      </c>
      <c r="BH276" t="str">
        <f t="shared" si="193"/>
        <v/>
      </c>
      <c r="BI276" t="str" cm="1">
        <f t="array" ref="BI276">_xlfn.IFS(
  L276&gt;0,"Critical Fail",
  M276&gt;0,"Important (Coaching)",
  TRUE,"Clean Pass"
)</f>
        <v>Clean Pass</v>
      </c>
      <c r="BJ276" t="str">
        <f t="shared" si="194"/>
        <v>NA</v>
      </c>
    </row>
    <row r="277" spans="1:62" x14ac:dyDescent="0.3">
      <c r="A277">
        <v>662789</v>
      </c>
      <c r="K277" t="str">
        <f t="shared" si="156"/>
        <v>Pass</v>
      </c>
      <c r="L277" s="15">
        <f t="shared" si="157"/>
        <v>0</v>
      </c>
      <c r="M277" s="15">
        <f t="shared" si="158"/>
        <v>0</v>
      </c>
      <c r="Z277" s="15">
        <f t="shared" si="159"/>
        <v>1</v>
      </c>
      <c r="AA277" s="15">
        <f t="shared" si="160"/>
        <v>1</v>
      </c>
      <c r="AB277" s="15">
        <f t="shared" si="161"/>
        <v>1</v>
      </c>
      <c r="AC277" s="15">
        <f t="shared" si="162"/>
        <v>1</v>
      </c>
      <c r="AD277" s="15">
        <f t="shared" si="163"/>
        <v>1</v>
      </c>
      <c r="AE277" s="15">
        <f t="shared" si="164"/>
        <v>1</v>
      </c>
      <c r="AF277" s="15">
        <f t="shared" si="165"/>
        <v>1</v>
      </c>
      <c r="AG277" s="15">
        <f t="shared" si="166"/>
        <v>1</v>
      </c>
      <c r="AH277" s="15">
        <f t="shared" si="167"/>
        <v>1</v>
      </c>
      <c r="AI277" s="15">
        <f t="shared" si="168"/>
        <v>1</v>
      </c>
      <c r="AJ277" s="15">
        <f t="shared" si="169"/>
        <v>1</v>
      </c>
      <c r="AK277" s="15">
        <f t="shared" si="170"/>
        <v>1</v>
      </c>
      <c r="AL277" s="15">
        <f t="shared" si="171"/>
        <v>1</v>
      </c>
      <c r="AM277" s="15">
        <f t="shared" si="172"/>
        <v>1</v>
      </c>
      <c r="AN277" s="15">
        <f t="shared" si="173"/>
        <v>1</v>
      </c>
      <c r="AO277" s="15">
        <f t="shared" si="174"/>
        <v>1</v>
      </c>
      <c r="AP277" s="15">
        <f t="shared" si="175"/>
        <v>1</v>
      </c>
      <c r="AQ277" s="15">
        <f t="shared" si="176"/>
        <v>1</v>
      </c>
      <c r="AR277" s="15">
        <f t="shared" si="177"/>
        <v>1</v>
      </c>
      <c r="AS277" s="15">
        <f t="shared" si="178"/>
        <v>1</v>
      </c>
      <c r="AT277" s="15">
        <f t="shared" si="179"/>
        <v>1</v>
      </c>
      <c r="AU277" s="15">
        <f t="shared" si="180"/>
        <v>1</v>
      </c>
      <c r="AV277" s="15">
        <f t="shared" si="181"/>
        <v>1</v>
      </c>
      <c r="AW277" s="15">
        <f t="shared" si="182"/>
        <v>1</v>
      </c>
      <c r="AX277" s="15">
        <f t="shared" si="183"/>
        <v>1</v>
      </c>
      <c r="AY277" s="15">
        <f t="shared" si="184"/>
        <v>1</v>
      </c>
      <c r="AZ277" s="15">
        <f t="shared" si="185"/>
        <v>1</v>
      </c>
      <c r="BA277" s="15">
        <f t="shared" si="186"/>
        <v>1</v>
      </c>
      <c r="BB277" s="15">
        <f t="shared" si="187"/>
        <v>0</v>
      </c>
      <c r="BC277" s="15" t="str">
        <f t="shared" si="188"/>
        <v/>
      </c>
      <c r="BD277" s="15" t="str">
        <f t="shared" si="189"/>
        <v/>
      </c>
      <c r="BE277" s="11" t="e">
        <f t="shared" si="190"/>
        <v>#VALUE!</v>
      </c>
      <c r="BF277" s="11" t="e">
        <f t="shared" si="191"/>
        <v>#VALUE!</v>
      </c>
      <c r="BG277" s="11" t="e">
        <f t="shared" si="192"/>
        <v>#VALUE!</v>
      </c>
      <c r="BH277" t="str">
        <f t="shared" si="193"/>
        <v/>
      </c>
      <c r="BI277" t="str" cm="1">
        <f t="array" ref="BI277">_xlfn.IFS(
  L277&gt;0,"Critical Fail",
  M277&gt;0,"Important (Coaching)",
  TRUE,"Clean Pass"
)</f>
        <v>Clean Pass</v>
      </c>
      <c r="BJ277" t="str">
        <f t="shared" si="194"/>
        <v>NA</v>
      </c>
    </row>
    <row r="278" spans="1:62" x14ac:dyDescent="0.3">
      <c r="A278">
        <v>649303</v>
      </c>
      <c r="K278" t="str">
        <f t="shared" si="156"/>
        <v>Pass</v>
      </c>
      <c r="L278" s="15">
        <f t="shared" si="157"/>
        <v>0</v>
      </c>
      <c r="M278" s="15">
        <f t="shared" si="158"/>
        <v>0</v>
      </c>
      <c r="Z278" s="15">
        <f t="shared" si="159"/>
        <v>1</v>
      </c>
      <c r="AA278" s="15">
        <f t="shared" si="160"/>
        <v>1</v>
      </c>
      <c r="AB278" s="15">
        <f t="shared" si="161"/>
        <v>1</v>
      </c>
      <c r="AC278" s="15">
        <f t="shared" si="162"/>
        <v>1</v>
      </c>
      <c r="AD278" s="15">
        <f t="shared" si="163"/>
        <v>1</v>
      </c>
      <c r="AE278" s="15">
        <f t="shared" si="164"/>
        <v>1</v>
      </c>
      <c r="AF278" s="15">
        <f t="shared" si="165"/>
        <v>1</v>
      </c>
      <c r="AG278" s="15">
        <f t="shared" si="166"/>
        <v>1</v>
      </c>
      <c r="AH278" s="15">
        <f t="shared" si="167"/>
        <v>1</v>
      </c>
      <c r="AI278" s="15">
        <f t="shared" si="168"/>
        <v>1</v>
      </c>
      <c r="AJ278" s="15">
        <f t="shared" si="169"/>
        <v>1</v>
      </c>
      <c r="AK278" s="15">
        <f t="shared" si="170"/>
        <v>1</v>
      </c>
      <c r="AL278" s="15">
        <f t="shared" si="171"/>
        <v>1</v>
      </c>
      <c r="AM278" s="15">
        <f t="shared" si="172"/>
        <v>1</v>
      </c>
      <c r="AN278" s="15">
        <f t="shared" si="173"/>
        <v>1</v>
      </c>
      <c r="AO278" s="15">
        <f t="shared" si="174"/>
        <v>1</v>
      </c>
      <c r="AP278" s="15">
        <f t="shared" si="175"/>
        <v>1</v>
      </c>
      <c r="AQ278" s="15">
        <f t="shared" si="176"/>
        <v>1</v>
      </c>
      <c r="AR278" s="15">
        <f t="shared" si="177"/>
        <v>1</v>
      </c>
      <c r="AS278" s="15">
        <f t="shared" si="178"/>
        <v>1</v>
      </c>
      <c r="AT278" s="15">
        <f t="shared" si="179"/>
        <v>1</v>
      </c>
      <c r="AU278" s="15">
        <f t="shared" si="180"/>
        <v>1</v>
      </c>
      <c r="AV278" s="15">
        <f t="shared" si="181"/>
        <v>1</v>
      </c>
      <c r="AW278" s="15">
        <f t="shared" si="182"/>
        <v>1</v>
      </c>
      <c r="AX278" s="15">
        <f t="shared" si="183"/>
        <v>1</v>
      </c>
      <c r="AY278" s="15">
        <f t="shared" si="184"/>
        <v>1</v>
      </c>
      <c r="AZ278" s="15">
        <f t="shared" si="185"/>
        <v>1</v>
      </c>
      <c r="BA278" s="15">
        <f t="shared" si="186"/>
        <v>1</v>
      </c>
      <c r="BB278" s="15">
        <f t="shared" si="187"/>
        <v>0</v>
      </c>
      <c r="BC278" s="15" t="str">
        <f t="shared" si="188"/>
        <v/>
      </c>
      <c r="BD278" s="15" t="str">
        <f t="shared" si="189"/>
        <v/>
      </c>
      <c r="BE278" s="11" t="e">
        <f t="shared" si="190"/>
        <v>#VALUE!</v>
      </c>
      <c r="BF278" s="11" t="e">
        <f t="shared" si="191"/>
        <v>#VALUE!</v>
      </c>
      <c r="BG278" s="11" t="e">
        <f t="shared" si="192"/>
        <v>#VALUE!</v>
      </c>
      <c r="BH278" t="str">
        <f t="shared" si="193"/>
        <v/>
      </c>
      <c r="BI278" t="str" cm="1">
        <f t="array" ref="BI278">_xlfn.IFS(
  L278&gt;0,"Critical Fail",
  M278&gt;0,"Important (Coaching)",
  TRUE,"Clean Pass"
)</f>
        <v>Clean Pass</v>
      </c>
      <c r="BJ278" t="str">
        <f t="shared" si="194"/>
        <v>NA</v>
      </c>
    </row>
    <row r="279" spans="1:62" x14ac:dyDescent="0.3">
      <c r="A279">
        <v>529760</v>
      </c>
      <c r="K279" t="str">
        <f t="shared" si="156"/>
        <v>Pass</v>
      </c>
      <c r="L279" s="15">
        <f t="shared" si="157"/>
        <v>0</v>
      </c>
      <c r="M279" s="15">
        <f t="shared" si="158"/>
        <v>0</v>
      </c>
      <c r="Z279" s="15">
        <f t="shared" si="159"/>
        <v>1</v>
      </c>
      <c r="AA279" s="15">
        <f t="shared" si="160"/>
        <v>1</v>
      </c>
      <c r="AB279" s="15">
        <f t="shared" si="161"/>
        <v>1</v>
      </c>
      <c r="AC279" s="15">
        <f t="shared" si="162"/>
        <v>1</v>
      </c>
      <c r="AD279" s="15">
        <f t="shared" si="163"/>
        <v>1</v>
      </c>
      <c r="AE279" s="15">
        <f t="shared" si="164"/>
        <v>1</v>
      </c>
      <c r="AF279" s="15">
        <f t="shared" si="165"/>
        <v>1</v>
      </c>
      <c r="AG279" s="15">
        <f t="shared" si="166"/>
        <v>1</v>
      </c>
      <c r="AH279" s="15">
        <f t="shared" si="167"/>
        <v>1</v>
      </c>
      <c r="AI279" s="15">
        <f t="shared" si="168"/>
        <v>1</v>
      </c>
      <c r="AJ279" s="15">
        <f t="shared" si="169"/>
        <v>1</v>
      </c>
      <c r="AK279" s="15">
        <f t="shared" si="170"/>
        <v>1</v>
      </c>
      <c r="AL279" s="15">
        <f t="shared" si="171"/>
        <v>1</v>
      </c>
      <c r="AM279" s="15">
        <f t="shared" si="172"/>
        <v>1</v>
      </c>
      <c r="AN279" s="15">
        <f t="shared" si="173"/>
        <v>1</v>
      </c>
      <c r="AO279" s="15">
        <f t="shared" si="174"/>
        <v>1</v>
      </c>
      <c r="AP279" s="15">
        <f t="shared" si="175"/>
        <v>1</v>
      </c>
      <c r="AQ279" s="15">
        <f t="shared" si="176"/>
        <v>1</v>
      </c>
      <c r="AR279" s="15">
        <f t="shared" si="177"/>
        <v>1</v>
      </c>
      <c r="AS279" s="15">
        <f t="shared" si="178"/>
        <v>1</v>
      </c>
      <c r="AT279" s="15">
        <f t="shared" si="179"/>
        <v>1</v>
      </c>
      <c r="AU279" s="15">
        <f t="shared" si="180"/>
        <v>1</v>
      </c>
      <c r="AV279" s="15">
        <f t="shared" si="181"/>
        <v>1</v>
      </c>
      <c r="AW279" s="15">
        <f t="shared" si="182"/>
        <v>1</v>
      </c>
      <c r="AX279" s="15">
        <f t="shared" si="183"/>
        <v>1</v>
      </c>
      <c r="AY279" s="15">
        <f t="shared" si="184"/>
        <v>1</v>
      </c>
      <c r="AZ279" s="15">
        <f t="shared" si="185"/>
        <v>1</v>
      </c>
      <c r="BA279" s="15">
        <f t="shared" si="186"/>
        <v>1</v>
      </c>
      <c r="BB279" s="15">
        <f t="shared" si="187"/>
        <v>0</v>
      </c>
      <c r="BC279" s="15" t="str">
        <f t="shared" si="188"/>
        <v/>
      </c>
      <c r="BD279" s="15" t="str">
        <f t="shared" si="189"/>
        <v/>
      </c>
      <c r="BE279" s="11" t="e">
        <f t="shared" si="190"/>
        <v>#VALUE!</v>
      </c>
      <c r="BF279" s="11" t="e">
        <f t="shared" si="191"/>
        <v>#VALUE!</v>
      </c>
      <c r="BG279" s="11" t="e">
        <f t="shared" si="192"/>
        <v>#VALUE!</v>
      </c>
      <c r="BH279" t="str">
        <f t="shared" si="193"/>
        <v/>
      </c>
      <c r="BI279" t="str" cm="1">
        <f t="array" ref="BI279">_xlfn.IFS(
  L279&gt;0,"Critical Fail",
  M279&gt;0,"Important (Coaching)",
  TRUE,"Clean Pass"
)</f>
        <v>Clean Pass</v>
      </c>
      <c r="BJ279" t="str">
        <f t="shared" si="194"/>
        <v>NA</v>
      </c>
    </row>
    <row r="280" spans="1:62" x14ac:dyDescent="0.3">
      <c r="A280">
        <v>977844</v>
      </c>
      <c r="K280" t="str">
        <f t="shared" si="156"/>
        <v>Pass</v>
      </c>
      <c r="L280" s="15">
        <f t="shared" si="157"/>
        <v>0</v>
      </c>
      <c r="M280" s="15">
        <f t="shared" si="158"/>
        <v>0</v>
      </c>
      <c r="Z280" s="15">
        <f t="shared" si="159"/>
        <v>1</v>
      </c>
      <c r="AA280" s="15">
        <f t="shared" si="160"/>
        <v>1</v>
      </c>
      <c r="AB280" s="15">
        <f t="shared" si="161"/>
        <v>1</v>
      </c>
      <c r="AC280" s="15">
        <f t="shared" si="162"/>
        <v>1</v>
      </c>
      <c r="AD280" s="15">
        <f t="shared" si="163"/>
        <v>1</v>
      </c>
      <c r="AE280" s="15">
        <f t="shared" si="164"/>
        <v>1</v>
      </c>
      <c r="AF280" s="15">
        <f t="shared" si="165"/>
        <v>1</v>
      </c>
      <c r="AG280" s="15">
        <f t="shared" si="166"/>
        <v>1</v>
      </c>
      <c r="AH280" s="15">
        <f t="shared" si="167"/>
        <v>1</v>
      </c>
      <c r="AI280" s="15">
        <f t="shared" si="168"/>
        <v>1</v>
      </c>
      <c r="AJ280" s="15">
        <f t="shared" si="169"/>
        <v>1</v>
      </c>
      <c r="AK280" s="15">
        <f t="shared" si="170"/>
        <v>1</v>
      </c>
      <c r="AL280" s="15">
        <f t="shared" si="171"/>
        <v>1</v>
      </c>
      <c r="AM280" s="15">
        <f t="shared" si="172"/>
        <v>1</v>
      </c>
      <c r="AN280" s="15">
        <f t="shared" si="173"/>
        <v>1</v>
      </c>
      <c r="AO280" s="15">
        <f t="shared" si="174"/>
        <v>1</v>
      </c>
      <c r="AP280" s="15">
        <f t="shared" si="175"/>
        <v>1</v>
      </c>
      <c r="AQ280" s="15">
        <f t="shared" si="176"/>
        <v>1</v>
      </c>
      <c r="AR280" s="15">
        <f t="shared" si="177"/>
        <v>1</v>
      </c>
      <c r="AS280" s="15">
        <f t="shared" si="178"/>
        <v>1</v>
      </c>
      <c r="AT280" s="15">
        <f t="shared" si="179"/>
        <v>1</v>
      </c>
      <c r="AU280" s="15">
        <f t="shared" si="180"/>
        <v>1</v>
      </c>
      <c r="AV280" s="15">
        <f t="shared" si="181"/>
        <v>1</v>
      </c>
      <c r="AW280" s="15">
        <f t="shared" si="182"/>
        <v>1</v>
      </c>
      <c r="AX280" s="15">
        <f t="shared" si="183"/>
        <v>1</v>
      </c>
      <c r="AY280" s="15">
        <f t="shared" si="184"/>
        <v>1</v>
      </c>
      <c r="AZ280" s="15">
        <f t="shared" si="185"/>
        <v>1</v>
      </c>
      <c r="BA280" s="15">
        <f t="shared" si="186"/>
        <v>1</v>
      </c>
      <c r="BB280" s="15">
        <f t="shared" si="187"/>
        <v>0</v>
      </c>
      <c r="BC280" s="15" t="str">
        <f t="shared" si="188"/>
        <v/>
      </c>
      <c r="BD280" s="15" t="str">
        <f t="shared" si="189"/>
        <v/>
      </c>
      <c r="BE280" s="11" t="e">
        <f t="shared" si="190"/>
        <v>#VALUE!</v>
      </c>
      <c r="BF280" s="11" t="e">
        <f t="shared" si="191"/>
        <v>#VALUE!</v>
      </c>
      <c r="BG280" s="11" t="e">
        <f t="shared" si="192"/>
        <v>#VALUE!</v>
      </c>
      <c r="BH280" t="str">
        <f t="shared" si="193"/>
        <v/>
      </c>
      <c r="BI280" t="str" cm="1">
        <f t="array" ref="BI280">_xlfn.IFS(
  L280&gt;0,"Critical Fail",
  M280&gt;0,"Important (Coaching)",
  TRUE,"Clean Pass"
)</f>
        <v>Clean Pass</v>
      </c>
      <c r="BJ280" t="str">
        <f t="shared" si="194"/>
        <v>NA</v>
      </c>
    </row>
    <row r="281" spans="1:62" x14ac:dyDescent="0.3">
      <c r="A281">
        <v>193932</v>
      </c>
      <c r="K281" t="str">
        <f t="shared" si="156"/>
        <v>Pass</v>
      </c>
      <c r="L281" s="15">
        <f t="shared" si="157"/>
        <v>0</v>
      </c>
      <c r="M281" s="15">
        <f t="shared" si="158"/>
        <v>0</v>
      </c>
      <c r="Z281" s="15">
        <f t="shared" si="159"/>
        <v>1</v>
      </c>
      <c r="AA281" s="15">
        <f t="shared" si="160"/>
        <v>1</v>
      </c>
      <c r="AB281" s="15">
        <f t="shared" si="161"/>
        <v>1</v>
      </c>
      <c r="AC281" s="15">
        <f t="shared" si="162"/>
        <v>1</v>
      </c>
      <c r="AD281" s="15">
        <f t="shared" si="163"/>
        <v>1</v>
      </c>
      <c r="AE281" s="15">
        <f t="shared" si="164"/>
        <v>1</v>
      </c>
      <c r="AF281" s="15">
        <f t="shared" si="165"/>
        <v>1</v>
      </c>
      <c r="AG281" s="15">
        <f t="shared" si="166"/>
        <v>1</v>
      </c>
      <c r="AH281" s="15">
        <f t="shared" si="167"/>
        <v>1</v>
      </c>
      <c r="AI281" s="15">
        <f t="shared" si="168"/>
        <v>1</v>
      </c>
      <c r="AJ281" s="15">
        <f t="shared" si="169"/>
        <v>1</v>
      </c>
      <c r="AK281" s="15">
        <f t="shared" si="170"/>
        <v>1</v>
      </c>
      <c r="AL281" s="15">
        <f t="shared" si="171"/>
        <v>1</v>
      </c>
      <c r="AM281" s="15">
        <f t="shared" si="172"/>
        <v>1</v>
      </c>
      <c r="AN281" s="15">
        <f t="shared" si="173"/>
        <v>1</v>
      </c>
      <c r="AO281" s="15">
        <f t="shared" si="174"/>
        <v>1</v>
      </c>
      <c r="AP281" s="15">
        <f t="shared" si="175"/>
        <v>1</v>
      </c>
      <c r="AQ281" s="15">
        <f t="shared" si="176"/>
        <v>1</v>
      </c>
      <c r="AR281" s="15">
        <f t="shared" si="177"/>
        <v>1</v>
      </c>
      <c r="AS281" s="15">
        <f t="shared" si="178"/>
        <v>1</v>
      </c>
      <c r="AT281" s="15">
        <f t="shared" si="179"/>
        <v>1</v>
      </c>
      <c r="AU281" s="15">
        <f t="shared" si="180"/>
        <v>1</v>
      </c>
      <c r="AV281" s="15">
        <f t="shared" si="181"/>
        <v>1</v>
      </c>
      <c r="AW281" s="15">
        <f t="shared" si="182"/>
        <v>1</v>
      </c>
      <c r="AX281" s="15">
        <f t="shared" si="183"/>
        <v>1</v>
      </c>
      <c r="AY281" s="15">
        <f t="shared" si="184"/>
        <v>1</v>
      </c>
      <c r="AZ281" s="15">
        <f t="shared" si="185"/>
        <v>1</v>
      </c>
      <c r="BA281" s="15">
        <f t="shared" si="186"/>
        <v>1</v>
      </c>
      <c r="BB281" s="15">
        <f t="shared" si="187"/>
        <v>0</v>
      </c>
      <c r="BC281" s="15" t="str">
        <f t="shared" si="188"/>
        <v/>
      </c>
      <c r="BD281" s="15" t="str">
        <f t="shared" si="189"/>
        <v/>
      </c>
      <c r="BE281" s="11" t="e">
        <f t="shared" si="190"/>
        <v>#VALUE!</v>
      </c>
      <c r="BF281" s="11" t="e">
        <f t="shared" si="191"/>
        <v>#VALUE!</v>
      </c>
      <c r="BG281" s="11" t="e">
        <f t="shared" si="192"/>
        <v>#VALUE!</v>
      </c>
      <c r="BH281" t="str">
        <f t="shared" si="193"/>
        <v/>
      </c>
      <c r="BI281" t="str" cm="1">
        <f t="array" ref="BI281">_xlfn.IFS(
  L281&gt;0,"Critical Fail",
  M281&gt;0,"Important (Coaching)",
  TRUE,"Clean Pass"
)</f>
        <v>Clean Pass</v>
      </c>
      <c r="BJ281" t="str">
        <f t="shared" si="194"/>
        <v>NA</v>
      </c>
    </row>
    <row r="282" spans="1:62" x14ac:dyDescent="0.3">
      <c r="A282">
        <v>421704</v>
      </c>
      <c r="K282" t="str">
        <f t="shared" si="156"/>
        <v>Pass</v>
      </c>
      <c r="L282" s="15">
        <f t="shared" ref="L282:L345" si="195">COUNTA(N282,P282,R282)</f>
        <v>0</v>
      </c>
      <c r="M282" s="15">
        <f t="shared" ref="M282:M345" si="196">COUNTA(T282,V282,X282)</f>
        <v>0</v>
      </c>
      <c r="Z282" s="15">
        <f t="shared" ref="Z282:Z345" si="197">IF(AND(G282="DV",ISNUMBER(SEARCH("C1",N282&amp;P282&amp;R282&amp;T282&amp;V282&amp;X282))),0,1)</f>
        <v>1</v>
      </c>
      <c r="AA282" s="15">
        <f t="shared" ref="AA282:AA345" si="198">IF(AND(G282="DV",ISNUMBER(SEARCH("C2",N282&amp;P282&amp;R282&amp;T282&amp;V282&amp;X282))),0,1)</f>
        <v>1</v>
      </c>
      <c r="AB282" s="15">
        <f t="shared" ref="AB282:AB345" si="199">IF(AND(G282="DV",ISNUMBER(SEARCH("C3",N282&amp;P282&amp;R282&amp;T282&amp;V282&amp;X282))),0,1)</f>
        <v>1</v>
      </c>
      <c r="AC282" s="15">
        <f t="shared" ref="AC282:AC345" si="200">IF(AND(G282="DV",ISNUMBER(SEARCH("C4",N282&amp;P282&amp;R282&amp;T282&amp;V282&amp;X282))),0,1)</f>
        <v>1</v>
      </c>
      <c r="AD282" s="15">
        <f t="shared" ref="AD282:AD345" si="201">IF(AND(G282="DV",ISNUMBER(SEARCH("C5",N282&amp;P282&amp;R282&amp;T282&amp;V282&amp;X282))),0,1)</f>
        <v>1</v>
      </c>
      <c r="AE282" s="15">
        <f t="shared" ref="AE282:AE345" si="202">IF(AND(G282="DV",ISNUMBER(SEARCH("C6",N282&amp;P282&amp;R282&amp;T282&amp;V282&amp;X282))),0,1)</f>
        <v>1</v>
      </c>
      <c r="AF282" s="15">
        <f t="shared" ref="AF282:AF345" si="203">IF(AND(G282="DV",ISNUMBER(SEARCH("C7",N282&amp;P282&amp;R282&amp;T282&amp;V282&amp;X282))),0,1)</f>
        <v>1</v>
      </c>
      <c r="AG282" s="15">
        <f t="shared" ref="AG282:AG345" si="204">IF(AND(G282="DV",ISNUMBER(SEARCH("C8",N282&amp;P282&amp;R282&amp;T282&amp;V282&amp;X282))),0,1)</f>
        <v>1</v>
      </c>
      <c r="AH282" s="15">
        <f t="shared" ref="AH282:AH345" si="205">IF(AND(G282="DV",ISNUMBER(SEARCH("C9",N282&amp;P282&amp;R282&amp;T282&amp;V282&amp;X282))),0,1)</f>
        <v>1</v>
      </c>
      <c r="AI282" s="15">
        <f t="shared" ref="AI282:AI345" si="206">IF(AND(G282="DV",ISNUMBER(SEARCH("I1",N282&amp;P282&amp;R282&amp;T282&amp;V282&amp;X282))),0,1)</f>
        <v>1</v>
      </c>
      <c r="AJ282" s="15">
        <f t="shared" ref="AJ282:AJ345" si="207">IF(AND(G282="DV",ISNUMBER(SEARCH("I2",N282&amp;P282&amp;R282&amp;T282&amp;V282&amp;X282))),0,1)</f>
        <v>1</v>
      </c>
      <c r="AK282" s="15">
        <f t="shared" ref="AK282:AK345" si="208">IF(AND(G282="DV",ISNUMBER(SEARCH("I3",N282&amp;P282&amp;R282&amp;T282&amp;V282&amp;X282))),0,1)</f>
        <v>1</v>
      </c>
      <c r="AL282" s="15">
        <f t="shared" ref="AL282:AL345" si="209">IF(AND(G282="AL",ISNUMBER(SEARCH("C1",N282&amp;P282&amp;R282&amp;T282&amp;V282&amp;X282))),0,1)</f>
        <v>1</v>
      </c>
      <c r="AM282" s="15">
        <f t="shared" ref="AM282:AM345" si="210">IF(AND(G282="AL",ISNUMBER(SEARCH("C2",N282&amp;P282&amp;R282&amp;T282&amp;V282&amp;X282))),0,1)</f>
        <v>1</v>
      </c>
      <c r="AN282" s="15">
        <f t="shared" ref="AN282:AN345" si="211">IF(AND(G282="AL",ISNUMBER(SEARCH("C3",N282&amp;P282&amp;R282&amp;T282&amp;V282&amp;X282))),0,1)</f>
        <v>1</v>
      </c>
      <c r="AO282" s="15">
        <f t="shared" ref="AO282:AO345" si="212">IF(AND(G282="AL",ISNUMBER(SEARCH("C4",N282&amp;P282&amp;R282&amp;T282&amp;V282&amp;X282))),0,1)</f>
        <v>1</v>
      </c>
      <c r="AP282" s="15">
        <f t="shared" ref="AP282:AP345" si="213">IF(AND(G282="AL",ISNUMBER(SEARCH("C5",N282&amp;P282&amp;R282&amp;T282&amp;V282&amp;X282))),0,1)</f>
        <v>1</v>
      </c>
      <c r="AQ282" s="15">
        <f t="shared" ref="AQ282:AQ345" si="214">IF(AND(G282="AL",ISNUMBER(SEARCH("C6",N282&amp;P282&amp;R282&amp;T282&amp;V282&amp;X282))),0,1)</f>
        <v>1</v>
      </c>
      <c r="AR282" s="15">
        <f t="shared" ref="AR282:AR345" si="215">IF(AND(G282="AL",ISNUMBER(SEARCH("C7",N282&amp;P282&amp;R282&amp;T282&amp;V282&amp;X282))),0,1)</f>
        <v>1</v>
      </c>
      <c r="AS282" s="15">
        <f t="shared" ref="AS282:AS345" si="216">IF(AND(G282="AL",ISNUMBER(SEARCH("C8",N282&amp;P282&amp;R282&amp;T282&amp;V282&amp;X282))),0,1)</f>
        <v>1</v>
      </c>
      <c r="AT282" s="15">
        <f t="shared" ref="AT282:AT345" si="217">IF(AND(G282="AL",ISNUMBER(SEARCH("C9",N282&amp;P282&amp;R282&amp;T282&amp;V282&amp;X282))),0,1)</f>
        <v>1</v>
      </c>
      <c r="AU282" s="15">
        <f t="shared" ref="AU282:AU345" si="218">IF(AND(G282="AL",ISNUMBER(SEARCH("C10",N282&amp;P282&amp;R282&amp;T282&amp;V282&amp;X282))),0,1)</f>
        <v>1</v>
      </c>
      <c r="AV282" s="15">
        <f t="shared" ref="AV282:AV345" si="219">IF(AND(G282="AL",ISNUMBER(SEARCH("C11",N282&amp;P282&amp;R282&amp;T282&amp;V282&amp;X282))),0,1)</f>
        <v>1</v>
      </c>
      <c r="AW282" s="15">
        <f t="shared" ref="AW282:AW345" si="220">IF(AND(G282="AL",ISNUMBER(SEARCH("C12",N282&amp;P282&amp;R282&amp;T282&amp;V282&amp;X282))),0,1)</f>
        <v>1</v>
      </c>
      <c r="AX282" s="15">
        <f t="shared" ref="AX282:AX345" si="221">IF(AND(G282="AL",ISNUMBER(SEARCH("C13",N282&amp;P282&amp;R282&amp;T282&amp;V282&amp;X282))),0,1)</f>
        <v>1</v>
      </c>
      <c r="AY282" s="15">
        <f t="shared" ref="AY282:AY345" si="222">IF(AND(G282="AL",ISNUMBER(SEARCH("I1",N282&amp;P282&amp;R282&amp;T282&amp;V282&amp;X282))),0,1)</f>
        <v>1</v>
      </c>
      <c r="AZ282" s="15">
        <f t="shared" ref="AZ282:AZ345" si="223">IF(AND(G282="AL",ISNUMBER(SEARCH("I2",N282&amp;P282&amp;R282&amp;T282&amp;V282&amp;X282))),0,1)</f>
        <v>1</v>
      </c>
      <c r="BA282" s="15">
        <f t="shared" ref="BA282:BA345" si="224">IF(AND(G282="AL",ISNUMBER(SEARCH("I3",N282&amp;P282&amp;R282&amp;T282&amp;V282&amp;X282))),0,1)</f>
        <v>1</v>
      </c>
      <c r="BB282" s="15">
        <f t="shared" si="187"/>
        <v>0</v>
      </c>
      <c r="BC282" s="15" t="str">
        <f t="shared" si="188"/>
        <v/>
      </c>
      <c r="BD282" s="15" t="str">
        <f t="shared" si="189"/>
        <v/>
      </c>
      <c r="BE282" s="11" t="e">
        <f t="shared" ref="BE282:BE345" si="225">IF(BC282=0,1,(BC282-L282)/BC282)</f>
        <v>#VALUE!</v>
      </c>
      <c r="BF282" s="11" t="e">
        <f t="shared" ref="BF282:BF345" si="226">IF(BD282=0,1,(BD282-M282)/BD282)</f>
        <v>#VALUE!</v>
      </c>
      <c r="BG282" s="11" t="e">
        <f t="shared" ref="BG282:BG345" si="227">(BE282*0.7)+(BF282*0.3)</f>
        <v>#VALUE!</v>
      </c>
      <c r="BH282" t="str">
        <f t="shared" ref="BH282:BH345" si="228">_xlfn.TEXTJOIN(",",TRUE,N282,P282,R282)</f>
        <v/>
      </c>
      <c r="BI282" t="str" cm="1">
        <f t="array" ref="BI282">_xlfn.IFS(
  L282&gt;0,"Critical Fail",
  M282&gt;0,"Important (Coaching)",
  TRUE,"Clean Pass"
)</f>
        <v>Clean Pass</v>
      </c>
      <c r="BJ282" t="str">
        <f t="shared" ref="BJ282:BJ345" si="229">IF(COUNTA(N282:Y282)=0,"NA",_xlfn.TEXTJOIN(",",TRUE,N282:Y282))</f>
        <v>NA</v>
      </c>
    </row>
    <row r="283" spans="1:62" x14ac:dyDescent="0.3">
      <c r="A283">
        <v>541975</v>
      </c>
      <c r="K283" t="str">
        <f t="shared" si="156"/>
        <v>Pass</v>
      </c>
      <c r="L283" s="15">
        <f t="shared" si="195"/>
        <v>0</v>
      </c>
      <c r="M283" s="15">
        <f t="shared" si="196"/>
        <v>0</v>
      </c>
      <c r="Z283" s="15">
        <f t="shared" si="197"/>
        <v>1</v>
      </c>
      <c r="AA283" s="15">
        <f t="shared" si="198"/>
        <v>1</v>
      </c>
      <c r="AB283" s="15">
        <f t="shared" si="199"/>
        <v>1</v>
      </c>
      <c r="AC283" s="15">
        <f t="shared" si="200"/>
        <v>1</v>
      </c>
      <c r="AD283" s="15">
        <f t="shared" si="201"/>
        <v>1</v>
      </c>
      <c r="AE283" s="15">
        <f t="shared" si="202"/>
        <v>1</v>
      </c>
      <c r="AF283" s="15">
        <f t="shared" si="203"/>
        <v>1</v>
      </c>
      <c r="AG283" s="15">
        <f t="shared" si="204"/>
        <v>1</v>
      </c>
      <c r="AH283" s="15">
        <f t="shared" si="205"/>
        <v>1</v>
      </c>
      <c r="AI283" s="15">
        <f t="shared" si="206"/>
        <v>1</v>
      </c>
      <c r="AJ283" s="15">
        <f t="shared" si="207"/>
        <v>1</v>
      </c>
      <c r="AK283" s="15">
        <f t="shared" si="208"/>
        <v>1</v>
      </c>
      <c r="AL283" s="15">
        <f t="shared" si="209"/>
        <v>1</v>
      </c>
      <c r="AM283" s="15">
        <f t="shared" si="210"/>
        <v>1</v>
      </c>
      <c r="AN283" s="15">
        <f t="shared" si="211"/>
        <v>1</v>
      </c>
      <c r="AO283" s="15">
        <f t="shared" si="212"/>
        <v>1</v>
      </c>
      <c r="AP283" s="15">
        <f t="shared" si="213"/>
        <v>1</v>
      </c>
      <c r="AQ283" s="15">
        <f t="shared" si="214"/>
        <v>1</v>
      </c>
      <c r="AR283" s="15">
        <f t="shared" si="215"/>
        <v>1</v>
      </c>
      <c r="AS283" s="15">
        <f t="shared" si="216"/>
        <v>1</v>
      </c>
      <c r="AT283" s="15">
        <f t="shared" si="217"/>
        <v>1</v>
      </c>
      <c r="AU283" s="15">
        <f t="shared" si="218"/>
        <v>1</v>
      </c>
      <c r="AV283" s="15">
        <f t="shared" si="219"/>
        <v>1</v>
      </c>
      <c r="AW283" s="15">
        <f t="shared" si="220"/>
        <v>1</v>
      </c>
      <c r="AX283" s="15">
        <f t="shared" si="221"/>
        <v>1</v>
      </c>
      <c r="AY283" s="15">
        <f t="shared" si="222"/>
        <v>1</v>
      </c>
      <c r="AZ283" s="15">
        <f t="shared" si="223"/>
        <v>1</v>
      </c>
      <c r="BA283" s="15">
        <f t="shared" si="224"/>
        <v>1</v>
      </c>
      <c r="BB283" s="15">
        <f t="shared" si="187"/>
        <v>0</v>
      </c>
      <c r="BC283" s="15" t="str">
        <f t="shared" si="188"/>
        <v/>
      </c>
      <c r="BD283" s="15" t="str">
        <f t="shared" si="189"/>
        <v/>
      </c>
      <c r="BE283" s="11" t="e">
        <f t="shared" si="225"/>
        <v>#VALUE!</v>
      </c>
      <c r="BF283" s="11" t="e">
        <f t="shared" si="226"/>
        <v>#VALUE!</v>
      </c>
      <c r="BG283" s="11" t="e">
        <f t="shared" si="227"/>
        <v>#VALUE!</v>
      </c>
      <c r="BH283" t="str">
        <f t="shared" si="228"/>
        <v/>
      </c>
      <c r="BI283" t="str" cm="1">
        <f t="array" ref="BI283">_xlfn.IFS(
  L283&gt;0,"Critical Fail",
  M283&gt;0,"Important (Coaching)",
  TRUE,"Clean Pass"
)</f>
        <v>Clean Pass</v>
      </c>
      <c r="BJ283" t="str">
        <f t="shared" si="229"/>
        <v>NA</v>
      </c>
    </row>
    <row r="284" spans="1:62" x14ac:dyDescent="0.3">
      <c r="A284">
        <v>157434</v>
      </c>
      <c r="K284" t="str">
        <f t="shared" si="156"/>
        <v>Pass</v>
      </c>
      <c r="L284" s="15">
        <f t="shared" si="195"/>
        <v>0</v>
      </c>
      <c r="M284" s="15">
        <f t="shared" si="196"/>
        <v>0</v>
      </c>
      <c r="Z284" s="15">
        <f t="shared" si="197"/>
        <v>1</v>
      </c>
      <c r="AA284" s="15">
        <f t="shared" si="198"/>
        <v>1</v>
      </c>
      <c r="AB284" s="15">
        <f t="shared" si="199"/>
        <v>1</v>
      </c>
      <c r="AC284" s="15">
        <f t="shared" si="200"/>
        <v>1</v>
      </c>
      <c r="AD284" s="15">
        <f t="shared" si="201"/>
        <v>1</v>
      </c>
      <c r="AE284" s="15">
        <f t="shared" si="202"/>
        <v>1</v>
      </c>
      <c r="AF284" s="15">
        <f t="shared" si="203"/>
        <v>1</v>
      </c>
      <c r="AG284" s="15">
        <f t="shared" si="204"/>
        <v>1</v>
      </c>
      <c r="AH284" s="15">
        <f t="shared" si="205"/>
        <v>1</v>
      </c>
      <c r="AI284" s="15">
        <f t="shared" si="206"/>
        <v>1</v>
      </c>
      <c r="AJ284" s="15">
        <f t="shared" si="207"/>
        <v>1</v>
      </c>
      <c r="AK284" s="15">
        <f t="shared" si="208"/>
        <v>1</v>
      </c>
      <c r="AL284" s="15">
        <f t="shared" si="209"/>
        <v>1</v>
      </c>
      <c r="AM284" s="15">
        <f t="shared" si="210"/>
        <v>1</v>
      </c>
      <c r="AN284" s="15">
        <f t="shared" si="211"/>
        <v>1</v>
      </c>
      <c r="AO284" s="15">
        <f t="shared" si="212"/>
        <v>1</v>
      </c>
      <c r="AP284" s="15">
        <f t="shared" si="213"/>
        <v>1</v>
      </c>
      <c r="AQ284" s="15">
        <f t="shared" si="214"/>
        <v>1</v>
      </c>
      <c r="AR284" s="15">
        <f t="shared" si="215"/>
        <v>1</v>
      </c>
      <c r="AS284" s="15">
        <f t="shared" si="216"/>
        <v>1</v>
      </c>
      <c r="AT284" s="15">
        <f t="shared" si="217"/>
        <v>1</v>
      </c>
      <c r="AU284" s="15">
        <f t="shared" si="218"/>
        <v>1</v>
      </c>
      <c r="AV284" s="15">
        <f t="shared" si="219"/>
        <v>1</v>
      </c>
      <c r="AW284" s="15">
        <f t="shared" si="220"/>
        <v>1</v>
      </c>
      <c r="AX284" s="15">
        <f t="shared" si="221"/>
        <v>1</v>
      </c>
      <c r="AY284" s="15">
        <f t="shared" si="222"/>
        <v>1</v>
      </c>
      <c r="AZ284" s="15">
        <f t="shared" si="223"/>
        <v>1</v>
      </c>
      <c r="BA284" s="15">
        <f t="shared" si="224"/>
        <v>1</v>
      </c>
      <c r="BB284" s="15">
        <f t="shared" si="187"/>
        <v>0</v>
      </c>
      <c r="BC284" s="15" t="str">
        <f t="shared" si="188"/>
        <v/>
      </c>
      <c r="BD284" s="15" t="str">
        <f t="shared" si="189"/>
        <v/>
      </c>
      <c r="BE284" s="11" t="e">
        <f t="shared" si="225"/>
        <v>#VALUE!</v>
      </c>
      <c r="BF284" s="11" t="e">
        <f t="shared" si="226"/>
        <v>#VALUE!</v>
      </c>
      <c r="BG284" s="11" t="e">
        <f t="shared" si="227"/>
        <v>#VALUE!</v>
      </c>
      <c r="BH284" t="str">
        <f t="shared" si="228"/>
        <v/>
      </c>
      <c r="BI284" t="str" cm="1">
        <f t="array" ref="BI284">_xlfn.IFS(
  L284&gt;0,"Critical Fail",
  M284&gt;0,"Important (Coaching)",
  TRUE,"Clean Pass"
)</f>
        <v>Clean Pass</v>
      </c>
      <c r="BJ284" t="str">
        <f t="shared" si="229"/>
        <v>NA</v>
      </c>
    </row>
    <row r="285" spans="1:62" x14ac:dyDescent="0.3">
      <c r="A285">
        <v>270220</v>
      </c>
      <c r="K285" t="str">
        <f t="shared" si="156"/>
        <v>Pass</v>
      </c>
      <c r="L285" s="15">
        <f t="shared" si="195"/>
        <v>0</v>
      </c>
      <c r="M285" s="15">
        <f t="shared" si="196"/>
        <v>0</v>
      </c>
      <c r="Z285" s="15">
        <f t="shared" si="197"/>
        <v>1</v>
      </c>
      <c r="AA285" s="15">
        <f t="shared" si="198"/>
        <v>1</v>
      </c>
      <c r="AB285" s="15">
        <f t="shared" si="199"/>
        <v>1</v>
      </c>
      <c r="AC285" s="15">
        <f t="shared" si="200"/>
        <v>1</v>
      </c>
      <c r="AD285" s="15">
        <f t="shared" si="201"/>
        <v>1</v>
      </c>
      <c r="AE285" s="15">
        <f t="shared" si="202"/>
        <v>1</v>
      </c>
      <c r="AF285" s="15">
        <f t="shared" si="203"/>
        <v>1</v>
      </c>
      <c r="AG285" s="15">
        <f t="shared" si="204"/>
        <v>1</v>
      </c>
      <c r="AH285" s="15">
        <f t="shared" si="205"/>
        <v>1</v>
      </c>
      <c r="AI285" s="15">
        <f t="shared" si="206"/>
        <v>1</v>
      </c>
      <c r="AJ285" s="15">
        <f t="shared" si="207"/>
        <v>1</v>
      </c>
      <c r="AK285" s="15">
        <f t="shared" si="208"/>
        <v>1</v>
      </c>
      <c r="AL285" s="15">
        <f t="shared" si="209"/>
        <v>1</v>
      </c>
      <c r="AM285" s="15">
        <f t="shared" si="210"/>
        <v>1</v>
      </c>
      <c r="AN285" s="15">
        <f t="shared" si="211"/>
        <v>1</v>
      </c>
      <c r="AO285" s="15">
        <f t="shared" si="212"/>
        <v>1</v>
      </c>
      <c r="AP285" s="15">
        <f t="shared" si="213"/>
        <v>1</v>
      </c>
      <c r="AQ285" s="15">
        <f t="shared" si="214"/>
        <v>1</v>
      </c>
      <c r="AR285" s="15">
        <f t="shared" si="215"/>
        <v>1</v>
      </c>
      <c r="AS285" s="15">
        <f t="shared" si="216"/>
        <v>1</v>
      </c>
      <c r="AT285" s="15">
        <f t="shared" si="217"/>
        <v>1</v>
      </c>
      <c r="AU285" s="15">
        <f t="shared" si="218"/>
        <v>1</v>
      </c>
      <c r="AV285" s="15">
        <f t="shared" si="219"/>
        <v>1</v>
      </c>
      <c r="AW285" s="15">
        <f t="shared" si="220"/>
        <v>1</v>
      </c>
      <c r="AX285" s="15">
        <f t="shared" si="221"/>
        <v>1</v>
      </c>
      <c r="AY285" s="15">
        <f t="shared" si="222"/>
        <v>1</v>
      </c>
      <c r="AZ285" s="15">
        <f t="shared" si="223"/>
        <v>1</v>
      </c>
      <c r="BA285" s="15">
        <f t="shared" si="224"/>
        <v>1</v>
      </c>
      <c r="BB285" s="15">
        <f t="shared" si="187"/>
        <v>0</v>
      </c>
      <c r="BC285" s="15" t="str">
        <f t="shared" si="188"/>
        <v/>
      </c>
      <c r="BD285" s="15" t="str">
        <f t="shared" si="189"/>
        <v/>
      </c>
      <c r="BE285" s="11" t="e">
        <f t="shared" si="225"/>
        <v>#VALUE!</v>
      </c>
      <c r="BF285" s="11" t="e">
        <f t="shared" si="226"/>
        <v>#VALUE!</v>
      </c>
      <c r="BG285" s="11" t="e">
        <f t="shared" si="227"/>
        <v>#VALUE!</v>
      </c>
      <c r="BH285" t="str">
        <f t="shared" si="228"/>
        <v/>
      </c>
      <c r="BI285" t="str" cm="1">
        <f t="array" ref="BI285">_xlfn.IFS(
  L285&gt;0,"Critical Fail",
  M285&gt;0,"Important (Coaching)",
  TRUE,"Clean Pass"
)</f>
        <v>Clean Pass</v>
      </c>
      <c r="BJ285" t="str">
        <f t="shared" si="229"/>
        <v>NA</v>
      </c>
    </row>
    <row r="286" spans="1:62" x14ac:dyDescent="0.3">
      <c r="A286">
        <v>692781</v>
      </c>
      <c r="K286" t="str">
        <f t="shared" si="156"/>
        <v>Pass</v>
      </c>
      <c r="L286" s="15">
        <f t="shared" si="195"/>
        <v>0</v>
      </c>
      <c r="M286" s="15">
        <f t="shared" si="196"/>
        <v>0</v>
      </c>
      <c r="Z286" s="15">
        <f t="shared" si="197"/>
        <v>1</v>
      </c>
      <c r="AA286" s="15">
        <f t="shared" si="198"/>
        <v>1</v>
      </c>
      <c r="AB286" s="15">
        <f t="shared" si="199"/>
        <v>1</v>
      </c>
      <c r="AC286" s="15">
        <f t="shared" si="200"/>
        <v>1</v>
      </c>
      <c r="AD286" s="15">
        <f t="shared" si="201"/>
        <v>1</v>
      </c>
      <c r="AE286" s="15">
        <f t="shared" si="202"/>
        <v>1</v>
      </c>
      <c r="AF286" s="15">
        <f t="shared" si="203"/>
        <v>1</v>
      </c>
      <c r="AG286" s="15">
        <f t="shared" si="204"/>
        <v>1</v>
      </c>
      <c r="AH286" s="15">
        <f t="shared" si="205"/>
        <v>1</v>
      </c>
      <c r="AI286" s="15">
        <f t="shared" si="206"/>
        <v>1</v>
      </c>
      <c r="AJ286" s="15">
        <f t="shared" si="207"/>
        <v>1</v>
      </c>
      <c r="AK286" s="15">
        <f t="shared" si="208"/>
        <v>1</v>
      </c>
      <c r="AL286" s="15">
        <f t="shared" si="209"/>
        <v>1</v>
      </c>
      <c r="AM286" s="15">
        <f t="shared" si="210"/>
        <v>1</v>
      </c>
      <c r="AN286" s="15">
        <f t="shared" si="211"/>
        <v>1</v>
      </c>
      <c r="AO286" s="15">
        <f t="shared" si="212"/>
        <v>1</v>
      </c>
      <c r="AP286" s="15">
        <f t="shared" si="213"/>
        <v>1</v>
      </c>
      <c r="AQ286" s="15">
        <f t="shared" si="214"/>
        <v>1</v>
      </c>
      <c r="AR286" s="15">
        <f t="shared" si="215"/>
        <v>1</v>
      </c>
      <c r="AS286" s="15">
        <f t="shared" si="216"/>
        <v>1</v>
      </c>
      <c r="AT286" s="15">
        <f t="shared" si="217"/>
        <v>1</v>
      </c>
      <c r="AU286" s="15">
        <f t="shared" si="218"/>
        <v>1</v>
      </c>
      <c r="AV286" s="15">
        <f t="shared" si="219"/>
        <v>1</v>
      </c>
      <c r="AW286" s="15">
        <f t="shared" si="220"/>
        <v>1</v>
      </c>
      <c r="AX286" s="15">
        <f t="shared" si="221"/>
        <v>1</v>
      </c>
      <c r="AY286" s="15">
        <f t="shared" si="222"/>
        <v>1</v>
      </c>
      <c r="AZ286" s="15">
        <f t="shared" si="223"/>
        <v>1</v>
      </c>
      <c r="BA286" s="15">
        <f t="shared" si="224"/>
        <v>1</v>
      </c>
      <c r="BB286" s="15">
        <f t="shared" si="187"/>
        <v>0</v>
      </c>
      <c r="BC286" s="15" t="str">
        <f t="shared" si="188"/>
        <v/>
      </c>
      <c r="BD286" s="15" t="str">
        <f t="shared" si="189"/>
        <v/>
      </c>
      <c r="BE286" s="11" t="e">
        <f t="shared" si="225"/>
        <v>#VALUE!</v>
      </c>
      <c r="BF286" s="11" t="e">
        <f t="shared" si="226"/>
        <v>#VALUE!</v>
      </c>
      <c r="BG286" s="11" t="e">
        <f t="shared" si="227"/>
        <v>#VALUE!</v>
      </c>
      <c r="BH286" t="str">
        <f t="shared" si="228"/>
        <v/>
      </c>
      <c r="BI286" t="str" cm="1">
        <f t="array" ref="BI286">_xlfn.IFS(
  L286&gt;0,"Critical Fail",
  M286&gt;0,"Important (Coaching)",
  TRUE,"Clean Pass"
)</f>
        <v>Clean Pass</v>
      </c>
      <c r="BJ286" t="str">
        <f t="shared" si="229"/>
        <v>NA</v>
      </c>
    </row>
    <row r="287" spans="1:62" x14ac:dyDescent="0.3">
      <c r="A287">
        <v>985622</v>
      </c>
      <c r="K287" t="str">
        <f t="shared" si="156"/>
        <v>Pass</v>
      </c>
      <c r="L287" s="15">
        <f t="shared" si="195"/>
        <v>0</v>
      </c>
      <c r="M287" s="15">
        <f t="shared" si="196"/>
        <v>0</v>
      </c>
      <c r="Z287" s="15">
        <f t="shared" si="197"/>
        <v>1</v>
      </c>
      <c r="AA287" s="15">
        <f t="shared" si="198"/>
        <v>1</v>
      </c>
      <c r="AB287" s="15">
        <f t="shared" si="199"/>
        <v>1</v>
      </c>
      <c r="AC287" s="15">
        <f t="shared" si="200"/>
        <v>1</v>
      </c>
      <c r="AD287" s="15">
        <f t="shared" si="201"/>
        <v>1</v>
      </c>
      <c r="AE287" s="15">
        <f t="shared" si="202"/>
        <v>1</v>
      </c>
      <c r="AF287" s="15">
        <f t="shared" si="203"/>
        <v>1</v>
      </c>
      <c r="AG287" s="15">
        <f t="shared" si="204"/>
        <v>1</v>
      </c>
      <c r="AH287" s="15">
        <f t="shared" si="205"/>
        <v>1</v>
      </c>
      <c r="AI287" s="15">
        <f t="shared" si="206"/>
        <v>1</v>
      </c>
      <c r="AJ287" s="15">
        <f t="shared" si="207"/>
        <v>1</v>
      </c>
      <c r="AK287" s="15">
        <f t="shared" si="208"/>
        <v>1</v>
      </c>
      <c r="AL287" s="15">
        <f t="shared" si="209"/>
        <v>1</v>
      </c>
      <c r="AM287" s="15">
        <f t="shared" si="210"/>
        <v>1</v>
      </c>
      <c r="AN287" s="15">
        <f t="shared" si="211"/>
        <v>1</v>
      </c>
      <c r="AO287" s="15">
        <f t="shared" si="212"/>
        <v>1</v>
      </c>
      <c r="AP287" s="15">
        <f t="shared" si="213"/>
        <v>1</v>
      </c>
      <c r="AQ287" s="15">
        <f t="shared" si="214"/>
        <v>1</v>
      </c>
      <c r="AR287" s="15">
        <f t="shared" si="215"/>
        <v>1</v>
      </c>
      <c r="AS287" s="15">
        <f t="shared" si="216"/>
        <v>1</v>
      </c>
      <c r="AT287" s="15">
        <f t="shared" si="217"/>
        <v>1</v>
      </c>
      <c r="AU287" s="15">
        <f t="shared" si="218"/>
        <v>1</v>
      </c>
      <c r="AV287" s="15">
        <f t="shared" si="219"/>
        <v>1</v>
      </c>
      <c r="AW287" s="15">
        <f t="shared" si="220"/>
        <v>1</v>
      </c>
      <c r="AX287" s="15">
        <f t="shared" si="221"/>
        <v>1</v>
      </c>
      <c r="AY287" s="15">
        <f t="shared" si="222"/>
        <v>1</v>
      </c>
      <c r="AZ287" s="15">
        <f t="shared" si="223"/>
        <v>1</v>
      </c>
      <c r="BA287" s="15">
        <f t="shared" si="224"/>
        <v>1</v>
      </c>
      <c r="BB287" s="15">
        <f t="shared" si="187"/>
        <v>0</v>
      </c>
      <c r="BC287" s="15" t="str">
        <f t="shared" si="188"/>
        <v/>
      </c>
      <c r="BD287" s="15" t="str">
        <f t="shared" si="189"/>
        <v/>
      </c>
      <c r="BE287" s="11" t="e">
        <f t="shared" si="225"/>
        <v>#VALUE!</v>
      </c>
      <c r="BF287" s="11" t="e">
        <f t="shared" si="226"/>
        <v>#VALUE!</v>
      </c>
      <c r="BG287" s="11" t="e">
        <f t="shared" si="227"/>
        <v>#VALUE!</v>
      </c>
      <c r="BH287" t="str">
        <f t="shared" si="228"/>
        <v/>
      </c>
      <c r="BI287" t="str" cm="1">
        <f t="array" ref="BI287">_xlfn.IFS(
  L287&gt;0,"Critical Fail",
  M287&gt;0,"Important (Coaching)",
  TRUE,"Clean Pass"
)</f>
        <v>Clean Pass</v>
      </c>
      <c r="BJ287" t="str">
        <f t="shared" si="229"/>
        <v>NA</v>
      </c>
    </row>
    <row r="288" spans="1:62" x14ac:dyDescent="0.3">
      <c r="A288">
        <v>557415</v>
      </c>
      <c r="K288" t="str">
        <f t="shared" si="156"/>
        <v>Pass</v>
      </c>
      <c r="L288" s="15">
        <f t="shared" si="195"/>
        <v>0</v>
      </c>
      <c r="M288" s="15">
        <f t="shared" si="196"/>
        <v>0</v>
      </c>
      <c r="Z288" s="15">
        <f t="shared" si="197"/>
        <v>1</v>
      </c>
      <c r="AA288" s="15">
        <f t="shared" si="198"/>
        <v>1</v>
      </c>
      <c r="AB288" s="15">
        <f t="shared" si="199"/>
        <v>1</v>
      </c>
      <c r="AC288" s="15">
        <f t="shared" si="200"/>
        <v>1</v>
      </c>
      <c r="AD288" s="15">
        <f t="shared" si="201"/>
        <v>1</v>
      </c>
      <c r="AE288" s="15">
        <f t="shared" si="202"/>
        <v>1</v>
      </c>
      <c r="AF288" s="15">
        <f t="shared" si="203"/>
        <v>1</v>
      </c>
      <c r="AG288" s="15">
        <f t="shared" si="204"/>
        <v>1</v>
      </c>
      <c r="AH288" s="15">
        <f t="shared" si="205"/>
        <v>1</v>
      </c>
      <c r="AI288" s="15">
        <f t="shared" si="206"/>
        <v>1</v>
      </c>
      <c r="AJ288" s="15">
        <f t="shared" si="207"/>
        <v>1</v>
      </c>
      <c r="AK288" s="15">
        <f t="shared" si="208"/>
        <v>1</v>
      </c>
      <c r="AL288" s="15">
        <f t="shared" si="209"/>
        <v>1</v>
      </c>
      <c r="AM288" s="15">
        <f t="shared" si="210"/>
        <v>1</v>
      </c>
      <c r="AN288" s="15">
        <f t="shared" si="211"/>
        <v>1</v>
      </c>
      <c r="AO288" s="15">
        <f t="shared" si="212"/>
        <v>1</v>
      </c>
      <c r="AP288" s="15">
        <f t="shared" si="213"/>
        <v>1</v>
      </c>
      <c r="AQ288" s="15">
        <f t="shared" si="214"/>
        <v>1</v>
      </c>
      <c r="AR288" s="15">
        <f t="shared" si="215"/>
        <v>1</v>
      </c>
      <c r="AS288" s="15">
        <f t="shared" si="216"/>
        <v>1</v>
      </c>
      <c r="AT288" s="15">
        <f t="shared" si="217"/>
        <v>1</v>
      </c>
      <c r="AU288" s="15">
        <f t="shared" si="218"/>
        <v>1</v>
      </c>
      <c r="AV288" s="15">
        <f t="shared" si="219"/>
        <v>1</v>
      </c>
      <c r="AW288" s="15">
        <f t="shared" si="220"/>
        <v>1</v>
      </c>
      <c r="AX288" s="15">
        <f t="shared" si="221"/>
        <v>1</v>
      </c>
      <c r="AY288" s="15">
        <f t="shared" si="222"/>
        <v>1</v>
      </c>
      <c r="AZ288" s="15">
        <f t="shared" si="223"/>
        <v>1</v>
      </c>
      <c r="BA288" s="15">
        <f t="shared" si="224"/>
        <v>1</v>
      </c>
      <c r="BB288" s="15">
        <f t="shared" si="187"/>
        <v>0</v>
      </c>
      <c r="BC288" s="15" t="str">
        <f t="shared" si="188"/>
        <v/>
      </c>
      <c r="BD288" s="15" t="str">
        <f t="shared" si="189"/>
        <v/>
      </c>
      <c r="BE288" s="11" t="e">
        <f t="shared" si="225"/>
        <v>#VALUE!</v>
      </c>
      <c r="BF288" s="11" t="e">
        <f t="shared" si="226"/>
        <v>#VALUE!</v>
      </c>
      <c r="BG288" s="11" t="e">
        <f t="shared" si="227"/>
        <v>#VALUE!</v>
      </c>
      <c r="BH288" t="str">
        <f t="shared" si="228"/>
        <v/>
      </c>
      <c r="BI288" t="str" cm="1">
        <f t="array" ref="BI288">_xlfn.IFS(
  L288&gt;0,"Critical Fail",
  M288&gt;0,"Important (Coaching)",
  TRUE,"Clean Pass"
)</f>
        <v>Clean Pass</v>
      </c>
      <c r="BJ288" t="str">
        <f t="shared" si="229"/>
        <v>NA</v>
      </c>
    </row>
    <row r="289" spans="1:62" x14ac:dyDescent="0.3">
      <c r="A289">
        <v>853318</v>
      </c>
      <c r="K289" t="str">
        <f t="shared" si="156"/>
        <v>Pass</v>
      </c>
      <c r="L289" s="15">
        <f t="shared" si="195"/>
        <v>0</v>
      </c>
      <c r="M289" s="15">
        <f t="shared" si="196"/>
        <v>0</v>
      </c>
      <c r="Z289" s="15">
        <f t="shared" si="197"/>
        <v>1</v>
      </c>
      <c r="AA289" s="15">
        <f t="shared" si="198"/>
        <v>1</v>
      </c>
      <c r="AB289" s="15">
        <f t="shared" si="199"/>
        <v>1</v>
      </c>
      <c r="AC289" s="15">
        <f t="shared" si="200"/>
        <v>1</v>
      </c>
      <c r="AD289" s="15">
        <f t="shared" si="201"/>
        <v>1</v>
      </c>
      <c r="AE289" s="15">
        <f t="shared" si="202"/>
        <v>1</v>
      </c>
      <c r="AF289" s="15">
        <f t="shared" si="203"/>
        <v>1</v>
      </c>
      <c r="AG289" s="15">
        <f t="shared" si="204"/>
        <v>1</v>
      </c>
      <c r="AH289" s="15">
        <f t="shared" si="205"/>
        <v>1</v>
      </c>
      <c r="AI289" s="15">
        <f t="shared" si="206"/>
        <v>1</v>
      </c>
      <c r="AJ289" s="15">
        <f t="shared" si="207"/>
        <v>1</v>
      </c>
      <c r="AK289" s="15">
        <f t="shared" si="208"/>
        <v>1</v>
      </c>
      <c r="AL289" s="15">
        <f t="shared" si="209"/>
        <v>1</v>
      </c>
      <c r="AM289" s="15">
        <f t="shared" si="210"/>
        <v>1</v>
      </c>
      <c r="AN289" s="15">
        <f t="shared" si="211"/>
        <v>1</v>
      </c>
      <c r="AO289" s="15">
        <f t="shared" si="212"/>
        <v>1</v>
      </c>
      <c r="AP289" s="15">
        <f t="shared" si="213"/>
        <v>1</v>
      </c>
      <c r="AQ289" s="15">
        <f t="shared" si="214"/>
        <v>1</v>
      </c>
      <c r="AR289" s="15">
        <f t="shared" si="215"/>
        <v>1</v>
      </c>
      <c r="AS289" s="15">
        <f t="shared" si="216"/>
        <v>1</v>
      </c>
      <c r="AT289" s="15">
        <f t="shared" si="217"/>
        <v>1</v>
      </c>
      <c r="AU289" s="15">
        <f t="shared" si="218"/>
        <v>1</v>
      </c>
      <c r="AV289" s="15">
        <f t="shared" si="219"/>
        <v>1</v>
      </c>
      <c r="AW289" s="15">
        <f t="shared" si="220"/>
        <v>1</v>
      </c>
      <c r="AX289" s="15">
        <f t="shared" si="221"/>
        <v>1</v>
      </c>
      <c r="AY289" s="15">
        <f t="shared" si="222"/>
        <v>1</v>
      </c>
      <c r="AZ289" s="15">
        <f t="shared" si="223"/>
        <v>1</v>
      </c>
      <c r="BA289" s="15">
        <f t="shared" si="224"/>
        <v>1</v>
      </c>
      <c r="BB289" s="15">
        <f t="shared" si="187"/>
        <v>0</v>
      </c>
      <c r="BC289" s="15" t="str">
        <f t="shared" si="188"/>
        <v/>
      </c>
      <c r="BD289" s="15" t="str">
        <f t="shared" si="189"/>
        <v/>
      </c>
      <c r="BE289" s="11" t="e">
        <f t="shared" si="225"/>
        <v>#VALUE!</v>
      </c>
      <c r="BF289" s="11" t="e">
        <f t="shared" si="226"/>
        <v>#VALUE!</v>
      </c>
      <c r="BG289" s="11" t="e">
        <f t="shared" si="227"/>
        <v>#VALUE!</v>
      </c>
      <c r="BH289" t="str">
        <f t="shared" si="228"/>
        <v/>
      </c>
      <c r="BI289" t="str" cm="1">
        <f t="array" ref="BI289">_xlfn.IFS(
  L289&gt;0,"Critical Fail",
  M289&gt;0,"Important (Coaching)",
  TRUE,"Clean Pass"
)</f>
        <v>Clean Pass</v>
      </c>
      <c r="BJ289" t="str">
        <f t="shared" si="229"/>
        <v>NA</v>
      </c>
    </row>
    <row r="290" spans="1:62" x14ac:dyDescent="0.3">
      <c r="A290">
        <v>773369</v>
      </c>
      <c r="K290" t="str">
        <f t="shared" si="156"/>
        <v>Pass</v>
      </c>
      <c r="L290" s="15">
        <f t="shared" si="195"/>
        <v>0</v>
      </c>
      <c r="M290" s="15">
        <f t="shared" si="196"/>
        <v>0</v>
      </c>
      <c r="Z290" s="15">
        <f t="shared" si="197"/>
        <v>1</v>
      </c>
      <c r="AA290" s="15">
        <f t="shared" si="198"/>
        <v>1</v>
      </c>
      <c r="AB290" s="15">
        <f t="shared" si="199"/>
        <v>1</v>
      </c>
      <c r="AC290" s="15">
        <f t="shared" si="200"/>
        <v>1</v>
      </c>
      <c r="AD290" s="15">
        <f t="shared" si="201"/>
        <v>1</v>
      </c>
      <c r="AE290" s="15">
        <f t="shared" si="202"/>
        <v>1</v>
      </c>
      <c r="AF290" s="15">
        <f t="shared" si="203"/>
        <v>1</v>
      </c>
      <c r="AG290" s="15">
        <f t="shared" si="204"/>
        <v>1</v>
      </c>
      <c r="AH290" s="15">
        <f t="shared" si="205"/>
        <v>1</v>
      </c>
      <c r="AI290" s="15">
        <f t="shared" si="206"/>
        <v>1</v>
      </c>
      <c r="AJ290" s="15">
        <f t="shared" si="207"/>
        <v>1</v>
      </c>
      <c r="AK290" s="15">
        <f t="shared" si="208"/>
        <v>1</v>
      </c>
      <c r="AL290" s="15">
        <f t="shared" si="209"/>
        <v>1</v>
      </c>
      <c r="AM290" s="15">
        <f t="shared" si="210"/>
        <v>1</v>
      </c>
      <c r="AN290" s="15">
        <f t="shared" si="211"/>
        <v>1</v>
      </c>
      <c r="AO290" s="15">
        <f t="shared" si="212"/>
        <v>1</v>
      </c>
      <c r="AP290" s="15">
        <f t="shared" si="213"/>
        <v>1</v>
      </c>
      <c r="AQ290" s="15">
        <f t="shared" si="214"/>
        <v>1</v>
      </c>
      <c r="AR290" s="15">
        <f t="shared" si="215"/>
        <v>1</v>
      </c>
      <c r="AS290" s="15">
        <f t="shared" si="216"/>
        <v>1</v>
      </c>
      <c r="AT290" s="15">
        <f t="shared" si="217"/>
        <v>1</v>
      </c>
      <c r="AU290" s="15">
        <f t="shared" si="218"/>
        <v>1</v>
      </c>
      <c r="AV290" s="15">
        <f t="shared" si="219"/>
        <v>1</v>
      </c>
      <c r="AW290" s="15">
        <f t="shared" si="220"/>
        <v>1</v>
      </c>
      <c r="AX290" s="15">
        <f t="shared" si="221"/>
        <v>1</v>
      </c>
      <c r="AY290" s="15">
        <f t="shared" si="222"/>
        <v>1</v>
      </c>
      <c r="AZ290" s="15">
        <f t="shared" si="223"/>
        <v>1</v>
      </c>
      <c r="BA290" s="15">
        <f t="shared" si="224"/>
        <v>1</v>
      </c>
      <c r="BB290" s="15">
        <f t="shared" si="187"/>
        <v>0</v>
      </c>
      <c r="BC290" s="15" t="str">
        <f t="shared" si="188"/>
        <v/>
      </c>
      <c r="BD290" s="15" t="str">
        <f t="shared" si="189"/>
        <v/>
      </c>
      <c r="BE290" s="11" t="e">
        <f t="shared" si="225"/>
        <v>#VALUE!</v>
      </c>
      <c r="BF290" s="11" t="e">
        <f t="shared" si="226"/>
        <v>#VALUE!</v>
      </c>
      <c r="BG290" s="11" t="e">
        <f t="shared" si="227"/>
        <v>#VALUE!</v>
      </c>
      <c r="BH290" t="str">
        <f t="shared" si="228"/>
        <v/>
      </c>
      <c r="BI290" t="str" cm="1">
        <f t="array" ref="BI290">_xlfn.IFS(
  L290&gt;0,"Critical Fail",
  M290&gt;0,"Important (Coaching)",
  TRUE,"Clean Pass"
)</f>
        <v>Clean Pass</v>
      </c>
      <c r="BJ290" t="str">
        <f t="shared" si="229"/>
        <v>NA</v>
      </c>
    </row>
    <row r="291" spans="1:62" x14ac:dyDescent="0.3">
      <c r="A291">
        <v>325992</v>
      </c>
      <c r="K291" t="str">
        <f t="shared" si="156"/>
        <v>Pass</v>
      </c>
      <c r="L291" s="15">
        <f t="shared" si="195"/>
        <v>0</v>
      </c>
      <c r="M291" s="15">
        <f t="shared" si="196"/>
        <v>0</v>
      </c>
      <c r="Z291" s="15">
        <f t="shared" si="197"/>
        <v>1</v>
      </c>
      <c r="AA291" s="15">
        <f t="shared" si="198"/>
        <v>1</v>
      </c>
      <c r="AB291" s="15">
        <f t="shared" si="199"/>
        <v>1</v>
      </c>
      <c r="AC291" s="15">
        <f t="shared" si="200"/>
        <v>1</v>
      </c>
      <c r="AD291" s="15">
        <f t="shared" si="201"/>
        <v>1</v>
      </c>
      <c r="AE291" s="15">
        <f t="shared" si="202"/>
        <v>1</v>
      </c>
      <c r="AF291" s="15">
        <f t="shared" si="203"/>
        <v>1</v>
      </c>
      <c r="AG291" s="15">
        <f t="shared" si="204"/>
        <v>1</v>
      </c>
      <c r="AH291" s="15">
        <f t="shared" si="205"/>
        <v>1</v>
      </c>
      <c r="AI291" s="15">
        <f t="shared" si="206"/>
        <v>1</v>
      </c>
      <c r="AJ291" s="15">
        <f t="shared" si="207"/>
        <v>1</v>
      </c>
      <c r="AK291" s="15">
        <f t="shared" si="208"/>
        <v>1</v>
      </c>
      <c r="AL291" s="15">
        <f t="shared" si="209"/>
        <v>1</v>
      </c>
      <c r="AM291" s="15">
        <f t="shared" si="210"/>
        <v>1</v>
      </c>
      <c r="AN291" s="15">
        <f t="shared" si="211"/>
        <v>1</v>
      </c>
      <c r="AO291" s="15">
        <f t="shared" si="212"/>
        <v>1</v>
      </c>
      <c r="AP291" s="15">
        <f t="shared" si="213"/>
        <v>1</v>
      </c>
      <c r="AQ291" s="15">
        <f t="shared" si="214"/>
        <v>1</v>
      </c>
      <c r="AR291" s="15">
        <f t="shared" si="215"/>
        <v>1</v>
      </c>
      <c r="AS291" s="15">
        <f t="shared" si="216"/>
        <v>1</v>
      </c>
      <c r="AT291" s="15">
        <f t="shared" si="217"/>
        <v>1</v>
      </c>
      <c r="AU291" s="15">
        <f t="shared" si="218"/>
        <v>1</v>
      </c>
      <c r="AV291" s="15">
        <f t="shared" si="219"/>
        <v>1</v>
      </c>
      <c r="AW291" s="15">
        <f t="shared" si="220"/>
        <v>1</v>
      </c>
      <c r="AX291" s="15">
        <f t="shared" si="221"/>
        <v>1</v>
      </c>
      <c r="AY291" s="15">
        <f t="shared" si="222"/>
        <v>1</v>
      </c>
      <c r="AZ291" s="15">
        <f t="shared" si="223"/>
        <v>1</v>
      </c>
      <c r="BA291" s="15">
        <f t="shared" si="224"/>
        <v>1</v>
      </c>
      <c r="BB291" s="15">
        <f t="shared" si="187"/>
        <v>0</v>
      </c>
      <c r="BC291" s="15" t="str">
        <f t="shared" si="188"/>
        <v/>
      </c>
      <c r="BD291" s="15" t="str">
        <f t="shared" si="189"/>
        <v/>
      </c>
      <c r="BE291" s="11" t="e">
        <f t="shared" si="225"/>
        <v>#VALUE!</v>
      </c>
      <c r="BF291" s="11" t="e">
        <f t="shared" si="226"/>
        <v>#VALUE!</v>
      </c>
      <c r="BG291" s="11" t="e">
        <f t="shared" si="227"/>
        <v>#VALUE!</v>
      </c>
      <c r="BH291" t="str">
        <f t="shared" si="228"/>
        <v/>
      </c>
      <c r="BI291" t="str" cm="1">
        <f t="array" ref="BI291">_xlfn.IFS(
  L291&gt;0,"Critical Fail",
  M291&gt;0,"Important (Coaching)",
  TRUE,"Clean Pass"
)</f>
        <v>Clean Pass</v>
      </c>
      <c r="BJ291" t="str">
        <f t="shared" si="229"/>
        <v>NA</v>
      </c>
    </row>
    <row r="292" spans="1:62" x14ac:dyDescent="0.3">
      <c r="A292">
        <v>113911</v>
      </c>
      <c r="K292" t="str">
        <f t="shared" si="156"/>
        <v>Pass</v>
      </c>
      <c r="L292" s="15">
        <f t="shared" si="195"/>
        <v>0</v>
      </c>
      <c r="M292" s="15">
        <f t="shared" si="196"/>
        <v>0</v>
      </c>
      <c r="Z292" s="15">
        <f t="shared" si="197"/>
        <v>1</v>
      </c>
      <c r="AA292" s="15">
        <f t="shared" si="198"/>
        <v>1</v>
      </c>
      <c r="AB292" s="15">
        <f t="shared" si="199"/>
        <v>1</v>
      </c>
      <c r="AC292" s="15">
        <f t="shared" si="200"/>
        <v>1</v>
      </c>
      <c r="AD292" s="15">
        <f t="shared" si="201"/>
        <v>1</v>
      </c>
      <c r="AE292" s="15">
        <f t="shared" si="202"/>
        <v>1</v>
      </c>
      <c r="AF292" s="15">
        <f t="shared" si="203"/>
        <v>1</v>
      </c>
      <c r="AG292" s="15">
        <f t="shared" si="204"/>
        <v>1</v>
      </c>
      <c r="AH292" s="15">
        <f t="shared" si="205"/>
        <v>1</v>
      </c>
      <c r="AI292" s="15">
        <f t="shared" si="206"/>
        <v>1</v>
      </c>
      <c r="AJ292" s="15">
        <f t="shared" si="207"/>
        <v>1</v>
      </c>
      <c r="AK292" s="15">
        <f t="shared" si="208"/>
        <v>1</v>
      </c>
      <c r="AL292" s="15">
        <f t="shared" si="209"/>
        <v>1</v>
      </c>
      <c r="AM292" s="15">
        <f t="shared" si="210"/>
        <v>1</v>
      </c>
      <c r="AN292" s="15">
        <f t="shared" si="211"/>
        <v>1</v>
      </c>
      <c r="AO292" s="15">
        <f t="shared" si="212"/>
        <v>1</v>
      </c>
      <c r="AP292" s="15">
        <f t="shared" si="213"/>
        <v>1</v>
      </c>
      <c r="AQ292" s="15">
        <f t="shared" si="214"/>
        <v>1</v>
      </c>
      <c r="AR292" s="15">
        <f t="shared" si="215"/>
        <v>1</v>
      </c>
      <c r="AS292" s="15">
        <f t="shared" si="216"/>
        <v>1</v>
      </c>
      <c r="AT292" s="15">
        <f t="shared" si="217"/>
        <v>1</v>
      </c>
      <c r="AU292" s="15">
        <f t="shared" si="218"/>
        <v>1</v>
      </c>
      <c r="AV292" s="15">
        <f t="shared" si="219"/>
        <v>1</v>
      </c>
      <c r="AW292" s="15">
        <f t="shared" si="220"/>
        <v>1</v>
      </c>
      <c r="AX292" s="15">
        <f t="shared" si="221"/>
        <v>1</v>
      </c>
      <c r="AY292" s="15">
        <f t="shared" si="222"/>
        <v>1</v>
      </c>
      <c r="AZ292" s="15">
        <f t="shared" si="223"/>
        <v>1</v>
      </c>
      <c r="BA292" s="15">
        <f t="shared" si="224"/>
        <v>1</v>
      </c>
      <c r="BB292" s="15">
        <f t="shared" si="187"/>
        <v>0</v>
      </c>
      <c r="BC292" s="15" t="str">
        <f t="shared" si="188"/>
        <v/>
      </c>
      <c r="BD292" s="15" t="str">
        <f t="shared" si="189"/>
        <v/>
      </c>
      <c r="BE292" s="11" t="e">
        <f t="shared" si="225"/>
        <v>#VALUE!</v>
      </c>
      <c r="BF292" s="11" t="e">
        <f t="shared" si="226"/>
        <v>#VALUE!</v>
      </c>
      <c r="BG292" s="11" t="e">
        <f t="shared" si="227"/>
        <v>#VALUE!</v>
      </c>
      <c r="BH292" t="str">
        <f t="shared" si="228"/>
        <v/>
      </c>
      <c r="BI292" t="str" cm="1">
        <f t="array" ref="BI292">_xlfn.IFS(
  L292&gt;0,"Critical Fail",
  M292&gt;0,"Important (Coaching)",
  TRUE,"Clean Pass"
)</f>
        <v>Clean Pass</v>
      </c>
      <c r="BJ292" t="str">
        <f t="shared" si="229"/>
        <v>NA</v>
      </c>
    </row>
    <row r="293" spans="1:62" x14ac:dyDescent="0.3">
      <c r="A293">
        <v>982115</v>
      </c>
      <c r="K293" t="str">
        <f t="shared" si="156"/>
        <v>Pass</v>
      </c>
      <c r="L293" s="15">
        <f t="shared" si="195"/>
        <v>0</v>
      </c>
      <c r="M293" s="15">
        <f t="shared" si="196"/>
        <v>0</v>
      </c>
      <c r="Z293" s="15">
        <f t="shared" si="197"/>
        <v>1</v>
      </c>
      <c r="AA293" s="15">
        <f t="shared" si="198"/>
        <v>1</v>
      </c>
      <c r="AB293" s="15">
        <f t="shared" si="199"/>
        <v>1</v>
      </c>
      <c r="AC293" s="15">
        <f t="shared" si="200"/>
        <v>1</v>
      </c>
      <c r="AD293" s="15">
        <f t="shared" si="201"/>
        <v>1</v>
      </c>
      <c r="AE293" s="15">
        <f t="shared" si="202"/>
        <v>1</v>
      </c>
      <c r="AF293" s="15">
        <f t="shared" si="203"/>
        <v>1</v>
      </c>
      <c r="AG293" s="15">
        <f t="shared" si="204"/>
        <v>1</v>
      </c>
      <c r="AH293" s="15">
        <f t="shared" si="205"/>
        <v>1</v>
      </c>
      <c r="AI293" s="15">
        <f t="shared" si="206"/>
        <v>1</v>
      </c>
      <c r="AJ293" s="15">
        <f t="shared" si="207"/>
        <v>1</v>
      </c>
      <c r="AK293" s="15">
        <f t="shared" si="208"/>
        <v>1</v>
      </c>
      <c r="AL293" s="15">
        <f t="shared" si="209"/>
        <v>1</v>
      </c>
      <c r="AM293" s="15">
        <f t="shared" si="210"/>
        <v>1</v>
      </c>
      <c r="AN293" s="15">
        <f t="shared" si="211"/>
        <v>1</v>
      </c>
      <c r="AO293" s="15">
        <f t="shared" si="212"/>
        <v>1</v>
      </c>
      <c r="AP293" s="15">
        <f t="shared" si="213"/>
        <v>1</v>
      </c>
      <c r="AQ293" s="15">
        <f t="shared" si="214"/>
        <v>1</v>
      </c>
      <c r="AR293" s="15">
        <f t="shared" si="215"/>
        <v>1</v>
      </c>
      <c r="AS293" s="15">
        <f t="shared" si="216"/>
        <v>1</v>
      </c>
      <c r="AT293" s="15">
        <f t="shared" si="217"/>
        <v>1</v>
      </c>
      <c r="AU293" s="15">
        <f t="shared" si="218"/>
        <v>1</v>
      </c>
      <c r="AV293" s="15">
        <f t="shared" si="219"/>
        <v>1</v>
      </c>
      <c r="AW293" s="15">
        <f t="shared" si="220"/>
        <v>1</v>
      </c>
      <c r="AX293" s="15">
        <f t="shared" si="221"/>
        <v>1</v>
      </c>
      <c r="AY293" s="15">
        <f t="shared" si="222"/>
        <v>1</v>
      </c>
      <c r="AZ293" s="15">
        <f t="shared" si="223"/>
        <v>1</v>
      </c>
      <c r="BA293" s="15">
        <f t="shared" si="224"/>
        <v>1</v>
      </c>
      <c r="BB293" s="15">
        <f t="shared" si="187"/>
        <v>0</v>
      </c>
      <c r="BC293" s="15" t="str">
        <f t="shared" si="188"/>
        <v/>
      </c>
      <c r="BD293" s="15" t="str">
        <f t="shared" si="189"/>
        <v/>
      </c>
      <c r="BE293" s="11" t="e">
        <f t="shared" si="225"/>
        <v>#VALUE!</v>
      </c>
      <c r="BF293" s="11" t="e">
        <f t="shared" si="226"/>
        <v>#VALUE!</v>
      </c>
      <c r="BG293" s="11" t="e">
        <f t="shared" si="227"/>
        <v>#VALUE!</v>
      </c>
      <c r="BH293" t="str">
        <f t="shared" si="228"/>
        <v/>
      </c>
      <c r="BI293" t="str" cm="1">
        <f t="array" ref="BI293">_xlfn.IFS(
  L293&gt;0,"Critical Fail",
  M293&gt;0,"Important (Coaching)",
  TRUE,"Clean Pass"
)</f>
        <v>Clean Pass</v>
      </c>
      <c r="BJ293" t="str">
        <f t="shared" si="229"/>
        <v>NA</v>
      </c>
    </row>
    <row r="294" spans="1:62" x14ac:dyDescent="0.3">
      <c r="A294">
        <v>385445</v>
      </c>
      <c r="K294" t="str">
        <f t="shared" si="156"/>
        <v>Pass</v>
      </c>
      <c r="L294" s="15">
        <f t="shared" si="195"/>
        <v>0</v>
      </c>
      <c r="M294" s="15">
        <f t="shared" si="196"/>
        <v>0</v>
      </c>
      <c r="Z294" s="15">
        <f t="shared" si="197"/>
        <v>1</v>
      </c>
      <c r="AA294" s="15">
        <f t="shared" si="198"/>
        <v>1</v>
      </c>
      <c r="AB294" s="15">
        <f t="shared" si="199"/>
        <v>1</v>
      </c>
      <c r="AC294" s="15">
        <f t="shared" si="200"/>
        <v>1</v>
      </c>
      <c r="AD294" s="15">
        <f t="shared" si="201"/>
        <v>1</v>
      </c>
      <c r="AE294" s="15">
        <f t="shared" si="202"/>
        <v>1</v>
      </c>
      <c r="AF294" s="15">
        <f t="shared" si="203"/>
        <v>1</v>
      </c>
      <c r="AG294" s="15">
        <f t="shared" si="204"/>
        <v>1</v>
      </c>
      <c r="AH294" s="15">
        <f t="shared" si="205"/>
        <v>1</v>
      </c>
      <c r="AI294" s="15">
        <f t="shared" si="206"/>
        <v>1</v>
      </c>
      <c r="AJ294" s="15">
        <f t="shared" si="207"/>
        <v>1</v>
      </c>
      <c r="AK294" s="15">
        <f t="shared" si="208"/>
        <v>1</v>
      </c>
      <c r="AL294" s="15">
        <f t="shared" si="209"/>
        <v>1</v>
      </c>
      <c r="AM294" s="15">
        <f t="shared" si="210"/>
        <v>1</v>
      </c>
      <c r="AN294" s="15">
        <f t="shared" si="211"/>
        <v>1</v>
      </c>
      <c r="AO294" s="15">
        <f t="shared" si="212"/>
        <v>1</v>
      </c>
      <c r="AP294" s="15">
        <f t="shared" si="213"/>
        <v>1</v>
      </c>
      <c r="AQ294" s="15">
        <f t="shared" si="214"/>
        <v>1</v>
      </c>
      <c r="AR294" s="15">
        <f t="shared" si="215"/>
        <v>1</v>
      </c>
      <c r="AS294" s="15">
        <f t="shared" si="216"/>
        <v>1</v>
      </c>
      <c r="AT294" s="15">
        <f t="shared" si="217"/>
        <v>1</v>
      </c>
      <c r="AU294" s="15">
        <f t="shared" si="218"/>
        <v>1</v>
      </c>
      <c r="AV294" s="15">
        <f t="shared" si="219"/>
        <v>1</v>
      </c>
      <c r="AW294" s="15">
        <f t="shared" si="220"/>
        <v>1</v>
      </c>
      <c r="AX294" s="15">
        <f t="shared" si="221"/>
        <v>1</v>
      </c>
      <c r="AY294" s="15">
        <f t="shared" si="222"/>
        <v>1</v>
      </c>
      <c r="AZ294" s="15">
        <f t="shared" si="223"/>
        <v>1</v>
      </c>
      <c r="BA294" s="15">
        <f t="shared" si="224"/>
        <v>1</v>
      </c>
      <c r="BB294" s="15">
        <f t="shared" si="187"/>
        <v>0</v>
      </c>
      <c r="BC294" s="15" t="str">
        <f t="shared" si="188"/>
        <v/>
      </c>
      <c r="BD294" s="15" t="str">
        <f t="shared" si="189"/>
        <v/>
      </c>
      <c r="BE294" s="11" t="e">
        <f t="shared" si="225"/>
        <v>#VALUE!</v>
      </c>
      <c r="BF294" s="11" t="e">
        <f t="shared" si="226"/>
        <v>#VALUE!</v>
      </c>
      <c r="BG294" s="11" t="e">
        <f t="shared" si="227"/>
        <v>#VALUE!</v>
      </c>
      <c r="BH294" t="str">
        <f t="shared" si="228"/>
        <v/>
      </c>
      <c r="BI294" t="str" cm="1">
        <f t="array" ref="BI294">_xlfn.IFS(
  L294&gt;0,"Critical Fail",
  M294&gt;0,"Important (Coaching)",
  TRUE,"Clean Pass"
)</f>
        <v>Clean Pass</v>
      </c>
      <c r="BJ294" t="str">
        <f t="shared" si="229"/>
        <v>NA</v>
      </c>
    </row>
    <row r="295" spans="1:62" x14ac:dyDescent="0.3">
      <c r="A295">
        <v>188863</v>
      </c>
      <c r="K295" t="str">
        <f t="shared" si="156"/>
        <v>Pass</v>
      </c>
      <c r="L295" s="15">
        <f t="shared" si="195"/>
        <v>0</v>
      </c>
      <c r="M295" s="15">
        <f t="shared" si="196"/>
        <v>0</v>
      </c>
      <c r="Z295" s="15">
        <f t="shared" si="197"/>
        <v>1</v>
      </c>
      <c r="AA295" s="15">
        <f t="shared" si="198"/>
        <v>1</v>
      </c>
      <c r="AB295" s="15">
        <f t="shared" si="199"/>
        <v>1</v>
      </c>
      <c r="AC295" s="15">
        <f t="shared" si="200"/>
        <v>1</v>
      </c>
      <c r="AD295" s="15">
        <f t="shared" si="201"/>
        <v>1</v>
      </c>
      <c r="AE295" s="15">
        <f t="shared" si="202"/>
        <v>1</v>
      </c>
      <c r="AF295" s="15">
        <f t="shared" si="203"/>
        <v>1</v>
      </c>
      <c r="AG295" s="15">
        <f t="shared" si="204"/>
        <v>1</v>
      </c>
      <c r="AH295" s="15">
        <f t="shared" si="205"/>
        <v>1</v>
      </c>
      <c r="AI295" s="15">
        <f t="shared" si="206"/>
        <v>1</v>
      </c>
      <c r="AJ295" s="15">
        <f t="shared" si="207"/>
        <v>1</v>
      </c>
      <c r="AK295" s="15">
        <f t="shared" si="208"/>
        <v>1</v>
      </c>
      <c r="AL295" s="15">
        <f t="shared" si="209"/>
        <v>1</v>
      </c>
      <c r="AM295" s="15">
        <f t="shared" si="210"/>
        <v>1</v>
      </c>
      <c r="AN295" s="15">
        <f t="shared" si="211"/>
        <v>1</v>
      </c>
      <c r="AO295" s="15">
        <f t="shared" si="212"/>
        <v>1</v>
      </c>
      <c r="AP295" s="15">
        <f t="shared" si="213"/>
        <v>1</v>
      </c>
      <c r="AQ295" s="15">
        <f t="shared" si="214"/>
        <v>1</v>
      </c>
      <c r="AR295" s="15">
        <f t="shared" si="215"/>
        <v>1</v>
      </c>
      <c r="AS295" s="15">
        <f t="shared" si="216"/>
        <v>1</v>
      </c>
      <c r="AT295" s="15">
        <f t="shared" si="217"/>
        <v>1</v>
      </c>
      <c r="AU295" s="15">
        <f t="shared" si="218"/>
        <v>1</v>
      </c>
      <c r="AV295" s="15">
        <f t="shared" si="219"/>
        <v>1</v>
      </c>
      <c r="AW295" s="15">
        <f t="shared" si="220"/>
        <v>1</v>
      </c>
      <c r="AX295" s="15">
        <f t="shared" si="221"/>
        <v>1</v>
      </c>
      <c r="AY295" s="15">
        <f t="shared" si="222"/>
        <v>1</v>
      </c>
      <c r="AZ295" s="15">
        <f t="shared" si="223"/>
        <v>1</v>
      </c>
      <c r="BA295" s="15">
        <f t="shared" si="224"/>
        <v>1</v>
      </c>
      <c r="BB295" s="15">
        <f t="shared" si="187"/>
        <v>0</v>
      </c>
      <c r="BC295" s="15" t="str">
        <f t="shared" si="188"/>
        <v/>
      </c>
      <c r="BD295" s="15" t="str">
        <f t="shared" si="189"/>
        <v/>
      </c>
      <c r="BE295" s="11" t="e">
        <f t="shared" si="225"/>
        <v>#VALUE!</v>
      </c>
      <c r="BF295" s="11" t="e">
        <f t="shared" si="226"/>
        <v>#VALUE!</v>
      </c>
      <c r="BG295" s="11" t="e">
        <f t="shared" si="227"/>
        <v>#VALUE!</v>
      </c>
      <c r="BH295" t="str">
        <f t="shared" si="228"/>
        <v/>
      </c>
      <c r="BI295" t="str" cm="1">
        <f t="array" ref="BI295">_xlfn.IFS(
  L295&gt;0,"Critical Fail",
  M295&gt;0,"Important (Coaching)",
  TRUE,"Clean Pass"
)</f>
        <v>Clean Pass</v>
      </c>
      <c r="BJ295" t="str">
        <f t="shared" si="229"/>
        <v>NA</v>
      </c>
    </row>
    <row r="296" spans="1:62" x14ac:dyDescent="0.3">
      <c r="A296">
        <v>333578</v>
      </c>
      <c r="K296" t="str">
        <f t="shared" si="156"/>
        <v>Pass</v>
      </c>
      <c r="L296" s="15">
        <f t="shared" si="195"/>
        <v>0</v>
      </c>
      <c r="M296" s="15">
        <f t="shared" si="196"/>
        <v>0</v>
      </c>
      <c r="Z296" s="15">
        <f t="shared" si="197"/>
        <v>1</v>
      </c>
      <c r="AA296" s="15">
        <f t="shared" si="198"/>
        <v>1</v>
      </c>
      <c r="AB296" s="15">
        <f t="shared" si="199"/>
        <v>1</v>
      </c>
      <c r="AC296" s="15">
        <f t="shared" si="200"/>
        <v>1</v>
      </c>
      <c r="AD296" s="15">
        <f t="shared" si="201"/>
        <v>1</v>
      </c>
      <c r="AE296" s="15">
        <f t="shared" si="202"/>
        <v>1</v>
      </c>
      <c r="AF296" s="15">
        <f t="shared" si="203"/>
        <v>1</v>
      </c>
      <c r="AG296" s="15">
        <f t="shared" si="204"/>
        <v>1</v>
      </c>
      <c r="AH296" s="15">
        <f t="shared" si="205"/>
        <v>1</v>
      </c>
      <c r="AI296" s="15">
        <f t="shared" si="206"/>
        <v>1</v>
      </c>
      <c r="AJ296" s="15">
        <f t="shared" si="207"/>
        <v>1</v>
      </c>
      <c r="AK296" s="15">
        <f t="shared" si="208"/>
        <v>1</v>
      </c>
      <c r="AL296" s="15">
        <f t="shared" si="209"/>
        <v>1</v>
      </c>
      <c r="AM296" s="15">
        <f t="shared" si="210"/>
        <v>1</v>
      </c>
      <c r="AN296" s="15">
        <f t="shared" si="211"/>
        <v>1</v>
      </c>
      <c r="AO296" s="15">
        <f t="shared" si="212"/>
        <v>1</v>
      </c>
      <c r="AP296" s="15">
        <f t="shared" si="213"/>
        <v>1</v>
      </c>
      <c r="AQ296" s="15">
        <f t="shared" si="214"/>
        <v>1</v>
      </c>
      <c r="AR296" s="15">
        <f t="shared" si="215"/>
        <v>1</v>
      </c>
      <c r="AS296" s="15">
        <f t="shared" si="216"/>
        <v>1</v>
      </c>
      <c r="AT296" s="15">
        <f t="shared" si="217"/>
        <v>1</v>
      </c>
      <c r="AU296" s="15">
        <f t="shared" si="218"/>
        <v>1</v>
      </c>
      <c r="AV296" s="15">
        <f t="shared" si="219"/>
        <v>1</v>
      </c>
      <c r="AW296" s="15">
        <f t="shared" si="220"/>
        <v>1</v>
      </c>
      <c r="AX296" s="15">
        <f t="shared" si="221"/>
        <v>1</v>
      </c>
      <c r="AY296" s="15">
        <f t="shared" si="222"/>
        <v>1</v>
      </c>
      <c r="AZ296" s="15">
        <f t="shared" si="223"/>
        <v>1</v>
      </c>
      <c r="BA296" s="15">
        <f t="shared" si="224"/>
        <v>1</v>
      </c>
      <c r="BB296" s="15">
        <f t="shared" si="187"/>
        <v>0</v>
      </c>
      <c r="BC296" s="15" t="str">
        <f t="shared" si="188"/>
        <v/>
      </c>
      <c r="BD296" s="15" t="str">
        <f t="shared" si="189"/>
        <v/>
      </c>
      <c r="BE296" s="11" t="e">
        <f t="shared" si="225"/>
        <v>#VALUE!</v>
      </c>
      <c r="BF296" s="11" t="e">
        <f t="shared" si="226"/>
        <v>#VALUE!</v>
      </c>
      <c r="BG296" s="11" t="e">
        <f t="shared" si="227"/>
        <v>#VALUE!</v>
      </c>
      <c r="BH296" t="str">
        <f t="shared" si="228"/>
        <v/>
      </c>
      <c r="BI296" t="str" cm="1">
        <f t="array" ref="BI296">_xlfn.IFS(
  L296&gt;0,"Critical Fail",
  M296&gt;0,"Important (Coaching)",
  TRUE,"Clean Pass"
)</f>
        <v>Clean Pass</v>
      </c>
      <c r="BJ296" t="str">
        <f t="shared" si="229"/>
        <v>NA</v>
      </c>
    </row>
    <row r="297" spans="1:62" x14ac:dyDescent="0.3">
      <c r="A297">
        <v>993989</v>
      </c>
      <c r="K297" t="str">
        <f t="shared" si="156"/>
        <v>Pass</v>
      </c>
      <c r="L297" s="15">
        <f t="shared" si="195"/>
        <v>0</v>
      </c>
      <c r="M297" s="15">
        <f t="shared" si="196"/>
        <v>0</v>
      </c>
      <c r="Z297" s="15">
        <f t="shared" si="197"/>
        <v>1</v>
      </c>
      <c r="AA297" s="15">
        <f t="shared" si="198"/>
        <v>1</v>
      </c>
      <c r="AB297" s="15">
        <f t="shared" si="199"/>
        <v>1</v>
      </c>
      <c r="AC297" s="15">
        <f t="shared" si="200"/>
        <v>1</v>
      </c>
      <c r="AD297" s="15">
        <f t="shared" si="201"/>
        <v>1</v>
      </c>
      <c r="AE297" s="15">
        <f t="shared" si="202"/>
        <v>1</v>
      </c>
      <c r="AF297" s="15">
        <f t="shared" si="203"/>
        <v>1</v>
      </c>
      <c r="AG297" s="15">
        <f t="shared" si="204"/>
        <v>1</v>
      </c>
      <c r="AH297" s="15">
        <f t="shared" si="205"/>
        <v>1</v>
      </c>
      <c r="AI297" s="15">
        <f t="shared" si="206"/>
        <v>1</v>
      </c>
      <c r="AJ297" s="15">
        <f t="shared" si="207"/>
        <v>1</v>
      </c>
      <c r="AK297" s="15">
        <f t="shared" si="208"/>
        <v>1</v>
      </c>
      <c r="AL297" s="15">
        <f t="shared" si="209"/>
        <v>1</v>
      </c>
      <c r="AM297" s="15">
        <f t="shared" si="210"/>
        <v>1</v>
      </c>
      <c r="AN297" s="15">
        <f t="shared" si="211"/>
        <v>1</v>
      </c>
      <c r="AO297" s="15">
        <f t="shared" si="212"/>
        <v>1</v>
      </c>
      <c r="AP297" s="15">
        <f t="shared" si="213"/>
        <v>1</v>
      </c>
      <c r="AQ297" s="15">
        <f t="shared" si="214"/>
        <v>1</v>
      </c>
      <c r="AR297" s="15">
        <f t="shared" si="215"/>
        <v>1</v>
      </c>
      <c r="AS297" s="15">
        <f t="shared" si="216"/>
        <v>1</v>
      </c>
      <c r="AT297" s="15">
        <f t="shared" si="217"/>
        <v>1</v>
      </c>
      <c r="AU297" s="15">
        <f t="shared" si="218"/>
        <v>1</v>
      </c>
      <c r="AV297" s="15">
        <f t="shared" si="219"/>
        <v>1</v>
      </c>
      <c r="AW297" s="15">
        <f t="shared" si="220"/>
        <v>1</v>
      </c>
      <c r="AX297" s="15">
        <f t="shared" si="221"/>
        <v>1</v>
      </c>
      <c r="AY297" s="15">
        <f t="shared" si="222"/>
        <v>1</v>
      </c>
      <c r="AZ297" s="15">
        <f t="shared" si="223"/>
        <v>1</v>
      </c>
      <c r="BA297" s="15">
        <f t="shared" si="224"/>
        <v>1</v>
      </c>
      <c r="BB297" s="15">
        <f t="shared" si="187"/>
        <v>0</v>
      </c>
      <c r="BC297" s="15" t="str">
        <f t="shared" si="188"/>
        <v/>
      </c>
      <c r="BD297" s="15" t="str">
        <f t="shared" si="189"/>
        <v/>
      </c>
      <c r="BE297" s="11" t="e">
        <f t="shared" si="225"/>
        <v>#VALUE!</v>
      </c>
      <c r="BF297" s="11" t="e">
        <f t="shared" si="226"/>
        <v>#VALUE!</v>
      </c>
      <c r="BG297" s="11" t="e">
        <f t="shared" si="227"/>
        <v>#VALUE!</v>
      </c>
      <c r="BH297" t="str">
        <f t="shared" si="228"/>
        <v/>
      </c>
      <c r="BI297" t="str" cm="1">
        <f t="array" ref="BI297">_xlfn.IFS(
  L297&gt;0,"Critical Fail",
  M297&gt;0,"Important (Coaching)",
  TRUE,"Clean Pass"
)</f>
        <v>Clean Pass</v>
      </c>
      <c r="BJ297" t="str">
        <f t="shared" si="229"/>
        <v>NA</v>
      </c>
    </row>
    <row r="298" spans="1:62" x14ac:dyDescent="0.3">
      <c r="A298">
        <v>606491</v>
      </c>
      <c r="K298" t="str">
        <f t="shared" si="156"/>
        <v>Pass</v>
      </c>
      <c r="L298" s="15">
        <f t="shared" si="195"/>
        <v>0</v>
      </c>
      <c r="M298" s="15">
        <f t="shared" si="196"/>
        <v>0</v>
      </c>
      <c r="Z298" s="15">
        <f t="shared" si="197"/>
        <v>1</v>
      </c>
      <c r="AA298" s="15">
        <f t="shared" si="198"/>
        <v>1</v>
      </c>
      <c r="AB298" s="15">
        <f t="shared" si="199"/>
        <v>1</v>
      </c>
      <c r="AC298" s="15">
        <f t="shared" si="200"/>
        <v>1</v>
      </c>
      <c r="AD298" s="15">
        <f t="shared" si="201"/>
        <v>1</v>
      </c>
      <c r="AE298" s="15">
        <f t="shared" si="202"/>
        <v>1</v>
      </c>
      <c r="AF298" s="15">
        <f t="shared" si="203"/>
        <v>1</v>
      </c>
      <c r="AG298" s="15">
        <f t="shared" si="204"/>
        <v>1</v>
      </c>
      <c r="AH298" s="15">
        <f t="shared" si="205"/>
        <v>1</v>
      </c>
      <c r="AI298" s="15">
        <f t="shared" si="206"/>
        <v>1</v>
      </c>
      <c r="AJ298" s="15">
        <f t="shared" si="207"/>
        <v>1</v>
      </c>
      <c r="AK298" s="15">
        <f t="shared" si="208"/>
        <v>1</v>
      </c>
      <c r="AL298" s="15">
        <f t="shared" si="209"/>
        <v>1</v>
      </c>
      <c r="AM298" s="15">
        <f t="shared" si="210"/>
        <v>1</v>
      </c>
      <c r="AN298" s="15">
        <f t="shared" si="211"/>
        <v>1</v>
      </c>
      <c r="AO298" s="15">
        <f t="shared" si="212"/>
        <v>1</v>
      </c>
      <c r="AP298" s="15">
        <f t="shared" si="213"/>
        <v>1</v>
      </c>
      <c r="AQ298" s="15">
        <f t="shared" si="214"/>
        <v>1</v>
      </c>
      <c r="AR298" s="15">
        <f t="shared" si="215"/>
        <v>1</v>
      </c>
      <c r="AS298" s="15">
        <f t="shared" si="216"/>
        <v>1</v>
      </c>
      <c r="AT298" s="15">
        <f t="shared" si="217"/>
        <v>1</v>
      </c>
      <c r="AU298" s="15">
        <f t="shared" si="218"/>
        <v>1</v>
      </c>
      <c r="AV298" s="15">
        <f t="shared" si="219"/>
        <v>1</v>
      </c>
      <c r="AW298" s="15">
        <f t="shared" si="220"/>
        <v>1</v>
      </c>
      <c r="AX298" s="15">
        <f t="shared" si="221"/>
        <v>1</v>
      </c>
      <c r="AY298" s="15">
        <f t="shared" si="222"/>
        <v>1</v>
      </c>
      <c r="AZ298" s="15">
        <f t="shared" si="223"/>
        <v>1</v>
      </c>
      <c r="BA298" s="15">
        <f t="shared" si="224"/>
        <v>1</v>
      </c>
      <c r="BB298" s="15">
        <f t="shared" si="187"/>
        <v>0</v>
      </c>
      <c r="BC298" s="15" t="str">
        <f t="shared" si="188"/>
        <v/>
      </c>
      <c r="BD298" s="15" t="str">
        <f t="shared" si="189"/>
        <v/>
      </c>
      <c r="BE298" s="11" t="e">
        <f t="shared" si="225"/>
        <v>#VALUE!</v>
      </c>
      <c r="BF298" s="11" t="e">
        <f t="shared" si="226"/>
        <v>#VALUE!</v>
      </c>
      <c r="BG298" s="11" t="e">
        <f t="shared" si="227"/>
        <v>#VALUE!</v>
      </c>
      <c r="BH298" t="str">
        <f t="shared" si="228"/>
        <v/>
      </c>
      <c r="BI298" t="str" cm="1">
        <f t="array" ref="BI298">_xlfn.IFS(
  L298&gt;0,"Critical Fail",
  M298&gt;0,"Important (Coaching)",
  TRUE,"Clean Pass"
)</f>
        <v>Clean Pass</v>
      </c>
      <c r="BJ298" t="str">
        <f t="shared" si="229"/>
        <v>NA</v>
      </c>
    </row>
    <row r="299" spans="1:62" x14ac:dyDescent="0.3">
      <c r="A299">
        <v>722907</v>
      </c>
      <c r="K299" t="str">
        <f t="shared" si="156"/>
        <v>Pass</v>
      </c>
      <c r="L299" s="15">
        <f t="shared" si="195"/>
        <v>0</v>
      </c>
      <c r="M299" s="15">
        <f t="shared" si="196"/>
        <v>0</v>
      </c>
      <c r="Z299" s="15">
        <f t="shared" si="197"/>
        <v>1</v>
      </c>
      <c r="AA299" s="15">
        <f t="shared" si="198"/>
        <v>1</v>
      </c>
      <c r="AB299" s="15">
        <f t="shared" si="199"/>
        <v>1</v>
      </c>
      <c r="AC299" s="15">
        <f t="shared" si="200"/>
        <v>1</v>
      </c>
      <c r="AD299" s="15">
        <f t="shared" si="201"/>
        <v>1</v>
      </c>
      <c r="AE299" s="15">
        <f t="shared" si="202"/>
        <v>1</v>
      </c>
      <c r="AF299" s="15">
        <f t="shared" si="203"/>
        <v>1</v>
      </c>
      <c r="AG299" s="15">
        <f t="shared" si="204"/>
        <v>1</v>
      </c>
      <c r="AH299" s="15">
        <f t="shared" si="205"/>
        <v>1</v>
      </c>
      <c r="AI299" s="15">
        <f t="shared" si="206"/>
        <v>1</v>
      </c>
      <c r="AJ299" s="15">
        <f t="shared" si="207"/>
        <v>1</v>
      </c>
      <c r="AK299" s="15">
        <f t="shared" si="208"/>
        <v>1</v>
      </c>
      <c r="AL299" s="15">
        <f t="shared" si="209"/>
        <v>1</v>
      </c>
      <c r="AM299" s="15">
        <f t="shared" si="210"/>
        <v>1</v>
      </c>
      <c r="AN299" s="15">
        <f t="shared" si="211"/>
        <v>1</v>
      </c>
      <c r="AO299" s="15">
        <f t="shared" si="212"/>
        <v>1</v>
      </c>
      <c r="AP299" s="15">
        <f t="shared" si="213"/>
        <v>1</v>
      </c>
      <c r="AQ299" s="15">
        <f t="shared" si="214"/>
        <v>1</v>
      </c>
      <c r="AR299" s="15">
        <f t="shared" si="215"/>
        <v>1</v>
      </c>
      <c r="AS299" s="15">
        <f t="shared" si="216"/>
        <v>1</v>
      </c>
      <c r="AT299" s="15">
        <f t="shared" si="217"/>
        <v>1</v>
      </c>
      <c r="AU299" s="15">
        <f t="shared" si="218"/>
        <v>1</v>
      </c>
      <c r="AV299" s="15">
        <f t="shared" si="219"/>
        <v>1</v>
      </c>
      <c r="AW299" s="15">
        <f t="shared" si="220"/>
        <v>1</v>
      </c>
      <c r="AX299" s="15">
        <f t="shared" si="221"/>
        <v>1</v>
      </c>
      <c r="AY299" s="15">
        <f t="shared" si="222"/>
        <v>1</v>
      </c>
      <c r="AZ299" s="15">
        <f t="shared" si="223"/>
        <v>1</v>
      </c>
      <c r="BA299" s="15">
        <f t="shared" si="224"/>
        <v>1</v>
      </c>
      <c r="BB299" s="15">
        <f t="shared" si="187"/>
        <v>0</v>
      </c>
      <c r="BC299" s="15" t="str">
        <f t="shared" si="188"/>
        <v/>
      </c>
      <c r="BD299" s="15" t="str">
        <f t="shared" si="189"/>
        <v/>
      </c>
      <c r="BE299" s="11" t="e">
        <f t="shared" si="225"/>
        <v>#VALUE!</v>
      </c>
      <c r="BF299" s="11" t="e">
        <f t="shared" si="226"/>
        <v>#VALUE!</v>
      </c>
      <c r="BG299" s="11" t="e">
        <f t="shared" si="227"/>
        <v>#VALUE!</v>
      </c>
      <c r="BH299" t="str">
        <f t="shared" si="228"/>
        <v/>
      </c>
      <c r="BI299" t="str" cm="1">
        <f t="array" ref="BI299">_xlfn.IFS(
  L299&gt;0,"Critical Fail",
  M299&gt;0,"Important (Coaching)",
  TRUE,"Clean Pass"
)</f>
        <v>Clean Pass</v>
      </c>
      <c r="BJ299" t="str">
        <f t="shared" si="229"/>
        <v>NA</v>
      </c>
    </row>
    <row r="300" spans="1:62" x14ac:dyDescent="0.3">
      <c r="A300">
        <v>312675</v>
      </c>
      <c r="K300" t="str">
        <f t="shared" si="156"/>
        <v>Pass</v>
      </c>
      <c r="L300" s="15">
        <f t="shared" si="195"/>
        <v>0</v>
      </c>
      <c r="M300" s="15">
        <f t="shared" si="196"/>
        <v>0</v>
      </c>
      <c r="Z300" s="15">
        <f t="shared" si="197"/>
        <v>1</v>
      </c>
      <c r="AA300" s="15">
        <f t="shared" si="198"/>
        <v>1</v>
      </c>
      <c r="AB300" s="15">
        <f t="shared" si="199"/>
        <v>1</v>
      </c>
      <c r="AC300" s="15">
        <f t="shared" si="200"/>
        <v>1</v>
      </c>
      <c r="AD300" s="15">
        <f t="shared" si="201"/>
        <v>1</v>
      </c>
      <c r="AE300" s="15">
        <f t="shared" si="202"/>
        <v>1</v>
      </c>
      <c r="AF300" s="15">
        <f t="shared" si="203"/>
        <v>1</v>
      </c>
      <c r="AG300" s="15">
        <f t="shared" si="204"/>
        <v>1</v>
      </c>
      <c r="AH300" s="15">
        <f t="shared" si="205"/>
        <v>1</v>
      </c>
      <c r="AI300" s="15">
        <f t="shared" si="206"/>
        <v>1</v>
      </c>
      <c r="AJ300" s="15">
        <f t="shared" si="207"/>
        <v>1</v>
      </c>
      <c r="AK300" s="15">
        <f t="shared" si="208"/>
        <v>1</v>
      </c>
      <c r="AL300" s="15">
        <f t="shared" si="209"/>
        <v>1</v>
      </c>
      <c r="AM300" s="15">
        <f t="shared" si="210"/>
        <v>1</v>
      </c>
      <c r="AN300" s="15">
        <f t="shared" si="211"/>
        <v>1</v>
      </c>
      <c r="AO300" s="15">
        <f t="shared" si="212"/>
        <v>1</v>
      </c>
      <c r="AP300" s="15">
        <f t="shared" si="213"/>
        <v>1</v>
      </c>
      <c r="AQ300" s="15">
        <f t="shared" si="214"/>
        <v>1</v>
      </c>
      <c r="AR300" s="15">
        <f t="shared" si="215"/>
        <v>1</v>
      </c>
      <c r="AS300" s="15">
        <f t="shared" si="216"/>
        <v>1</v>
      </c>
      <c r="AT300" s="15">
        <f t="shared" si="217"/>
        <v>1</v>
      </c>
      <c r="AU300" s="15">
        <f t="shared" si="218"/>
        <v>1</v>
      </c>
      <c r="AV300" s="15">
        <f t="shared" si="219"/>
        <v>1</v>
      </c>
      <c r="AW300" s="15">
        <f t="shared" si="220"/>
        <v>1</v>
      </c>
      <c r="AX300" s="15">
        <f t="shared" si="221"/>
        <v>1</v>
      </c>
      <c r="AY300" s="15">
        <f t="shared" si="222"/>
        <v>1</v>
      </c>
      <c r="AZ300" s="15">
        <f t="shared" si="223"/>
        <v>1</v>
      </c>
      <c r="BA300" s="15">
        <f t="shared" si="224"/>
        <v>1</v>
      </c>
      <c r="BB300" s="15">
        <f t="shared" si="187"/>
        <v>0</v>
      </c>
      <c r="BC300" s="15" t="str">
        <f t="shared" si="188"/>
        <v/>
      </c>
      <c r="BD300" s="15" t="str">
        <f t="shared" si="189"/>
        <v/>
      </c>
      <c r="BE300" s="11" t="e">
        <f t="shared" si="225"/>
        <v>#VALUE!</v>
      </c>
      <c r="BF300" s="11" t="e">
        <f t="shared" si="226"/>
        <v>#VALUE!</v>
      </c>
      <c r="BG300" s="11" t="e">
        <f t="shared" si="227"/>
        <v>#VALUE!</v>
      </c>
      <c r="BH300" t="str">
        <f t="shared" si="228"/>
        <v/>
      </c>
      <c r="BI300" t="str" cm="1">
        <f t="array" ref="BI300">_xlfn.IFS(
  L300&gt;0,"Critical Fail",
  M300&gt;0,"Important (Coaching)",
  TRUE,"Clean Pass"
)</f>
        <v>Clean Pass</v>
      </c>
      <c r="BJ300" t="str">
        <f t="shared" si="229"/>
        <v>NA</v>
      </c>
    </row>
    <row r="301" spans="1:62" x14ac:dyDescent="0.3">
      <c r="A301">
        <v>217720</v>
      </c>
      <c r="K301" t="str">
        <f t="shared" si="156"/>
        <v>Pass</v>
      </c>
      <c r="L301" s="15">
        <f t="shared" si="195"/>
        <v>0</v>
      </c>
      <c r="M301" s="15">
        <f t="shared" si="196"/>
        <v>0</v>
      </c>
      <c r="Z301" s="15">
        <f t="shared" si="197"/>
        <v>1</v>
      </c>
      <c r="AA301" s="15">
        <f t="shared" si="198"/>
        <v>1</v>
      </c>
      <c r="AB301" s="15">
        <f t="shared" si="199"/>
        <v>1</v>
      </c>
      <c r="AC301" s="15">
        <f t="shared" si="200"/>
        <v>1</v>
      </c>
      <c r="AD301" s="15">
        <f t="shared" si="201"/>
        <v>1</v>
      </c>
      <c r="AE301" s="15">
        <f t="shared" si="202"/>
        <v>1</v>
      </c>
      <c r="AF301" s="15">
        <f t="shared" si="203"/>
        <v>1</v>
      </c>
      <c r="AG301" s="15">
        <f t="shared" si="204"/>
        <v>1</v>
      </c>
      <c r="AH301" s="15">
        <f t="shared" si="205"/>
        <v>1</v>
      </c>
      <c r="AI301" s="15">
        <f t="shared" si="206"/>
        <v>1</v>
      </c>
      <c r="AJ301" s="15">
        <f t="shared" si="207"/>
        <v>1</v>
      </c>
      <c r="AK301" s="15">
        <f t="shared" si="208"/>
        <v>1</v>
      </c>
      <c r="AL301" s="15">
        <f t="shared" si="209"/>
        <v>1</v>
      </c>
      <c r="AM301" s="15">
        <f t="shared" si="210"/>
        <v>1</v>
      </c>
      <c r="AN301" s="15">
        <f t="shared" si="211"/>
        <v>1</v>
      </c>
      <c r="AO301" s="15">
        <f t="shared" si="212"/>
        <v>1</v>
      </c>
      <c r="AP301" s="15">
        <f t="shared" si="213"/>
        <v>1</v>
      </c>
      <c r="AQ301" s="15">
        <f t="shared" si="214"/>
        <v>1</v>
      </c>
      <c r="AR301" s="15">
        <f t="shared" si="215"/>
        <v>1</v>
      </c>
      <c r="AS301" s="15">
        <f t="shared" si="216"/>
        <v>1</v>
      </c>
      <c r="AT301" s="15">
        <f t="shared" si="217"/>
        <v>1</v>
      </c>
      <c r="AU301" s="15">
        <f t="shared" si="218"/>
        <v>1</v>
      </c>
      <c r="AV301" s="15">
        <f t="shared" si="219"/>
        <v>1</v>
      </c>
      <c r="AW301" s="15">
        <f t="shared" si="220"/>
        <v>1</v>
      </c>
      <c r="AX301" s="15">
        <f t="shared" si="221"/>
        <v>1</v>
      </c>
      <c r="AY301" s="15">
        <f t="shared" si="222"/>
        <v>1</v>
      </c>
      <c r="AZ301" s="15">
        <f t="shared" si="223"/>
        <v>1</v>
      </c>
      <c r="BA301" s="15">
        <f t="shared" si="224"/>
        <v>1</v>
      </c>
      <c r="BB301" s="15">
        <f t="shared" si="187"/>
        <v>0</v>
      </c>
      <c r="BC301" s="15" t="str">
        <f t="shared" si="188"/>
        <v/>
      </c>
      <c r="BD301" s="15" t="str">
        <f t="shared" si="189"/>
        <v/>
      </c>
      <c r="BE301" s="11" t="e">
        <f t="shared" si="225"/>
        <v>#VALUE!</v>
      </c>
      <c r="BF301" s="11" t="e">
        <f t="shared" si="226"/>
        <v>#VALUE!</v>
      </c>
      <c r="BG301" s="11" t="e">
        <f t="shared" si="227"/>
        <v>#VALUE!</v>
      </c>
      <c r="BH301" t="str">
        <f t="shared" si="228"/>
        <v/>
      </c>
      <c r="BI301" t="str" cm="1">
        <f t="array" ref="BI301">_xlfn.IFS(
  L301&gt;0,"Critical Fail",
  M301&gt;0,"Important (Coaching)",
  TRUE,"Clean Pass"
)</f>
        <v>Clean Pass</v>
      </c>
      <c r="BJ301" t="str">
        <f t="shared" si="229"/>
        <v>NA</v>
      </c>
    </row>
    <row r="302" spans="1:62" x14ac:dyDescent="0.3">
      <c r="A302">
        <v>204098</v>
      </c>
      <c r="K302" t="str">
        <f t="shared" si="156"/>
        <v>Pass</v>
      </c>
      <c r="L302" s="15">
        <f t="shared" si="195"/>
        <v>0</v>
      </c>
      <c r="M302" s="15">
        <f t="shared" si="196"/>
        <v>0</v>
      </c>
      <c r="Z302" s="15">
        <f t="shared" si="197"/>
        <v>1</v>
      </c>
      <c r="AA302" s="15">
        <f t="shared" si="198"/>
        <v>1</v>
      </c>
      <c r="AB302" s="15">
        <f t="shared" si="199"/>
        <v>1</v>
      </c>
      <c r="AC302" s="15">
        <f t="shared" si="200"/>
        <v>1</v>
      </c>
      <c r="AD302" s="15">
        <f t="shared" si="201"/>
        <v>1</v>
      </c>
      <c r="AE302" s="15">
        <f t="shared" si="202"/>
        <v>1</v>
      </c>
      <c r="AF302" s="15">
        <f t="shared" si="203"/>
        <v>1</v>
      </c>
      <c r="AG302" s="15">
        <f t="shared" si="204"/>
        <v>1</v>
      </c>
      <c r="AH302" s="15">
        <f t="shared" si="205"/>
        <v>1</v>
      </c>
      <c r="AI302" s="15">
        <f t="shared" si="206"/>
        <v>1</v>
      </c>
      <c r="AJ302" s="15">
        <f t="shared" si="207"/>
        <v>1</v>
      </c>
      <c r="AK302" s="15">
        <f t="shared" si="208"/>
        <v>1</v>
      </c>
      <c r="AL302" s="15">
        <f t="shared" si="209"/>
        <v>1</v>
      </c>
      <c r="AM302" s="15">
        <f t="shared" si="210"/>
        <v>1</v>
      </c>
      <c r="AN302" s="15">
        <f t="shared" si="211"/>
        <v>1</v>
      </c>
      <c r="AO302" s="15">
        <f t="shared" si="212"/>
        <v>1</v>
      </c>
      <c r="AP302" s="15">
        <f t="shared" si="213"/>
        <v>1</v>
      </c>
      <c r="AQ302" s="15">
        <f t="shared" si="214"/>
        <v>1</v>
      </c>
      <c r="AR302" s="15">
        <f t="shared" si="215"/>
        <v>1</v>
      </c>
      <c r="AS302" s="15">
        <f t="shared" si="216"/>
        <v>1</v>
      </c>
      <c r="AT302" s="15">
        <f t="shared" si="217"/>
        <v>1</v>
      </c>
      <c r="AU302" s="15">
        <f t="shared" si="218"/>
        <v>1</v>
      </c>
      <c r="AV302" s="15">
        <f t="shared" si="219"/>
        <v>1</v>
      </c>
      <c r="AW302" s="15">
        <f t="shared" si="220"/>
        <v>1</v>
      </c>
      <c r="AX302" s="15">
        <f t="shared" si="221"/>
        <v>1</v>
      </c>
      <c r="AY302" s="15">
        <f t="shared" si="222"/>
        <v>1</v>
      </c>
      <c r="AZ302" s="15">
        <f t="shared" si="223"/>
        <v>1</v>
      </c>
      <c r="BA302" s="15">
        <f t="shared" si="224"/>
        <v>1</v>
      </c>
      <c r="BB302" s="15">
        <f t="shared" si="187"/>
        <v>0</v>
      </c>
      <c r="BC302" s="15" t="str">
        <f t="shared" si="188"/>
        <v/>
      </c>
      <c r="BD302" s="15" t="str">
        <f t="shared" si="189"/>
        <v/>
      </c>
      <c r="BE302" s="11" t="e">
        <f t="shared" si="225"/>
        <v>#VALUE!</v>
      </c>
      <c r="BF302" s="11" t="e">
        <f t="shared" si="226"/>
        <v>#VALUE!</v>
      </c>
      <c r="BG302" s="11" t="e">
        <f t="shared" si="227"/>
        <v>#VALUE!</v>
      </c>
      <c r="BH302" t="str">
        <f t="shared" si="228"/>
        <v/>
      </c>
      <c r="BI302" t="str" cm="1">
        <f t="array" ref="BI302">_xlfn.IFS(
  L302&gt;0,"Critical Fail",
  M302&gt;0,"Important (Coaching)",
  TRUE,"Clean Pass"
)</f>
        <v>Clean Pass</v>
      </c>
      <c r="BJ302" t="str">
        <f t="shared" si="229"/>
        <v>NA</v>
      </c>
    </row>
    <row r="303" spans="1:62" x14ac:dyDescent="0.3">
      <c r="A303">
        <v>966305</v>
      </c>
      <c r="K303" t="str">
        <f t="shared" si="156"/>
        <v>Pass</v>
      </c>
      <c r="L303" s="15">
        <f t="shared" si="195"/>
        <v>0</v>
      </c>
      <c r="M303" s="15">
        <f t="shared" si="196"/>
        <v>0</v>
      </c>
      <c r="Z303" s="15">
        <f t="shared" si="197"/>
        <v>1</v>
      </c>
      <c r="AA303" s="15">
        <f t="shared" si="198"/>
        <v>1</v>
      </c>
      <c r="AB303" s="15">
        <f t="shared" si="199"/>
        <v>1</v>
      </c>
      <c r="AC303" s="15">
        <f t="shared" si="200"/>
        <v>1</v>
      </c>
      <c r="AD303" s="15">
        <f t="shared" si="201"/>
        <v>1</v>
      </c>
      <c r="AE303" s="15">
        <f t="shared" si="202"/>
        <v>1</v>
      </c>
      <c r="AF303" s="15">
        <f t="shared" si="203"/>
        <v>1</v>
      </c>
      <c r="AG303" s="15">
        <f t="shared" si="204"/>
        <v>1</v>
      </c>
      <c r="AH303" s="15">
        <f t="shared" si="205"/>
        <v>1</v>
      </c>
      <c r="AI303" s="15">
        <f t="shared" si="206"/>
        <v>1</v>
      </c>
      <c r="AJ303" s="15">
        <f t="shared" si="207"/>
        <v>1</v>
      </c>
      <c r="AK303" s="15">
        <f t="shared" si="208"/>
        <v>1</v>
      </c>
      <c r="AL303" s="15">
        <f t="shared" si="209"/>
        <v>1</v>
      </c>
      <c r="AM303" s="15">
        <f t="shared" si="210"/>
        <v>1</v>
      </c>
      <c r="AN303" s="15">
        <f t="shared" si="211"/>
        <v>1</v>
      </c>
      <c r="AO303" s="15">
        <f t="shared" si="212"/>
        <v>1</v>
      </c>
      <c r="AP303" s="15">
        <f t="shared" si="213"/>
        <v>1</v>
      </c>
      <c r="AQ303" s="15">
        <f t="shared" si="214"/>
        <v>1</v>
      </c>
      <c r="AR303" s="15">
        <f t="shared" si="215"/>
        <v>1</v>
      </c>
      <c r="AS303" s="15">
        <f t="shared" si="216"/>
        <v>1</v>
      </c>
      <c r="AT303" s="15">
        <f t="shared" si="217"/>
        <v>1</v>
      </c>
      <c r="AU303" s="15">
        <f t="shared" si="218"/>
        <v>1</v>
      </c>
      <c r="AV303" s="15">
        <f t="shared" si="219"/>
        <v>1</v>
      </c>
      <c r="AW303" s="15">
        <f t="shared" si="220"/>
        <v>1</v>
      </c>
      <c r="AX303" s="15">
        <f t="shared" si="221"/>
        <v>1</v>
      </c>
      <c r="AY303" s="15">
        <f t="shared" si="222"/>
        <v>1</v>
      </c>
      <c r="AZ303" s="15">
        <f t="shared" si="223"/>
        <v>1</v>
      </c>
      <c r="BA303" s="15">
        <f t="shared" si="224"/>
        <v>1</v>
      </c>
      <c r="BB303" s="15">
        <f t="shared" si="187"/>
        <v>0</v>
      </c>
      <c r="BC303" s="15" t="str">
        <f t="shared" si="188"/>
        <v/>
      </c>
      <c r="BD303" s="15" t="str">
        <f t="shared" si="189"/>
        <v/>
      </c>
      <c r="BE303" s="11" t="e">
        <f t="shared" si="225"/>
        <v>#VALUE!</v>
      </c>
      <c r="BF303" s="11" t="e">
        <f t="shared" si="226"/>
        <v>#VALUE!</v>
      </c>
      <c r="BG303" s="11" t="e">
        <f t="shared" si="227"/>
        <v>#VALUE!</v>
      </c>
      <c r="BH303" t="str">
        <f t="shared" si="228"/>
        <v/>
      </c>
      <c r="BI303" t="str" cm="1">
        <f t="array" ref="BI303">_xlfn.IFS(
  L303&gt;0,"Critical Fail",
  M303&gt;0,"Important (Coaching)",
  TRUE,"Clean Pass"
)</f>
        <v>Clean Pass</v>
      </c>
      <c r="BJ303" t="str">
        <f t="shared" si="229"/>
        <v>NA</v>
      </c>
    </row>
    <row r="304" spans="1:62" x14ac:dyDescent="0.3">
      <c r="A304">
        <v>543297</v>
      </c>
      <c r="K304" t="str">
        <f t="shared" si="156"/>
        <v>Pass</v>
      </c>
      <c r="L304" s="15">
        <f t="shared" si="195"/>
        <v>0</v>
      </c>
      <c r="M304" s="15">
        <f t="shared" si="196"/>
        <v>0</v>
      </c>
      <c r="Z304" s="15">
        <f t="shared" si="197"/>
        <v>1</v>
      </c>
      <c r="AA304" s="15">
        <f t="shared" si="198"/>
        <v>1</v>
      </c>
      <c r="AB304" s="15">
        <f t="shared" si="199"/>
        <v>1</v>
      </c>
      <c r="AC304" s="15">
        <f t="shared" si="200"/>
        <v>1</v>
      </c>
      <c r="AD304" s="15">
        <f t="shared" si="201"/>
        <v>1</v>
      </c>
      <c r="AE304" s="15">
        <f t="shared" si="202"/>
        <v>1</v>
      </c>
      <c r="AF304" s="15">
        <f t="shared" si="203"/>
        <v>1</v>
      </c>
      <c r="AG304" s="15">
        <f t="shared" si="204"/>
        <v>1</v>
      </c>
      <c r="AH304" s="15">
        <f t="shared" si="205"/>
        <v>1</v>
      </c>
      <c r="AI304" s="15">
        <f t="shared" si="206"/>
        <v>1</v>
      </c>
      <c r="AJ304" s="15">
        <f t="shared" si="207"/>
        <v>1</v>
      </c>
      <c r="AK304" s="15">
        <f t="shared" si="208"/>
        <v>1</v>
      </c>
      <c r="AL304" s="15">
        <f t="shared" si="209"/>
        <v>1</v>
      </c>
      <c r="AM304" s="15">
        <f t="shared" si="210"/>
        <v>1</v>
      </c>
      <c r="AN304" s="15">
        <f t="shared" si="211"/>
        <v>1</v>
      </c>
      <c r="AO304" s="15">
        <f t="shared" si="212"/>
        <v>1</v>
      </c>
      <c r="AP304" s="15">
        <f t="shared" si="213"/>
        <v>1</v>
      </c>
      <c r="AQ304" s="15">
        <f t="shared" si="214"/>
        <v>1</v>
      </c>
      <c r="AR304" s="15">
        <f t="shared" si="215"/>
        <v>1</v>
      </c>
      <c r="AS304" s="15">
        <f t="shared" si="216"/>
        <v>1</v>
      </c>
      <c r="AT304" s="15">
        <f t="shared" si="217"/>
        <v>1</v>
      </c>
      <c r="AU304" s="15">
        <f t="shared" si="218"/>
        <v>1</v>
      </c>
      <c r="AV304" s="15">
        <f t="shared" si="219"/>
        <v>1</v>
      </c>
      <c r="AW304" s="15">
        <f t="shared" si="220"/>
        <v>1</v>
      </c>
      <c r="AX304" s="15">
        <f t="shared" si="221"/>
        <v>1</v>
      </c>
      <c r="AY304" s="15">
        <f t="shared" si="222"/>
        <v>1</v>
      </c>
      <c r="AZ304" s="15">
        <f t="shared" si="223"/>
        <v>1</v>
      </c>
      <c r="BA304" s="15">
        <f t="shared" si="224"/>
        <v>1</v>
      </c>
      <c r="BB304" s="15">
        <f t="shared" si="187"/>
        <v>0</v>
      </c>
      <c r="BC304" s="15" t="str">
        <f t="shared" si="188"/>
        <v/>
      </c>
      <c r="BD304" s="15" t="str">
        <f t="shared" si="189"/>
        <v/>
      </c>
      <c r="BE304" s="11" t="e">
        <f t="shared" si="225"/>
        <v>#VALUE!</v>
      </c>
      <c r="BF304" s="11" t="e">
        <f t="shared" si="226"/>
        <v>#VALUE!</v>
      </c>
      <c r="BG304" s="11" t="e">
        <f t="shared" si="227"/>
        <v>#VALUE!</v>
      </c>
      <c r="BH304" t="str">
        <f t="shared" si="228"/>
        <v/>
      </c>
      <c r="BI304" t="str" cm="1">
        <f t="array" ref="BI304">_xlfn.IFS(
  L304&gt;0,"Critical Fail",
  M304&gt;0,"Important (Coaching)",
  TRUE,"Clean Pass"
)</f>
        <v>Clean Pass</v>
      </c>
      <c r="BJ304" t="str">
        <f t="shared" si="229"/>
        <v>NA</v>
      </c>
    </row>
    <row r="305" spans="1:62" x14ac:dyDescent="0.3">
      <c r="A305">
        <v>425688</v>
      </c>
      <c r="K305" t="str">
        <f t="shared" si="156"/>
        <v>Pass</v>
      </c>
      <c r="L305" s="15">
        <f t="shared" si="195"/>
        <v>0</v>
      </c>
      <c r="M305" s="15">
        <f t="shared" si="196"/>
        <v>0</v>
      </c>
      <c r="Z305" s="15">
        <f t="shared" si="197"/>
        <v>1</v>
      </c>
      <c r="AA305" s="15">
        <f t="shared" si="198"/>
        <v>1</v>
      </c>
      <c r="AB305" s="15">
        <f t="shared" si="199"/>
        <v>1</v>
      </c>
      <c r="AC305" s="15">
        <f t="shared" si="200"/>
        <v>1</v>
      </c>
      <c r="AD305" s="15">
        <f t="shared" si="201"/>
        <v>1</v>
      </c>
      <c r="AE305" s="15">
        <f t="shared" si="202"/>
        <v>1</v>
      </c>
      <c r="AF305" s="15">
        <f t="shared" si="203"/>
        <v>1</v>
      </c>
      <c r="AG305" s="15">
        <f t="shared" si="204"/>
        <v>1</v>
      </c>
      <c r="AH305" s="15">
        <f t="shared" si="205"/>
        <v>1</v>
      </c>
      <c r="AI305" s="15">
        <f t="shared" si="206"/>
        <v>1</v>
      </c>
      <c r="AJ305" s="15">
        <f t="shared" si="207"/>
        <v>1</v>
      </c>
      <c r="AK305" s="15">
        <f t="shared" si="208"/>
        <v>1</v>
      </c>
      <c r="AL305" s="15">
        <f t="shared" si="209"/>
        <v>1</v>
      </c>
      <c r="AM305" s="15">
        <f t="shared" si="210"/>
        <v>1</v>
      </c>
      <c r="AN305" s="15">
        <f t="shared" si="211"/>
        <v>1</v>
      </c>
      <c r="AO305" s="15">
        <f t="shared" si="212"/>
        <v>1</v>
      </c>
      <c r="AP305" s="15">
        <f t="shared" si="213"/>
        <v>1</v>
      </c>
      <c r="AQ305" s="15">
        <f t="shared" si="214"/>
        <v>1</v>
      </c>
      <c r="AR305" s="15">
        <f t="shared" si="215"/>
        <v>1</v>
      </c>
      <c r="AS305" s="15">
        <f t="shared" si="216"/>
        <v>1</v>
      </c>
      <c r="AT305" s="15">
        <f t="shared" si="217"/>
        <v>1</v>
      </c>
      <c r="AU305" s="15">
        <f t="shared" si="218"/>
        <v>1</v>
      </c>
      <c r="AV305" s="15">
        <f t="shared" si="219"/>
        <v>1</v>
      </c>
      <c r="AW305" s="15">
        <f t="shared" si="220"/>
        <v>1</v>
      </c>
      <c r="AX305" s="15">
        <f t="shared" si="221"/>
        <v>1</v>
      </c>
      <c r="AY305" s="15">
        <f t="shared" si="222"/>
        <v>1</v>
      </c>
      <c r="AZ305" s="15">
        <f t="shared" si="223"/>
        <v>1</v>
      </c>
      <c r="BA305" s="15">
        <f t="shared" si="224"/>
        <v>1</v>
      </c>
      <c r="BB305" s="15">
        <f t="shared" si="187"/>
        <v>0</v>
      </c>
      <c r="BC305" s="15" t="str">
        <f t="shared" si="188"/>
        <v/>
      </c>
      <c r="BD305" s="15" t="str">
        <f t="shared" si="189"/>
        <v/>
      </c>
      <c r="BE305" s="11" t="e">
        <f t="shared" si="225"/>
        <v>#VALUE!</v>
      </c>
      <c r="BF305" s="11" t="e">
        <f t="shared" si="226"/>
        <v>#VALUE!</v>
      </c>
      <c r="BG305" s="11" t="e">
        <f t="shared" si="227"/>
        <v>#VALUE!</v>
      </c>
      <c r="BH305" t="str">
        <f t="shared" si="228"/>
        <v/>
      </c>
      <c r="BI305" t="str" cm="1">
        <f t="array" ref="BI305">_xlfn.IFS(
  L305&gt;0,"Critical Fail",
  M305&gt;0,"Important (Coaching)",
  TRUE,"Clean Pass"
)</f>
        <v>Clean Pass</v>
      </c>
      <c r="BJ305" t="str">
        <f t="shared" si="229"/>
        <v>NA</v>
      </c>
    </row>
    <row r="306" spans="1:62" x14ac:dyDescent="0.3">
      <c r="A306">
        <v>309003</v>
      </c>
      <c r="K306" t="str">
        <f t="shared" si="156"/>
        <v>Pass</v>
      </c>
      <c r="L306" s="15">
        <f t="shared" si="195"/>
        <v>0</v>
      </c>
      <c r="M306" s="15">
        <f t="shared" si="196"/>
        <v>0</v>
      </c>
      <c r="Z306" s="15">
        <f t="shared" si="197"/>
        <v>1</v>
      </c>
      <c r="AA306" s="15">
        <f t="shared" si="198"/>
        <v>1</v>
      </c>
      <c r="AB306" s="15">
        <f t="shared" si="199"/>
        <v>1</v>
      </c>
      <c r="AC306" s="15">
        <f t="shared" si="200"/>
        <v>1</v>
      </c>
      <c r="AD306" s="15">
        <f t="shared" si="201"/>
        <v>1</v>
      </c>
      <c r="AE306" s="15">
        <f t="shared" si="202"/>
        <v>1</v>
      </c>
      <c r="AF306" s="15">
        <f t="shared" si="203"/>
        <v>1</v>
      </c>
      <c r="AG306" s="15">
        <f t="shared" si="204"/>
        <v>1</v>
      </c>
      <c r="AH306" s="15">
        <f t="shared" si="205"/>
        <v>1</v>
      </c>
      <c r="AI306" s="15">
        <f t="shared" si="206"/>
        <v>1</v>
      </c>
      <c r="AJ306" s="15">
        <f t="shared" si="207"/>
        <v>1</v>
      </c>
      <c r="AK306" s="15">
        <f t="shared" si="208"/>
        <v>1</v>
      </c>
      <c r="AL306" s="15">
        <f t="shared" si="209"/>
        <v>1</v>
      </c>
      <c r="AM306" s="15">
        <f t="shared" si="210"/>
        <v>1</v>
      </c>
      <c r="AN306" s="15">
        <f t="shared" si="211"/>
        <v>1</v>
      </c>
      <c r="AO306" s="15">
        <f t="shared" si="212"/>
        <v>1</v>
      </c>
      <c r="AP306" s="15">
        <f t="shared" si="213"/>
        <v>1</v>
      </c>
      <c r="AQ306" s="15">
        <f t="shared" si="214"/>
        <v>1</v>
      </c>
      <c r="AR306" s="15">
        <f t="shared" si="215"/>
        <v>1</v>
      </c>
      <c r="AS306" s="15">
        <f t="shared" si="216"/>
        <v>1</v>
      </c>
      <c r="AT306" s="15">
        <f t="shared" si="217"/>
        <v>1</v>
      </c>
      <c r="AU306" s="15">
        <f t="shared" si="218"/>
        <v>1</v>
      </c>
      <c r="AV306" s="15">
        <f t="shared" si="219"/>
        <v>1</v>
      </c>
      <c r="AW306" s="15">
        <f t="shared" si="220"/>
        <v>1</v>
      </c>
      <c r="AX306" s="15">
        <f t="shared" si="221"/>
        <v>1</v>
      </c>
      <c r="AY306" s="15">
        <f t="shared" si="222"/>
        <v>1</v>
      </c>
      <c r="AZ306" s="15">
        <f t="shared" si="223"/>
        <v>1</v>
      </c>
      <c r="BA306" s="15">
        <f t="shared" si="224"/>
        <v>1</v>
      </c>
      <c r="BB306" s="15">
        <f t="shared" si="187"/>
        <v>0</v>
      </c>
      <c r="BC306" s="15" t="str">
        <f t="shared" si="188"/>
        <v/>
      </c>
      <c r="BD306" s="15" t="str">
        <f t="shared" si="189"/>
        <v/>
      </c>
      <c r="BE306" s="11" t="e">
        <f t="shared" si="225"/>
        <v>#VALUE!</v>
      </c>
      <c r="BF306" s="11" t="e">
        <f t="shared" si="226"/>
        <v>#VALUE!</v>
      </c>
      <c r="BG306" s="11" t="e">
        <f t="shared" si="227"/>
        <v>#VALUE!</v>
      </c>
      <c r="BH306" t="str">
        <f t="shared" si="228"/>
        <v/>
      </c>
      <c r="BI306" t="str" cm="1">
        <f t="array" ref="BI306">_xlfn.IFS(
  L306&gt;0,"Critical Fail",
  M306&gt;0,"Important (Coaching)",
  TRUE,"Clean Pass"
)</f>
        <v>Clean Pass</v>
      </c>
      <c r="BJ306" t="str">
        <f t="shared" si="229"/>
        <v>NA</v>
      </c>
    </row>
    <row r="307" spans="1:62" x14ac:dyDescent="0.3">
      <c r="A307">
        <v>217295</v>
      </c>
      <c r="K307" t="str">
        <f t="shared" si="156"/>
        <v>Pass</v>
      </c>
      <c r="L307" s="15">
        <f t="shared" si="195"/>
        <v>0</v>
      </c>
      <c r="M307" s="15">
        <f t="shared" si="196"/>
        <v>0</v>
      </c>
      <c r="Z307" s="15">
        <f t="shared" si="197"/>
        <v>1</v>
      </c>
      <c r="AA307" s="15">
        <f t="shared" si="198"/>
        <v>1</v>
      </c>
      <c r="AB307" s="15">
        <f t="shared" si="199"/>
        <v>1</v>
      </c>
      <c r="AC307" s="15">
        <f t="shared" si="200"/>
        <v>1</v>
      </c>
      <c r="AD307" s="15">
        <f t="shared" si="201"/>
        <v>1</v>
      </c>
      <c r="AE307" s="15">
        <f t="shared" si="202"/>
        <v>1</v>
      </c>
      <c r="AF307" s="15">
        <f t="shared" si="203"/>
        <v>1</v>
      </c>
      <c r="AG307" s="15">
        <f t="shared" si="204"/>
        <v>1</v>
      </c>
      <c r="AH307" s="15">
        <f t="shared" si="205"/>
        <v>1</v>
      </c>
      <c r="AI307" s="15">
        <f t="shared" si="206"/>
        <v>1</v>
      </c>
      <c r="AJ307" s="15">
        <f t="shared" si="207"/>
        <v>1</v>
      </c>
      <c r="AK307" s="15">
        <f t="shared" si="208"/>
        <v>1</v>
      </c>
      <c r="AL307" s="15">
        <f t="shared" si="209"/>
        <v>1</v>
      </c>
      <c r="AM307" s="15">
        <f t="shared" si="210"/>
        <v>1</v>
      </c>
      <c r="AN307" s="15">
        <f t="shared" si="211"/>
        <v>1</v>
      </c>
      <c r="AO307" s="15">
        <f t="shared" si="212"/>
        <v>1</v>
      </c>
      <c r="AP307" s="15">
        <f t="shared" si="213"/>
        <v>1</v>
      </c>
      <c r="AQ307" s="15">
        <f t="shared" si="214"/>
        <v>1</v>
      </c>
      <c r="AR307" s="15">
        <f t="shared" si="215"/>
        <v>1</v>
      </c>
      <c r="AS307" s="15">
        <f t="shared" si="216"/>
        <v>1</v>
      </c>
      <c r="AT307" s="15">
        <f t="shared" si="217"/>
        <v>1</v>
      </c>
      <c r="AU307" s="15">
        <f t="shared" si="218"/>
        <v>1</v>
      </c>
      <c r="AV307" s="15">
        <f t="shared" si="219"/>
        <v>1</v>
      </c>
      <c r="AW307" s="15">
        <f t="shared" si="220"/>
        <v>1</v>
      </c>
      <c r="AX307" s="15">
        <f t="shared" si="221"/>
        <v>1</v>
      </c>
      <c r="AY307" s="15">
        <f t="shared" si="222"/>
        <v>1</v>
      </c>
      <c r="AZ307" s="15">
        <f t="shared" si="223"/>
        <v>1</v>
      </c>
      <c r="BA307" s="15">
        <f t="shared" si="224"/>
        <v>1</v>
      </c>
      <c r="BB307" s="15">
        <f t="shared" si="187"/>
        <v>0</v>
      </c>
      <c r="BC307" s="15" t="str">
        <f t="shared" si="188"/>
        <v/>
      </c>
      <c r="BD307" s="15" t="str">
        <f t="shared" si="189"/>
        <v/>
      </c>
      <c r="BE307" s="11" t="e">
        <f t="shared" si="225"/>
        <v>#VALUE!</v>
      </c>
      <c r="BF307" s="11" t="e">
        <f t="shared" si="226"/>
        <v>#VALUE!</v>
      </c>
      <c r="BG307" s="11" t="e">
        <f t="shared" si="227"/>
        <v>#VALUE!</v>
      </c>
      <c r="BH307" t="str">
        <f t="shared" si="228"/>
        <v/>
      </c>
      <c r="BI307" t="str" cm="1">
        <f t="array" ref="BI307">_xlfn.IFS(
  L307&gt;0,"Critical Fail",
  M307&gt;0,"Important (Coaching)",
  TRUE,"Clean Pass"
)</f>
        <v>Clean Pass</v>
      </c>
      <c r="BJ307" t="str">
        <f t="shared" si="229"/>
        <v>NA</v>
      </c>
    </row>
    <row r="308" spans="1:62" x14ac:dyDescent="0.3">
      <c r="A308">
        <v>378891</v>
      </c>
      <c r="K308" t="str">
        <f t="shared" si="156"/>
        <v>Pass</v>
      </c>
      <c r="L308" s="15">
        <f t="shared" si="195"/>
        <v>0</v>
      </c>
      <c r="M308" s="15">
        <f t="shared" si="196"/>
        <v>0</v>
      </c>
      <c r="Z308" s="15">
        <f t="shared" si="197"/>
        <v>1</v>
      </c>
      <c r="AA308" s="15">
        <f t="shared" si="198"/>
        <v>1</v>
      </c>
      <c r="AB308" s="15">
        <f t="shared" si="199"/>
        <v>1</v>
      </c>
      <c r="AC308" s="15">
        <f t="shared" si="200"/>
        <v>1</v>
      </c>
      <c r="AD308" s="15">
        <f t="shared" si="201"/>
        <v>1</v>
      </c>
      <c r="AE308" s="15">
        <f t="shared" si="202"/>
        <v>1</v>
      </c>
      <c r="AF308" s="15">
        <f t="shared" si="203"/>
        <v>1</v>
      </c>
      <c r="AG308" s="15">
        <f t="shared" si="204"/>
        <v>1</v>
      </c>
      <c r="AH308" s="15">
        <f t="shared" si="205"/>
        <v>1</v>
      </c>
      <c r="AI308" s="15">
        <f t="shared" si="206"/>
        <v>1</v>
      </c>
      <c r="AJ308" s="15">
        <f t="shared" si="207"/>
        <v>1</v>
      </c>
      <c r="AK308" s="15">
        <f t="shared" si="208"/>
        <v>1</v>
      </c>
      <c r="AL308" s="15">
        <f t="shared" si="209"/>
        <v>1</v>
      </c>
      <c r="AM308" s="15">
        <f t="shared" si="210"/>
        <v>1</v>
      </c>
      <c r="AN308" s="15">
        <f t="shared" si="211"/>
        <v>1</v>
      </c>
      <c r="AO308" s="15">
        <f t="shared" si="212"/>
        <v>1</v>
      </c>
      <c r="AP308" s="15">
        <f t="shared" si="213"/>
        <v>1</v>
      </c>
      <c r="AQ308" s="15">
        <f t="shared" si="214"/>
        <v>1</v>
      </c>
      <c r="AR308" s="15">
        <f t="shared" si="215"/>
        <v>1</v>
      </c>
      <c r="AS308" s="15">
        <f t="shared" si="216"/>
        <v>1</v>
      </c>
      <c r="AT308" s="15">
        <f t="shared" si="217"/>
        <v>1</v>
      </c>
      <c r="AU308" s="15">
        <f t="shared" si="218"/>
        <v>1</v>
      </c>
      <c r="AV308" s="15">
        <f t="shared" si="219"/>
        <v>1</v>
      </c>
      <c r="AW308" s="15">
        <f t="shared" si="220"/>
        <v>1</v>
      </c>
      <c r="AX308" s="15">
        <f t="shared" si="221"/>
        <v>1</v>
      </c>
      <c r="AY308" s="15">
        <f t="shared" si="222"/>
        <v>1</v>
      </c>
      <c r="AZ308" s="15">
        <f t="shared" si="223"/>
        <v>1</v>
      </c>
      <c r="BA308" s="15">
        <f t="shared" si="224"/>
        <v>1</v>
      </c>
      <c r="BB308" s="15">
        <f t="shared" si="187"/>
        <v>0</v>
      </c>
      <c r="BC308" s="15" t="str">
        <f t="shared" si="188"/>
        <v/>
      </c>
      <c r="BD308" s="15" t="str">
        <f t="shared" si="189"/>
        <v/>
      </c>
      <c r="BE308" s="11" t="e">
        <f t="shared" si="225"/>
        <v>#VALUE!</v>
      </c>
      <c r="BF308" s="11" t="e">
        <f t="shared" si="226"/>
        <v>#VALUE!</v>
      </c>
      <c r="BG308" s="11" t="e">
        <f t="shared" si="227"/>
        <v>#VALUE!</v>
      </c>
      <c r="BH308" t="str">
        <f t="shared" si="228"/>
        <v/>
      </c>
      <c r="BI308" t="str" cm="1">
        <f t="array" ref="BI308">_xlfn.IFS(
  L308&gt;0,"Critical Fail",
  M308&gt;0,"Important (Coaching)",
  TRUE,"Clean Pass"
)</f>
        <v>Clean Pass</v>
      </c>
      <c r="BJ308" t="str">
        <f t="shared" si="229"/>
        <v>NA</v>
      </c>
    </row>
    <row r="309" spans="1:62" x14ac:dyDescent="0.3">
      <c r="A309">
        <v>338060</v>
      </c>
      <c r="K309" t="str">
        <f t="shared" si="156"/>
        <v>Pass</v>
      </c>
      <c r="L309" s="15">
        <f t="shared" si="195"/>
        <v>0</v>
      </c>
      <c r="M309" s="15">
        <f t="shared" si="196"/>
        <v>0</v>
      </c>
      <c r="Z309" s="15">
        <f t="shared" si="197"/>
        <v>1</v>
      </c>
      <c r="AA309" s="15">
        <f t="shared" si="198"/>
        <v>1</v>
      </c>
      <c r="AB309" s="15">
        <f t="shared" si="199"/>
        <v>1</v>
      </c>
      <c r="AC309" s="15">
        <f t="shared" si="200"/>
        <v>1</v>
      </c>
      <c r="AD309" s="15">
        <f t="shared" si="201"/>
        <v>1</v>
      </c>
      <c r="AE309" s="15">
        <f t="shared" si="202"/>
        <v>1</v>
      </c>
      <c r="AF309" s="15">
        <f t="shared" si="203"/>
        <v>1</v>
      </c>
      <c r="AG309" s="15">
        <f t="shared" si="204"/>
        <v>1</v>
      </c>
      <c r="AH309" s="15">
        <f t="shared" si="205"/>
        <v>1</v>
      </c>
      <c r="AI309" s="15">
        <f t="shared" si="206"/>
        <v>1</v>
      </c>
      <c r="AJ309" s="15">
        <f t="shared" si="207"/>
        <v>1</v>
      </c>
      <c r="AK309" s="15">
        <f t="shared" si="208"/>
        <v>1</v>
      </c>
      <c r="AL309" s="15">
        <f t="shared" si="209"/>
        <v>1</v>
      </c>
      <c r="AM309" s="15">
        <f t="shared" si="210"/>
        <v>1</v>
      </c>
      <c r="AN309" s="15">
        <f t="shared" si="211"/>
        <v>1</v>
      </c>
      <c r="AO309" s="15">
        <f t="shared" si="212"/>
        <v>1</v>
      </c>
      <c r="AP309" s="15">
        <f t="shared" si="213"/>
        <v>1</v>
      </c>
      <c r="AQ309" s="15">
        <f t="shared" si="214"/>
        <v>1</v>
      </c>
      <c r="AR309" s="15">
        <f t="shared" si="215"/>
        <v>1</v>
      </c>
      <c r="AS309" s="15">
        <f t="shared" si="216"/>
        <v>1</v>
      </c>
      <c r="AT309" s="15">
        <f t="shared" si="217"/>
        <v>1</v>
      </c>
      <c r="AU309" s="15">
        <f t="shared" si="218"/>
        <v>1</v>
      </c>
      <c r="AV309" s="15">
        <f t="shared" si="219"/>
        <v>1</v>
      </c>
      <c r="AW309" s="15">
        <f t="shared" si="220"/>
        <v>1</v>
      </c>
      <c r="AX309" s="15">
        <f t="shared" si="221"/>
        <v>1</v>
      </c>
      <c r="AY309" s="15">
        <f t="shared" si="222"/>
        <v>1</v>
      </c>
      <c r="AZ309" s="15">
        <f t="shared" si="223"/>
        <v>1</v>
      </c>
      <c r="BA309" s="15">
        <f t="shared" si="224"/>
        <v>1</v>
      </c>
      <c r="BB309" s="15">
        <f t="shared" si="187"/>
        <v>0</v>
      </c>
      <c r="BC309" s="15" t="str">
        <f t="shared" si="188"/>
        <v/>
      </c>
      <c r="BD309" s="15" t="str">
        <f t="shared" si="189"/>
        <v/>
      </c>
      <c r="BE309" s="11" t="e">
        <f t="shared" si="225"/>
        <v>#VALUE!</v>
      </c>
      <c r="BF309" s="11" t="e">
        <f t="shared" si="226"/>
        <v>#VALUE!</v>
      </c>
      <c r="BG309" s="11" t="e">
        <f t="shared" si="227"/>
        <v>#VALUE!</v>
      </c>
      <c r="BH309" t="str">
        <f t="shared" si="228"/>
        <v/>
      </c>
      <c r="BI309" t="str" cm="1">
        <f t="array" ref="BI309">_xlfn.IFS(
  L309&gt;0,"Critical Fail",
  M309&gt;0,"Important (Coaching)",
  TRUE,"Clean Pass"
)</f>
        <v>Clean Pass</v>
      </c>
      <c r="BJ309" t="str">
        <f t="shared" si="229"/>
        <v>NA</v>
      </c>
    </row>
    <row r="310" spans="1:62" x14ac:dyDescent="0.3">
      <c r="A310">
        <v>665897</v>
      </c>
      <c r="K310" t="str">
        <f t="shared" si="156"/>
        <v>Pass</v>
      </c>
      <c r="L310" s="15">
        <f t="shared" si="195"/>
        <v>0</v>
      </c>
      <c r="M310" s="15">
        <f t="shared" si="196"/>
        <v>0</v>
      </c>
      <c r="Z310" s="15">
        <f t="shared" si="197"/>
        <v>1</v>
      </c>
      <c r="AA310" s="15">
        <f t="shared" si="198"/>
        <v>1</v>
      </c>
      <c r="AB310" s="15">
        <f t="shared" si="199"/>
        <v>1</v>
      </c>
      <c r="AC310" s="15">
        <f t="shared" si="200"/>
        <v>1</v>
      </c>
      <c r="AD310" s="15">
        <f t="shared" si="201"/>
        <v>1</v>
      </c>
      <c r="AE310" s="15">
        <f t="shared" si="202"/>
        <v>1</v>
      </c>
      <c r="AF310" s="15">
        <f t="shared" si="203"/>
        <v>1</v>
      </c>
      <c r="AG310" s="15">
        <f t="shared" si="204"/>
        <v>1</v>
      </c>
      <c r="AH310" s="15">
        <f t="shared" si="205"/>
        <v>1</v>
      </c>
      <c r="AI310" s="15">
        <f t="shared" si="206"/>
        <v>1</v>
      </c>
      <c r="AJ310" s="15">
        <f t="shared" si="207"/>
        <v>1</v>
      </c>
      <c r="AK310" s="15">
        <f t="shared" si="208"/>
        <v>1</v>
      </c>
      <c r="AL310" s="15">
        <f t="shared" si="209"/>
        <v>1</v>
      </c>
      <c r="AM310" s="15">
        <f t="shared" si="210"/>
        <v>1</v>
      </c>
      <c r="AN310" s="15">
        <f t="shared" si="211"/>
        <v>1</v>
      </c>
      <c r="AO310" s="15">
        <f t="shared" si="212"/>
        <v>1</v>
      </c>
      <c r="AP310" s="15">
        <f t="shared" si="213"/>
        <v>1</v>
      </c>
      <c r="AQ310" s="15">
        <f t="shared" si="214"/>
        <v>1</v>
      </c>
      <c r="AR310" s="15">
        <f t="shared" si="215"/>
        <v>1</v>
      </c>
      <c r="AS310" s="15">
        <f t="shared" si="216"/>
        <v>1</v>
      </c>
      <c r="AT310" s="15">
        <f t="shared" si="217"/>
        <v>1</v>
      </c>
      <c r="AU310" s="15">
        <f t="shared" si="218"/>
        <v>1</v>
      </c>
      <c r="AV310" s="15">
        <f t="shared" si="219"/>
        <v>1</v>
      </c>
      <c r="AW310" s="15">
        <f t="shared" si="220"/>
        <v>1</v>
      </c>
      <c r="AX310" s="15">
        <f t="shared" si="221"/>
        <v>1</v>
      </c>
      <c r="AY310" s="15">
        <f t="shared" si="222"/>
        <v>1</v>
      </c>
      <c r="AZ310" s="15">
        <f t="shared" si="223"/>
        <v>1</v>
      </c>
      <c r="BA310" s="15">
        <f t="shared" si="224"/>
        <v>1</v>
      </c>
      <c r="BB310" s="15">
        <f t="shared" si="187"/>
        <v>0</v>
      </c>
      <c r="BC310" s="15" t="str">
        <f t="shared" si="188"/>
        <v/>
      </c>
      <c r="BD310" s="15" t="str">
        <f t="shared" si="189"/>
        <v/>
      </c>
      <c r="BE310" s="11" t="e">
        <f t="shared" si="225"/>
        <v>#VALUE!</v>
      </c>
      <c r="BF310" s="11" t="e">
        <f t="shared" si="226"/>
        <v>#VALUE!</v>
      </c>
      <c r="BG310" s="11" t="e">
        <f t="shared" si="227"/>
        <v>#VALUE!</v>
      </c>
      <c r="BH310" t="str">
        <f t="shared" si="228"/>
        <v/>
      </c>
      <c r="BI310" t="str" cm="1">
        <f t="array" ref="BI310">_xlfn.IFS(
  L310&gt;0,"Critical Fail",
  M310&gt;0,"Important (Coaching)",
  TRUE,"Clean Pass"
)</f>
        <v>Clean Pass</v>
      </c>
      <c r="BJ310" t="str">
        <f t="shared" si="229"/>
        <v>NA</v>
      </c>
    </row>
    <row r="311" spans="1:62" x14ac:dyDescent="0.3">
      <c r="A311">
        <v>549766</v>
      </c>
      <c r="K311" t="str">
        <f t="shared" si="156"/>
        <v>Pass</v>
      </c>
      <c r="L311" s="15">
        <f t="shared" si="195"/>
        <v>0</v>
      </c>
      <c r="M311" s="15">
        <f t="shared" si="196"/>
        <v>0</v>
      </c>
      <c r="Z311" s="15">
        <f t="shared" si="197"/>
        <v>1</v>
      </c>
      <c r="AA311" s="15">
        <f t="shared" si="198"/>
        <v>1</v>
      </c>
      <c r="AB311" s="15">
        <f t="shared" si="199"/>
        <v>1</v>
      </c>
      <c r="AC311" s="15">
        <f t="shared" si="200"/>
        <v>1</v>
      </c>
      <c r="AD311" s="15">
        <f t="shared" si="201"/>
        <v>1</v>
      </c>
      <c r="AE311" s="15">
        <f t="shared" si="202"/>
        <v>1</v>
      </c>
      <c r="AF311" s="15">
        <f t="shared" si="203"/>
        <v>1</v>
      </c>
      <c r="AG311" s="15">
        <f t="shared" si="204"/>
        <v>1</v>
      </c>
      <c r="AH311" s="15">
        <f t="shared" si="205"/>
        <v>1</v>
      </c>
      <c r="AI311" s="15">
        <f t="shared" si="206"/>
        <v>1</v>
      </c>
      <c r="AJ311" s="15">
        <f t="shared" si="207"/>
        <v>1</v>
      </c>
      <c r="AK311" s="15">
        <f t="shared" si="208"/>
        <v>1</v>
      </c>
      <c r="AL311" s="15">
        <f t="shared" si="209"/>
        <v>1</v>
      </c>
      <c r="AM311" s="15">
        <f t="shared" si="210"/>
        <v>1</v>
      </c>
      <c r="AN311" s="15">
        <f t="shared" si="211"/>
        <v>1</v>
      </c>
      <c r="AO311" s="15">
        <f t="shared" si="212"/>
        <v>1</v>
      </c>
      <c r="AP311" s="15">
        <f t="shared" si="213"/>
        <v>1</v>
      </c>
      <c r="AQ311" s="15">
        <f t="shared" si="214"/>
        <v>1</v>
      </c>
      <c r="AR311" s="15">
        <f t="shared" si="215"/>
        <v>1</v>
      </c>
      <c r="AS311" s="15">
        <f t="shared" si="216"/>
        <v>1</v>
      </c>
      <c r="AT311" s="15">
        <f t="shared" si="217"/>
        <v>1</v>
      </c>
      <c r="AU311" s="15">
        <f t="shared" si="218"/>
        <v>1</v>
      </c>
      <c r="AV311" s="15">
        <f t="shared" si="219"/>
        <v>1</v>
      </c>
      <c r="AW311" s="15">
        <f t="shared" si="220"/>
        <v>1</v>
      </c>
      <c r="AX311" s="15">
        <f t="shared" si="221"/>
        <v>1</v>
      </c>
      <c r="AY311" s="15">
        <f t="shared" si="222"/>
        <v>1</v>
      </c>
      <c r="AZ311" s="15">
        <f t="shared" si="223"/>
        <v>1</v>
      </c>
      <c r="BA311" s="15">
        <f t="shared" si="224"/>
        <v>1</v>
      </c>
      <c r="BB311" s="15">
        <f t="shared" si="187"/>
        <v>0</v>
      </c>
      <c r="BC311" s="15" t="str">
        <f t="shared" si="188"/>
        <v/>
      </c>
      <c r="BD311" s="15" t="str">
        <f t="shared" si="189"/>
        <v/>
      </c>
      <c r="BE311" s="11" t="e">
        <f t="shared" si="225"/>
        <v>#VALUE!</v>
      </c>
      <c r="BF311" s="11" t="e">
        <f t="shared" si="226"/>
        <v>#VALUE!</v>
      </c>
      <c r="BG311" s="11" t="e">
        <f t="shared" si="227"/>
        <v>#VALUE!</v>
      </c>
      <c r="BH311" t="str">
        <f t="shared" si="228"/>
        <v/>
      </c>
      <c r="BI311" t="str" cm="1">
        <f t="array" ref="BI311">_xlfn.IFS(
  L311&gt;0,"Critical Fail",
  M311&gt;0,"Important (Coaching)",
  TRUE,"Clean Pass"
)</f>
        <v>Clean Pass</v>
      </c>
      <c r="BJ311" t="str">
        <f t="shared" si="229"/>
        <v>NA</v>
      </c>
    </row>
    <row r="312" spans="1:62" x14ac:dyDescent="0.3">
      <c r="A312">
        <v>874377</v>
      </c>
      <c r="K312" t="str">
        <f t="shared" si="156"/>
        <v>Pass</v>
      </c>
      <c r="L312" s="15">
        <f t="shared" si="195"/>
        <v>0</v>
      </c>
      <c r="M312" s="15">
        <f t="shared" si="196"/>
        <v>0</v>
      </c>
      <c r="Z312" s="15">
        <f t="shared" si="197"/>
        <v>1</v>
      </c>
      <c r="AA312" s="15">
        <f t="shared" si="198"/>
        <v>1</v>
      </c>
      <c r="AB312" s="15">
        <f t="shared" si="199"/>
        <v>1</v>
      </c>
      <c r="AC312" s="15">
        <f t="shared" si="200"/>
        <v>1</v>
      </c>
      <c r="AD312" s="15">
        <f t="shared" si="201"/>
        <v>1</v>
      </c>
      <c r="AE312" s="15">
        <f t="shared" si="202"/>
        <v>1</v>
      </c>
      <c r="AF312" s="15">
        <f t="shared" si="203"/>
        <v>1</v>
      </c>
      <c r="AG312" s="15">
        <f t="shared" si="204"/>
        <v>1</v>
      </c>
      <c r="AH312" s="15">
        <f t="shared" si="205"/>
        <v>1</v>
      </c>
      <c r="AI312" s="15">
        <f t="shared" si="206"/>
        <v>1</v>
      </c>
      <c r="AJ312" s="15">
        <f t="shared" si="207"/>
        <v>1</v>
      </c>
      <c r="AK312" s="15">
        <f t="shared" si="208"/>
        <v>1</v>
      </c>
      <c r="AL312" s="15">
        <f t="shared" si="209"/>
        <v>1</v>
      </c>
      <c r="AM312" s="15">
        <f t="shared" si="210"/>
        <v>1</v>
      </c>
      <c r="AN312" s="15">
        <f t="shared" si="211"/>
        <v>1</v>
      </c>
      <c r="AO312" s="15">
        <f t="shared" si="212"/>
        <v>1</v>
      </c>
      <c r="AP312" s="15">
        <f t="shared" si="213"/>
        <v>1</v>
      </c>
      <c r="AQ312" s="15">
        <f t="shared" si="214"/>
        <v>1</v>
      </c>
      <c r="AR312" s="15">
        <f t="shared" si="215"/>
        <v>1</v>
      </c>
      <c r="AS312" s="15">
        <f t="shared" si="216"/>
        <v>1</v>
      </c>
      <c r="AT312" s="15">
        <f t="shared" si="217"/>
        <v>1</v>
      </c>
      <c r="AU312" s="15">
        <f t="shared" si="218"/>
        <v>1</v>
      </c>
      <c r="AV312" s="15">
        <f t="shared" si="219"/>
        <v>1</v>
      </c>
      <c r="AW312" s="15">
        <f t="shared" si="220"/>
        <v>1</v>
      </c>
      <c r="AX312" s="15">
        <f t="shared" si="221"/>
        <v>1</v>
      </c>
      <c r="AY312" s="15">
        <f t="shared" si="222"/>
        <v>1</v>
      </c>
      <c r="AZ312" s="15">
        <f t="shared" si="223"/>
        <v>1</v>
      </c>
      <c r="BA312" s="15">
        <f t="shared" si="224"/>
        <v>1</v>
      </c>
      <c r="BB312" s="15">
        <f t="shared" si="187"/>
        <v>0</v>
      </c>
      <c r="BC312" s="15" t="str">
        <f t="shared" si="188"/>
        <v/>
      </c>
      <c r="BD312" s="15" t="str">
        <f t="shared" si="189"/>
        <v/>
      </c>
      <c r="BE312" s="11" t="e">
        <f t="shared" si="225"/>
        <v>#VALUE!</v>
      </c>
      <c r="BF312" s="11" t="e">
        <f t="shared" si="226"/>
        <v>#VALUE!</v>
      </c>
      <c r="BG312" s="11" t="e">
        <f t="shared" si="227"/>
        <v>#VALUE!</v>
      </c>
      <c r="BH312" t="str">
        <f t="shared" si="228"/>
        <v/>
      </c>
      <c r="BI312" t="str" cm="1">
        <f t="array" ref="BI312">_xlfn.IFS(
  L312&gt;0,"Critical Fail",
  M312&gt;0,"Important (Coaching)",
  TRUE,"Clean Pass"
)</f>
        <v>Clean Pass</v>
      </c>
      <c r="BJ312" t="str">
        <f t="shared" si="229"/>
        <v>NA</v>
      </c>
    </row>
    <row r="313" spans="1:62" x14ac:dyDescent="0.3">
      <c r="A313">
        <v>637878</v>
      </c>
      <c r="K313" t="str">
        <f t="shared" si="156"/>
        <v>Pass</v>
      </c>
      <c r="L313" s="15">
        <f t="shared" si="195"/>
        <v>0</v>
      </c>
      <c r="M313" s="15">
        <f t="shared" si="196"/>
        <v>0</v>
      </c>
      <c r="Z313" s="15">
        <f t="shared" si="197"/>
        <v>1</v>
      </c>
      <c r="AA313" s="15">
        <f t="shared" si="198"/>
        <v>1</v>
      </c>
      <c r="AB313" s="15">
        <f t="shared" si="199"/>
        <v>1</v>
      </c>
      <c r="AC313" s="15">
        <f t="shared" si="200"/>
        <v>1</v>
      </c>
      <c r="AD313" s="15">
        <f t="shared" si="201"/>
        <v>1</v>
      </c>
      <c r="AE313" s="15">
        <f t="shared" si="202"/>
        <v>1</v>
      </c>
      <c r="AF313" s="15">
        <f t="shared" si="203"/>
        <v>1</v>
      </c>
      <c r="AG313" s="15">
        <f t="shared" si="204"/>
        <v>1</v>
      </c>
      <c r="AH313" s="15">
        <f t="shared" si="205"/>
        <v>1</v>
      </c>
      <c r="AI313" s="15">
        <f t="shared" si="206"/>
        <v>1</v>
      </c>
      <c r="AJ313" s="15">
        <f t="shared" si="207"/>
        <v>1</v>
      </c>
      <c r="AK313" s="15">
        <f t="shared" si="208"/>
        <v>1</v>
      </c>
      <c r="AL313" s="15">
        <f t="shared" si="209"/>
        <v>1</v>
      </c>
      <c r="AM313" s="15">
        <f t="shared" si="210"/>
        <v>1</v>
      </c>
      <c r="AN313" s="15">
        <f t="shared" si="211"/>
        <v>1</v>
      </c>
      <c r="AO313" s="15">
        <f t="shared" si="212"/>
        <v>1</v>
      </c>
      <c r="AP313" s="15">
        <f t="shared" si="213"/>
        <v>1</v>
      </c>
      <c r="AQ313" s="15">
        <f t="shared" si="214"/>
        <v>1</v>
      </c>
      <c r="AR313" s="15">
        <f t="shared" si="215"/>
        <v>1</v>
      </c>
      <c r="AS313" s="15">
        <f t="shared" si="216"/>
        <v>1</v>
      </c>
      <c r="AT313" s="15">
        <f t="shared" si="217"/>
        <v>1</v>
      </c>
      <c r="AU313" s="15">
        <f t="shared" si="218"/>
        <v>1</v>
      </c>
      <c r="AV313" s="15">
        <f t="shared" si="219"/>
        <v>1</v>
      </c>
      <c r="AW313" s="15">
        <f t="shared" si="220"/>
        <v>1</v>
      </c>
      <c r="AX313" s="15">
        <f t="shared" si="221"/>
        <v>1</v>
      </c>
      <c r="AY313" s="15">
        <f t="shared" si="222"/>
        <v>1</v>
      </c>
      <c r="AZ313" s="15">
        <f t="shared" si="223"/>
        <v>1</v>
      </c>
      <c r="BA313" s="15">
        <f t="shared" si="224"/>
        <v>1</v>
      </c>
      <c r="BB313" s="15">
        <f t="shared" si="187"/>
        <v>0</v>
      </c>
      <c r="BC313" s="15" t="str">
        <f t="shared" si="188"/>
        <v/>
      </c>
      <c r="BD313" s="15" t="str">
        <f t="shared" si="189"/>
        <v/>
      </c>
      <c r="BE313" s="11" t="e">
        <f t="shared" si="225"/>
        <v>#VALUE!</v>
      </c>
      <c r="BF313" s="11" t="e">
        <f t="shared" si="226"/>
        <v>#VALUE!</v>
      </c>
      <c r="BG313" s="11" t="e">
        <f t="shared" si="227"/>
        <v>#VALUE!</v>
      </c>
      <c r="BH313" t="str">
        <f t="shared" si="228"/>
        <v/>
      </c>
      <c r="BI313" t="str" cm="1">
        <f t="array" ref="BI313">_xlfn.IFS(
  L313&gt;0,"Critical Fail",
  M313&gt;0,"Important (Coaching)",
  TRUE,"Clean Pass"
)</f>
        <v>Clean Pass</v>
      </c>
      <c r="BJ313" t="str">
        <f t="shared" si="229"/>
        <v>NA</v>
      </c>
    </row>
    <row r="314" spans="1:62" x14ac:dyDescent="0.3">
      <c r="A314">
        <v>950803</v>
      </c>
      <c r="K314" t="str">
        <f t="shared" si="156"/>
        <v>Pass</v>
      </c>
      <c r="L314" s="15">
        <f t="shared" si="195"/>
        <v>0</v>
      </c>
      <c r="M314" s="15">
        <f t="shared" si="196"/>
        <v>0</v>
      </c>
      <c r="Z314" s="15">
        <f t="shared" si="197"/>
        <v>1</v>
      </c>
      <c r="AA314" s="15">
        <f t="shared" si="198"/>
        <v>1</v>
      </c>
      <c r="AB314" s="15">
        <f t="shared" si="199"/>
        <v>1</v>
      </c>
      <c r="AC314" s="15">
        <f t="shared" si="200"/>
        <v>1</v>
      </c>
      <c r="AD314" s="15">
        <f t="shared" si="201"/>
        <v>1</v>
      </c>
      <c r="AE314" s="15">
        <f t="shared" si="202"/>
        <v>1</v>
      </c>
      <c r="AF314" s="15">
        <f t="shared" si="203"/>
        <v>1</v>
      </c>
      <c r="AG314" s="15">
        <f t="shared" si="204"/>
        <v>1</v>
      </c>
      <c r="AH314" s="15">
        <f t="shared" si="205"/>
        <v>1</v>
      </c>
      <c r="AI314" s="15">
        <f t="shared" si="206"/>
        <v>1</v>
      </c>
      <c r="AJ314" s="15">
        <f t="shared" si="207"/>
        <v>1</v>
      </c>
      <c r="AK314" s="15">
        <f t="shared" si="208"/>
        <v>1</v>
      </c>
      <c r="AL314" s="15">
        <f t="shared" si="209"/>
        <v>1</v>
      </c>
      <c r="AM314" s="15">
        <f t="shared" si="210"/>
        <v>1</v>
      </c>
      <c r="AN314" s="15">
        <f t="shared" si="211"/>
        <v>1</v>
      </c>
      <c r="AO314" s="15">
        <f t="shared" si="212"/>
        <v>1</v>
      </c>
      <c r="AP314" s="15">
        <f t="shared" si="213"/>
        <v>1</v>
      </c>
      <c r="AQ314" s="15">
        <f t="shared" si="214"/>
        <v>1</v>
      </c>
      <c r="AR314" s="15">
        <f t="shared" si="215"/>
        <v>1</v>
      </c>
      <c r="AS314" s="15">
        <f t="shared" si="216"/>
        <v>1</v>
      </c>
      <c r="AT314" s="15">
        <f t="shared" si="217"/>
        <v>1</v>
      </c>
      <c r="AU314" s="15">
        <f t="shared" si="218"/>
        <v>1</v>
      </c>
      <c r="AV314" s="15">
        <f t="shared" si="219"/>
        <v>1</v>
      </c>
      <c r="AW314" s="15">
        <f t="shared" si="220"/>
        <v>1</v>
      </c>
      <c r="AX314" s="15">
        <f t="shared" si="221"/>
        <v>1</v>
      </c>
      <c r="AY314" s="15">
        <f t="shared" si="222"/>
        <v>1</v>
      </c>
      <c r="AZ314" s="15">
        <f t="shared" si="223"/>
        <v>1</v>
      </c>
      <c r="BA314" s="15">
        <f t="shared" si="224"/>
        <v>1</v>
      </c>
      <c r="BB314" s="15">
        <f t="shared" si="187"/>
        <v>0</v>
      </c>
      <c r="BC314" s="15" t="str">
        <f t="shared" si="188"/>
        <v/>
      </c>
      <c r="BD314" s="15" t="str">
        <f t="shared" si="189"/>
        <v/>
      </c>
      <c r="BE314" s="11" t="e">
        <f t="shared" si="225"/>
        <v>#VALUE!</v>
      </c>
      <c r="BF314" s="11" t="e">
        <f t="shared" si="226"/>
        <v>#VALUE!</v>
      </c>
      <c r="BG314" s="11" t="e">
        <f t="shared" si="227"/>
        <v>#VALUE!</v>
      </c>
      <c r="BH314" t="str">
        <f t="shared" si="228"/>
        <v/>
      </c>
      <c r="BI314" t="str" cm="1">
        <f t="array" ref="BI314">_xlfn.IFS(
  L314&gt;0,"Critical Fail",
  M314&gt;0,"Important (Coaching)",
  TRUE,"Clean Pass"
)</f>
        <v>Clean Pass</v>
      </c>
      <c r="BJ314" t="str">
        <f t="shared" si="229"/>
        <v>NA</v>
      </c>
    </row>
    <row r="315" spans="1:62" x14ac:dyDescent="0.3">
      <c r="A315">
        <v>738712</v>
      </c>
      <c r="K315" t="str">
        <f t="shared" si="156"/>
        <v>Pass</v>
      </c>
      <c r="L315" s="15">
        <f t="shared" si="195"/>
        <v>0</v>
      </c>
      <c r="M315" s="15">
        <f t="shared" si="196"/>
        <v>0</v>
      </c>
      <c r="Z315" s="15">
        <f t="shared" si="197"/>
        <v>1</v>
      </c>
      <c r="AA315" s="15">
        <f t="shared" si="198"/>
        <v>1</v>
      </c>
      <c r="AB315" s="15">
        <f t="shared" si="199"/>
        <v>1</v>
      </c>
      <c r="AC315" s="15">
        <f t="shared" si="200"/>
        <v>1</v>
      </c>
      <c r="AD315" s="15">
        <f t="shared" si="201"/>
        <v>1</v>
      </c>
      <c r="AE315" s="15">
        <f t="shared" si="202"/>
        <v>1</v>
      </c>
      <c r="AF315" s="15">
        <f t="shared" si="203"/>
        <v>1</v>
      </c>
      <c r="AG315" s="15">
        <f t="shared" si="204"/>
        <v>1</v>
      </c>
      <c r="AH315" s="15">
        <f t="shared" si="205"/>
        <v>1</v>
      </c>
      <c r="AI315" s="15">
        <f t="shared" si="206"/>
        <v>1</v>
      </c>
      <c r="AJ315" s="15">
        <f t="shared" si="207"/>
        <v>1</v>
      </c>
      <c r="AK315" s="15">
        <f t="shared" si="208"/>
        <v>1</v>
      </c>
      <c r="AL315" s="15">
        <f t="shared" si="209"/>
        <v>1</v>
      </c>
      <c r="AM315" s="15">
        <f t="shared" si="210"/>
        <v>1</v>
      </c>
      <c r="AN315" s="15">
        <f t="shared" si="211"/>
        <v>1</v>
      </c>
      <c r="AO315" s="15">
        <f t="shared" si="212"/>
        <v>1</v>
      </c>
      <c r="AP315" s="15">
        <f t="shared" si="213"/>
        <v>1</v>
      </c>
      <c r="AQ315" s="15">
        <f t="shared" si="214"/>
        <v>1</v>
      </c>
      <c r="AR315" s="15">
        <f t="shared" si="215"/>
        <v>1</v>
      </c>
      <c r="AS315" s="15">
        <f t="shared" si="216"/>
        <v>1</v>
      </c>
      <c r="AT315" s="15">
        <f t="shared" si="217"/>
        <v>1</v>
      </c>
      <c r="AU315" s="15">
        <f t="shared" si="218"/>
        <v>1</v>
      </c>
      <c r="AV315" s="15">
        <f t="shared" si="219"/>
        <v>1</v>
      </c>
      <c r="AW315" s="15">
        <f t="shared" si="220"/>
        <v>1</v>
      </c>
      <c r="AX315" s="15">
        <f t="shared" si="221"/>
        <v>1</v>
      </c>
      <c r="AY315" s="15">
        <f t="shared" si="222"/>
        <v>1</v>
      </c>
      <c r="AZ315" s="15">
        <f t="shared" si="223"/>
        <v>1</v>
      </c>
      <c r="BA315" s="15">
        <f t="shared" si="224"/>
        <v>1</v>
      </c>
      <c r="BB315" s="15">
        <f t="shared" si="187"/>
        <v>0</v>
      </c>
      <c r="BC315" s="15" t="str">
        <f t="shared" si="188"/>
        <v/>
      </c>
      <c r="BD315" s="15" t="str">
        <f t="shared" si="189"/>
        <v/>
      </c>
      <c r="BE315" s="11" t="e">
        <f t="shared" si="225"/>
        <v>#VALUE!</v>
      </c>
      <c r="BF315" s="11" t="e">
        <f t="shared" si="226"/>
        <v>#VALUE!</v>
      </c>
      <c r="BG315" s="11" t="e">
        <f t="shared" si="227"/>
        <v>#VALUE!</v>
      </c>
      <c r="BH315" t="str">
        <f t="shared" si="228"/>
        <v/>
      </c>
      <c r="BI315" t="str" cm="1">
        <f t="array" ref="BI315">_xlfn.IFS(
  L315&gt;0,"Critical Fail",
  M315&gt;0,"Important (Coaching)",
  TRUE,"Clean Pass"
)</f>
        <v>Clean Pass</v>
      </c>
      <c r="BJ315" t="str">
        <f t="shared" si="229"/>
        <v>NA</v>
      </c>
    </row>
    <row r="316" spans="1:62" x14ac:dyDescent="0.3">
      <c r="A316">
        <v>816135</v>
      </c>
      <c r="K316" t="str">
        <f t="shared" si="156"/>
        <v>Pass</v>
      </c>
      <c r="L316" s="15">
        <f t="shared" si="195"/>
        <v>0</v>
      </c>
      <c r="M316" s="15">
        <f t="shared" si="196"/>
        <v>0</v>
      </c>
      <c r="Z316" s="15">
        <f t="shared" si="197"/>
        <v>1</v>
      </c>
      <c r="AA316" s="15">
        <f t="shared" si="198"/>
        <v>1</v>
      </c>
      <c r="AB316" s="15">
        <f t="shared" si="199"/>
        <v>1</v>
      </c>
      <c r="AC316" s="15">
        <f t="shared" si="200"/>
        <v>1</v>
      </c>
      <c r="AD316" s="15">
        <f t="shared" si="201"/>
        <v>1</v>
      </c>
      <c r="AE316" s="15">
        <f t="shared" si="202"/>
        <v>1</v>
      </c>
      <c r="AF316" s="15">
        <f t="shared" si="203"/>
        <v>1</v>
      </c>
      <c r="AG316" s="15">
        <f t="shared" si="204"/>
        <v>1</v>
      </c>
      <c r="AH316" s="15">
        <f t="shared" si="205"/>
        <v>1</v>
      </c>
      <c r="AI316" s="15">
        <f t="shared" si="206"/>
        <v>1</v>
      </c>
      <c r="AJ316" s="15">
        <f t="shared" si="207"/>
        <v>1</v>
      </c>
      <c r="AK316" s="15">
        <f t="shared" si="208"/>
        <v>1</v>
      </c>
      <c r="AL316" s="15">
        <f t="shared" si="209"/>
        <v>1</v>
      </c>
      <c r="AM316" s="15">
        <f t="shared" si="210"/>
        <v>1</v>
      </c>
      <c r="AN316" s="15">
        <f t="shared" si="211"/>
        <v>1</v>
      </c>
      <c r="AO316" s="15">
        <f t="shared" si="212"/>
        <v>1</v>
      </c>
      <c r="AP316" s="15">
        <f t="shared" si="213"/>
        <v>1</v>
      </c>
      <c r="AQ316" s="15">
        <f t="shared" si="214"/>
        <v>1</v>
      </c>
      <c r="AR316" s="15">
        <f t="shared" si="215"/>
        <v>1</v>
      </c>
      <c r="AS316" s="15">
        <f t="shared" si="216"/>
        <v>1</v>
      </c>
      <c r="AT316" s="15">
        <f t="shared" si="217"/>
        <v>1</v>
      </c>
      <c r="AU316" s="15">
        <f t="shared" si="218"/>
        <v>1</v>
      </c>
      <c r="AV316" s="15">
        <f t="shared" si="219"/>
        <v>1</v>
      </c>
      <c r="AW316" s="15">
        <f t="shared" si="220"/>
        <v>1</v>
      </c>
      <c r="AX316" s="15">
        <f t="shared" si="221"/>
        <v>1</v>
      </c>
      <c r="AY316" s="15">
        <f t="shared" si="222"/>
        <v>1</v>
      </c>
      <c r="AZ316" s="15">
        <f t="shared" si="223"/>
        <v>1</v>
      </c>
      <c r="BA316" s="15">
        <f t="shared" si="224"/>
        <v>1</v>
      </c>
      <c r="BB316" s="15">
        <f t="shared" si="187"/>
        <v>0</v>
      </c>
      <c r="BC316" s="15" t="str">
        <f t="shared" si="188"/>
        <v/>
      </c>
      <c r="BD316" s="15" t="str">
        <f t="shared" si="189"/>
        <v/>
      </c>
      <c r="BE316" s="11" t="e">
        <f t="shared" si="225"/>
        <v>#VALUE!</v>
      </c>
      <c r="BF316" s="11" t="e">
        <f t="shared" si="226"/>
        <v>#VALUE!</v>
      </c>
      <c r="BG316" s="11" t="e">
        <f t="shared" si="227"/>
        <v>#VALUE!</v>
      </c>
      <c r="BH316" t="str">
        <f t="shared" si="228"/>
        <v/>
      </c>
      <c r="BI316" t="str" cm="1">
        <f t="array" ref="BI316">_xlfn.IFS(
  L316&gt;0,"Critical Fail",
  M316&gt;0,"Important (Coaching)",
  TRUE,"Clean Pass"
)</f>
        <v>Clean Pass</v>
      </c>
      <c r="BJ316" t="str">
        <f t="shared" si="229"/>
        <v>NA</v>
      </c>
    </row>
    <row r="317" spans="1:62" x14ac:dyDescent="0.3">
      <c r="A317">
        <v>939494</v>
      </c>
      <c r="K317" t="str">
        <f t="shared" si="156"/>
        <v>Pass</v>
      </c>
      <c r="L317" s="15">
        <f t="shared" si="195"/>
        <v>0</v>
      </c>
      <c r="M317" s="15">
        <f t="shared" si="196"/>
        <v>0</v>
      </c>
      <c r="Z317" s="15">
        <f t="shared" si="197"/>
        <v>1</v>
      </c>
      <c r="AA317" s="15">
        <f t="shared" si="198"/>
        <v>1</v>
      </c>
      <c r="AB317" s="15">
        <f t="shared" si="199"/>
        <v>1</v>
      </c>
      <c r="AC317" s="15">
        <f t="shared" si="200"/>
        <v>1</v>
      </c>
      <c r="AD317" s="15">
        <f t="shared" si="201"/>
        <v>1</v>
      </c>
      <c r="AE317" s="15">
        <f t="shared" si="202"/>
        <v>1</v>
      </c>
      <c r="AF317" s="15">
        <f t="shared" si="203"/>
        <v>1</v>
      </c>
      <c r="AG317" s="15">
        <f t="shared" si="204"/>
        <v>1</v>
      </c>
      <c r="AH317" s="15">
        <f t="shared" si="205"/>
        <v>1</v>
      </c>
      <c r="AI317" s="15">
        <f t="shared" si="206"/>
        <v>1</v>
      </c>
      <c r="AJ317" s="15">
        <f t="shared" si="207"/>
        <v>1</v>
      </c>
      <c r="AK317" s="15">
        <f t="shared" si="208"/>
        <v>1</v>
      </c>
      <c r="AL317" s="15">
        <f t="shared" si="209"/>
        <v>1</v>
      </c>
      <c r="AM317" s="15">
        <f t="shared" si="210"/>
        <v>1</v>
      </c>
      <c r="AN317" s="15">
        <f t="shared" si="211"/>
        <v>1</v>
      </c>
      <c r="AO317" s="15">
        <f t="shared" si="212"/>
        <v>1</v>
      </c>
      <c r="AP317" s="15">
        <f t="shared" si="213"/>
        <v>1</v>
      </c>
      <c r="AQ317" s="15">
        <f t="shared" si="214"/>
        <v>1</v>
      </c>
      <c r="AR317" s="15">
        <f t="shared" si="215"/>
        <v>1</v>
      </c>
      <c r="AS317" s="15">
        <f t="shared" si="216"/>
        <v>1</v>
      </c>
      <c r="AT317" s="15">
        <f t="shared" si="217"/>
        <v>1</v>
      </c>
      <c r="AU317" s="15">
        <f t="shared" si="218"/>
        <v>1</v>
      </c>
      <c r="AV317" s="15">
        <f t="shared" si="219"/>
        <v>1</v>
      </c>
      <c r="AW317" s="15">
        <f t="shared" si="220"/>
        <v>1</v>
      </c>
      <c r="AX317" s="15">
        <f t="shared" si="221"/>
        <v>1</v>
      </c>
      <c r="AY317" s="15">
        <f t="shared" si="222"/>
        <v>1</v>
      </c>
      <c r="AZ317" s="15">
        <f t="shared" si="223"/>
        <v>1</v>
      </c>
      <c r="BA317" s="15">
        <f t="shared" si="224"/>
        <v>1</v>
      </c>
      <c r="BB317" s="15">
        <f t="shared" si="187"/>
        <v>0</v>
      </c>
      <c r="BC317" s="15" t="str">
        <f t="shared" si="188"/>
        <v/>
      </c>
      <c r="BD317" s="15" t="str">
        <f t="shared" si="189"/>
        <v/>
      </c>
      <c r="BE317" s="11" t="e">
        <f t="shared" si="225"/>
        <v>#VALUE!</v>
      </c>
      <c r="BF317" s="11" t="e">
        <f t="shared" si="226"/>
        <v>#VALUE!</v>
      </c>
      <c r="BG317" s="11" t="e">
        <f t="shared" si="227"/>
        <v>#VALUE!</v>
      </c>
      <c r="BH317" t="str">
        <f t="shared" si="228"/>
        <v/>
      </c>
      <c r="BI317" t="str" cm="1">
        <f t="array" ref="BI317">_xlfn.IFS(
  L317&gt;0,"Critical Fail",
  M317&gt;0,"Important (Coaching)",
  TRUE,"Clean Pass"
)</f>
        <v>Clean Pass</v>
      </c>
      <c r="BJ317" t="str">
        <f t="shared" si="229"/>
        <v>NA</v>
      </c>
    </row>
    <row r="318" spans="1:62" x14ac:dyDescent="0.3">
      <c r="A318">
        <v>346191</v>
      </c>
      <c r="K318" t="str">
        <f t="shared" si="156"/>
        <v>Pass</v>
      </c>
      <c r="L318" s="15">
        <f t="shared" si="195"/>
        <v>0</v>
      </c>
      <c r="M318" s="15">
        <f t="shared" si="196"/>
        <v>0</v>
      </c>
      <c r="Z318" s="15">
        <f t="shared" si="197"/>
        <v>1</v>
      </c>
      <c r="AA318" s="15">
        <f t="shared" si="198"/>
        <v>1</v>
      </c>
      <c r="AB318" s="15">
        <f t="shared" si="199"/>
        <v>1</v>
      </c>
      <c r="AC318" s="15">
        <f t="shared" si="200"/>
        <v>1</v>
      </c>
      <c r="AD318" s="15">
        <f t="shared" si="201"/>
        <v>1</v>
      </c>
      <c r="AE318" s="15">
        <f t="shared" si="202"/>
        <v>1</v>
      </c>
      <c r="AF318" s="15">
        <f t="shared" si="203"/>
        <v>1</v>
      </c>
      <c r="AG318" s="15">
        <f t="shared" si="204"/>
        <v>1</v>
      </c>
      <c r="AH318" s="15">
        <f t="shared" si="205"/>
        <v>1</v>
      </c>
      <c r="AI318" s="15">
        <f t="shared" si="206"/>
        <v>1</v>
      </c>
      <c r="AJ318" s="15">
        <f t="shared" si="207"/>
        <v>1</v>
      </c>
      <c r="AK318" s="15">
        <f t="shared" si="208"/>
        <v>1</v>
      </c>
      <c r="AL318" s="15">
        <f t="shared" si="209"/>
        <v>1</v>
      </c>
      <c r="AM318" s="15">
        <f t="shared" si="210"/>
        <v>1</v>
      </c>
      <c r="AN318" s="15">
        <f t="shared" si="211"/>
        <v>1</v>
      </c>
      <c r="AO318" s="15">
        <f t="shared" si="212"/>
        <v>1</v>
      </c>
      <c r="AP318" s="15">
        <f t="shared" si="213"/>
        <v>1</v>
      </c>
      <c r="AQ318" s="15">
        <f t="shared" si="214"/>
        <v>1</v>
      </c>
      <c r="AR318" s="15">
        <f t="shared" si="215"/>
        <v>1</v>
      </c>
      <c r="AS318" s="15">
        <f t="shared" si="216"/>
        <v>1</v>
      </c>
      <c r="AT318" s="15">
        <f t="shared" si="217"/>
        <v>1</v>
      </c>
      <c r="AU318" s="15">
        <f t="shared" si="218"/>
        <v>1</v>
      </c>
      <c r="AV318" s="15">
        <f t="shared" si="219"/>
        <v>1</v>
      </c>
      <c r="AW318" s="15">
        <f t="shared" si="220"/>
        <v>1</v>
      </c>
      <c r="AX318" s="15">
        <f t="shared" si="221"/>
        <v>1</v>
      </c>
      <c r="AY318" s="15">
        <f t="shared" si="222"/>
        <v>1</v>
      </c>
      <c r="AZ318" s="15">
        <f t="shared" si="223"/>
        <v>1</v>
      </c>
      <c r="BA318" s="15">
        <f t="shared" si="224"/>
        <v>1</v>
      </c>
      <c r="BB318" s="15">
        <f t="shared" si="187"/>
        <v>0</v>
      </c>
      <c r="BC318" s="15" t="str">
        <f t="shared" si="188"/>
        <v/>
      </c>
      <c r="BD318" s="15" t="str">
        <f t="shared" si="189"/>
        <v/>
      </c>
      <c r="BE318" s="11" t="e">
        <f t="shared" si="225"/>
        <v>#VALUE!</v>
      </c>
      <c r="BF318" s="11" t="e">
        <f t="shared" si="226"/>
        <v>#VALUE!</v>
      </c>
      <c r="BG318" s="11" t="e">
        <f t="shared" si="227"/>
        <v>#VALUE!</v>
      </c>
      <c r="BH318" t="str">
        <f t="shared" si="228"/>
        <v/>
      </c>
      <c r="BI318" t="str" cm="1">
        <f t="array" ref="BI318">_xlfn.IFS(
  L318&gt;0,"Critical Fail",
  M318&gt;0,"Important (Coaching)",
  TRUE,"Clean Pass"
)</f>
        <v>Clean Pass</v>
      </c>
      <c r="BJ318" t="str">
        <f t="shared" si="229"/>
        <v>NA</v>
      </c>
    </row>
    <row r="319" spans="1:62" x14ac:dyDescent="0.3">
      <c r="A319">
        <v>566157</v>
      </c>
      <c r="K319" t="str">
        <f t="shared" si="156"/>
        <v>Pass</v>
      </c>
      <c r="L319" s="15">
        <f t="shared" si="195"/>
        <v>0</v>
      </c>
      <c r="M319" s="15">
        <f t="shared" si="196"/>
        <v>0</v>
      </c>
      <c r="Z319" s="15">
        <f t="shared" si="197"/>
        <v>1</v>
      </c>
      <c r="AA319" s="15">
        <f t="shared" si="198"/>
        <v>1</v>
      </c>
      <c r="AB319" s="15">
        <f t="shared" si="199"/>
        <v>1</v>
      </c>
      <c r="AC319" s="15">
        <f t="shared" si="200"/>
        <v>1</v>
      </c>
      <c r="AD319" s="15">
        <f t="shared" si="201"/>
        <v>1</v>
      </c>
      <c r="AE319" s="15">
        <f t="shared" si="202"/>
        <v>1</v>
      </c>
      <c r="AF319" s="15">
        <f t="shared" si="203"/>
        <v>1</v>
      </c>
      <c r="AG319" s="15">
        <f t="shared" si="204"/>
        <v>1</v>
      </c>
      <c r="AH319" s="15">
        <f t="shared" si="205"/>
        <v>1</v>
      </c>
      <c r="AI319" s="15">
        <f t="shared" si="206"/>
        <v>1</v>
      </c>
      <c r="AJ319" s="15">
        <f t="shared" si="207"/>
        <v>1</v>
      </c>
      <c r="AK319" s="15">
        <f t="shared" si="208"/>
        <v>1</v>
      </c>
      <c r="AL319" s="15">
        <f t="shared" si="209"/>
        <v>1</v>
      </c>
      <c r="AM319" s="15">
        <f t="shared" si="210"/>
        <v>1</v>
      </c>
      <c r="AN319" s="15">
        <f t="shared" si="211"/>
        <v>1</v>
      </c>
      <c r="AO319" s="15">
        <f t="shared" si="212"/>
        <v>1</v>
      </c>
      <c r="AP319" s="15">
        <f t="shared" si="213"/>
        <v>1</v>
      </c>
      <c r="AQ319" s="15">
        <f t="shared" si="214"/>
        <v>1</v>
      </c>
      <c r="AR319" s="15">
        <f t="shared" si="215"/>
        <v>1</v>
      </c>
      <c r="AS319" s="15">
        <f t="shared" si="216"/>
        <v>1</v>
      </c>
      <c r="AT319" s="15">
        <f t="shared" si="217"/>
        <v>1</v>
      </c>
      <c r="AU319" s="15">
        <f t="shared" si="218"/>
        <v>1</v>
      </c>
      <c r="AV319" s="15">
        <f t="shared" si="219"/>
        <v>1</v>
      </c>
      <c r="AW319" s="15">
        <f t="shared" si="220"/>
        <v>1</v>
      </c>
      <c r="AX319" s="15">
        <f t="shared" si="221"/>
        <v>1</v>
      </c>
      <c r="AY319" s="15">
        <f t="shared" si="222"/>
        <v>1</v>
      </c>
      <c r="AZ319" s="15">
        <f t="shared" si="223"/>
        <v>1</v>
      </c>
      <c r="BA319" s="15">
        <f t="shared" si="224"/>
        <v>1</v>
      </c>
      <c r="BB319" s="15">
        <f t="shared" si="187"/>
        <v>0</v>
      </c>
      <c r="BC319" s="15" t="str">
        <f t="shared" si="188"/>
        <v/>
      </c>
      <c r="BD319" s="15" t="str">
        <f t="shared" si="189"/>
        <v/>
      </c>
      <c r="BE319" s="11" t="e">
        <f t="shared" si="225"/>
        <v>#VALUE!</v>
      </c>
      <c r="BF319" s="11" t="e">
        <f t="shared" si="226"/>
        <v>#VALUE!</v>
      </c>
      <c r="BG319" s="11" t="e">
        <f t="shared" si="227"/>
        <v>#VALUE!</v>
      </c>
      <c r="BH319" t="str">
        <f t="shared" si="228"/>
        <v/>
      </c>
      <c r="BI319" t="str" cm="1">
        <f t="array" ref="BI319">_xlfn.IFS(
  L319&gt;0,"Critical Fail",
  M319&gt;0,"Important (Coaching)",
  TRUE,"Clean Pass"
)</f>
        <v>Clean Pass</v>
      </c>
      <c r="BJ319" t="str">
        <f t="shared" si="229"/>
        <v>NA</v>
      </c>
    </row>
    <row r="320" spans="1:62" x14ac:dyDescent="0.3">
      <c r="A320">
        <v>105419</v>
      </c>
      <c r="K320" t="str">
        <f t="shared" si="156"/>
        <v>Pass</v>
      </c>
      <c r="L320" s="15">
        <f t="shared" si="195"/>
        <v>0</v>
      </c>
      <c r="M320" s="15">
        <f t="shared" si="196"/>
        <v>0</v>
      </c>
      <c r="Z320" s="15">
        <f t="shared" si="197"/>
        <v>1</v>
      </c>
      <c r="AA320" s="15">
        <f t="shared" si="198"/>
        <v>1</v>
      </c>
      <c r="AB320" s="15">
        <f t="shared" si="199"/>
        <v>1</v>
      </c>
      <c r="AC320" s="15">
        <f t="shared" si="200"/>
        <v>1</v>
      </c>
      <c r="AD320" s="15">
        <f t="shared" si="201"/>
        <v>1</v>
      </c>
      <c r="AE320" s="15">
        <f t="shared" si="202"/>
        <v>1</v>
      </c>
      <c r="AF320" s="15">
        <f t="shared" si="203"/>
        <v>1</v>
      </c>
      <c r="AG320" s="15">
        <f t="shared" si="204"/>
        <v>1</v>
      </c>
      <c r="AH320" s="15">
        <f t="shared" si="205"/>
        <v>1</v>
      </c>
      <c r="AI320" s="15">
        <f t="shared" si="206"/>
        <v>1</v>
      </c>
      <c r="AJ320" s="15">
        <f t="shared" si="207"/>
        <v>1</v>
      </c>
      <c r="AK320" s="15">
        <f t="shared" si="208"/>
        <v>1</v>
      </c>
      <c r="AL320" s="15">
        <f t="shared" si="209"/>
        <v>1</v>
      </c>
      <c r="AM320" s="15">
        <f t="shared" si="210"/>
        <v>1</v>
      </c>
      <c r="AN320" s="15">
        <f t="shared" si="211"/>
        <v>1</v>
      </c>
      <c r="AO320" s="15">
        <f t="shared" si="212"/>
        <v>1</v>
      </c>
      <c r="AP320" s="15">
        <f t="shared" si="213"/>
        <v>1</v>
      </c>
      <c r="AQ320" s="15">
        <f t="shared" si="214"/>
        <v>1</v>
      </c>
      <c r="AR320" s="15">
        <f t="shared" si="215"/>
        <v>1</v>
      </c>
      <c r="AS320" s="15">
        <f t="shared" si="216"/>
        <v>1</v>
      </c>
      <c r="AT320" s="15">
        <f t="shared" si="217"/>
        <v>1</v>
      </c>
      <c r="AU320" s="15">
        <f t="shared" si="218"/>
        <v>1</v>
      </c>
      <c r="AV320" s="15">
        <f t="shared" si="219"/>
        <v>1</v>
      </c>
      <c r="AW320" s="15">
        <f t="shared" si="220"/>
        <v>1</v>
      </c>
      <c r="AX320" s="15">
        <f t="shared" si="221"/>
        <v>1</v>
      </c>
      <c r="AY320" s="15">
        <f t="shared" si="222"/>
        <v>1</v>
      </c>
      <c r="AZ320" s="15">
        <f t="shared" si="223"/>
        <v>1</v>
      </c>
      <c r="BA320" s="15">
        <f t="shared" si="224"/>
        <v>1</v>
      </c>
      <c r="BB320" s="15">
        <f t="shared" si="187"/>
        <v>0</v>
      </c>
      <c r="BC320" s="15" t="str">
        <f t="shared" si="188"/>
        <v/>
      </c>
      <c r="BD320" s="15" t="str">
        <f t="shared" si="189"/>
        <v/>
      </c>
      <c r="BE320" s="11" t="e">
        <f t="shared" si="225"/>
        <v>#VALUE!</v>
      </c>
      <c r="BF320" s="11" t="e">
        <f t="shared" si="226"/>
        <v>#VALUE!</v>
      </c>
      <c r="BG320" s="11" t="e">
        <f t="shared" si="227"/>
        <v>#VALUE!</v>
      </c>
      <c r="BH320" t="str">
        <f t="shared" si="228"/>
        <v/>
      </c>
      <c r="BI320" t="str" cm="1">
        <f t="array" ref="BI320">_xlfn.IFS(
  L320&gt;0,"Critical Fail",
  M320&gt;0,"Important (Coaching)",
  TRUE,"Clean Pass"
)</f>
        <v>Clean Pass</v>
      </c>
      <c r="BJ320" t="str">
        <f t="shared" si="229"/>
        <v>NA</v>
      </c>
    </row>
    <row r="321" spans="1:62" x14ac:dyDescent="0.3">
      <c r="A321">
        <v>414926</v>
      </c>
      <c r="K321" t="str">
        <f t="shared" si="156"/>
        <v>Pass</v>
      </c>
      <c r="L321" s="15">
        <f t="shared" si="195"/>
        <v>0</v>
      </c>
      <c r="M321" s="15">
        <f t="shared" si="196"/>
        <v>0</v>
      </c>
      <c r="Z321" s="15">
        <f t="shared" si="197"/>
        <v>1</v>
      </c>
      <c r="AA321" s="15">
        <f t="shared" si="198"/>
        <v>1</v>
      </c>
      <c r="AB321" s="15">
        <f t="shared" si="199"/>
        <v>1</v>
      </c>
      <c r="AC321" s="15">
        <f t="shared" si="200"/>
        <v>1</v>
      </c>
      <c r="AD321" s="15">
        <f t="shared" si="201"/>
        <v>1</v>
      </c>
      <c r="AE321" s="15">
        <f t="shared" si="202"/>
        <v>1</v>
      </c>
      <c r="AF321" s="15">
        <f t="shared" si="203"/>
        <v>1</v>
      </c>
      <c r="AG321" s="15">
        <f t="shared" si="204"/>
        <v>1</v>
      </c>
      <c r="AH321" s="15">
        <f t="shared" si="205"/>
        <v>1</v>
      </c>
      <c r="AI321" s="15">
        <f t="shared" si="206"/>
        <v>1</v>
      </c>
      <c r="AJ321" s="15">
        <f t="shared" si="207"/>
        <v>1</v>
      </c>
      <c r="AK321" s="15">
        <f t="shared" si="208"/>
        <v>1</v>
      </c>
      <c r="AL321" s="15">
        <f t="shared" si="209"/>
        <v>1</v>
      </c>
      <c r="AM321" s="15">
        <f t="shared" si="210"/>
        <v>1</v>
      </c>
      <c r="AN321" s="15">
        <f t="shared" si="211"/>
        <v>1</v>
      </c>
      <c r="AO321" s="15">
        <f t="shared" si="212"/>
        <v>1</v>
      </c>
      <c r="AP321" s="15">
        <f t="shared" si="213"/>
        <v>1</v>
      </c>
      <c r="AQ321" s="15">
        <f t="shared" si="214"/>
        <v>1</v>
      </c>
      <c r="AR321" s="15">
        <f t="shared" si="215"/>
        <v>1</v>
      </c>
      <c r="AS321" s="15">
        <f t="shared" si="216"/>
        <v>1</v>
      </c>
      <c r="AT321" s="15">
        <f t="shared" si="217"/>
        <v>1</v>
      </c>
      <c r="AU321" s="15">
        <f t="shared" si="218"/>
        <v>1</v>
      </c>
      <c r="AV321" s="15">
        <f t="shared" si="219"/>
        <v>1</v>
      </c>
      <c r="AW321" s="15">
        <f t="shared" si="220"/>
        <v>1</v>
      </c>
      <c r="AX321" s="15">
        <f t="shared" si="221"/>
        <v>1</v>
      </c>
      <c r="AY321" s="15">
        <f t="shared" si="222"/>
        <v>1</v>
      </c>
      <c r="AZ321" s="15">
        <f t="shared" si="223"/>
        <v>1</v>
      </c>
      <c r="BA321" s="15">
        <f t="shared" si="224"/>
        <v>1</v>
      </c>
      <c r="BB321" s="15">
        <f t="shared" si="187"/>
        <v>0</v>
      </c>
      <c r="BC321" s="15" t="str">
        <f t="shared" si="188"/>
        <v/>
      </c>
      <c r="BD321" s="15" t="str">
        <f t="shared" si="189"/>
        <v/>
      </c>
      <c r="BE321" s="11" t="e">
        <f t="shared" si="225"/>
        <v>#VALUE!</v>
      </c>
      <c r="BF321" s="11" t="e">
        <f t="shared" si="226"/>
        <v>#VALUE!</v>
      </c>
      <c r="BG321" s="11" t="e">
        <f t="shared" si="227"/>
        <v>#VALUE!</v>
      </c>
      <c r="BH321" t="str">
        <f t="shared" si="228"/>
        <v/>
      </c>
      <c r="BI321" t="str" cm="1">
        <f t="array" ref="BI321">_xlfn.IFS(
  L321&gt;0,"Critical Fail",
  M321&gt;0,"Important (Coaching)",
  TRUE,"Clean Pass"
)</f>
        <v>Clean Pass</v>
      </c>
      <c r="BJ321" t="str">
        <f t="shared" si="229"/>
        <v>NA</v>
      </c>
    </row>
    <row r="322" spans="1:62" x14ac:dyDescent="0.3">
      <c r="A322">
        <v>891161</v>
      </c>
      <c r="K322" t="str">
        <f t="shared" ref="K322:K385" si="230">IF(L322="","",IF(L322&gt;0,"Fail","Pass"))</f>
        <v>Pass</v>
      </c>
      <c r="L322" s="15">
        <f t="shared" si="195"/>
        <v>0</v>
      </c>
      <c r="M322" s="15">
        <f t="shared" si="196"/>
        <v>0</v>
      </c>
      <c r="Z322" s="15">
        <f t="shared" si="197"/>
        <v>1</v>
      </c>
      <c r="AA322" s="15">
        <f t="shared" si="198"/>
        <v>1</v>
      </c>
      <c r="AB322" s="15">
        <f t="shared" si="199"/>
        <v>1</v>
      </c>
      <c r="AC322" s="15">
        <f t="shared" si="200"/>
        <v>1</v>
      </c>
      <c r="AD322" s="15">
        <f t="shared" si="201"/>
        <v>1</v>
      </c>
      <c r="AE322" s="15">
        <f t="shared" si="202"/>
        <v>1</v>
      </c>
      <c r="AF322" s="15">
        <f t="shared" si="203"/>
        <v>1</v>
      </c>
      <c r="AG322" s="15">
        <f t="shared" si="204"/>
        <v>1</v>
      </c>
      <c r="AH322" s="15">
        <f t="shared" si="205"/>
        <v>1</v>
      </c>
      <c r="AI322" s="15">
        <f t="shared" si="206"/>
        <v>1</v>
      </c>
      <c r="AJ322" s="15">
        <f t="shared" si="207"/>
        <v>1</v>
      </c>
      <c r="AK322" s="15">
        <f t="shared" si="208"/>
        <v>1</v>
      </c>
      <c r="AL322" s="15">
        <f t="shared" si="209"/>
        <v>1</v>
      </c>
      <c r="AM322" s="15">
        <f t="shared" si="210"/>
        <v>1</v>
      </c>
      <c r="AN322" s="15">
        <f t="shared" si="211"/>
        <v>1</v>
      </c>
      <c r="AO322" s="15">
        <f t="shared" si="212"/>
        <v>1</v>
      </c>
      <c r="AP322" s="15">
        <f t="shared" si="213"/>
        <v>1</v>
      </c>
      <c r="AQ322" s="15">
        <f t="shared" si="214"/>
        <v>1</v>
      </c>
      <c r="AR322" s="15">
        <f t="shared" si="215"/>
        <v>1</v>
      </c>
      <c r="AS322" s="15">
        <f t="shared" si="216"/>
        <v>1</v>
      </c>
      <c r="AT322" s="15">
        <f t="shared" si="217"/>
        <v>1</v>
      </c>
      <c r="AU322" s="15">
        <f t="shared" si="218"/>
        <v>1</v>
      </c>
      <c r="AV322" s="15">
        <f t="shared" si="219"/>
        <v>1</v>
      </c>
      <c r="AW322" s="15">
        <f t="shared" si="220"/>
        <v>1</v>
      </c>
      <c r="AX322" s="15">
        <f t="shared" si="221"/>
        <v>1</v>
      </c>
      <c r="AY322" s="15">
        <f t="shared" si="222"/>
        <v>1</v>
      </c>
      <c r="AZ322" s="15">
        <f t="shared" si="223"/>
        <v>1</v>
      </c>
      <c r="BA322" s="15">
        <f t="shared" si="224"/>
        <v>1</v>
      </c>
      <c r="BB322" s="15">
        <f t="shared" ref="BB322:BB385" si="231">IF(L322&gt;0,1,0)</f>
        <v>0</v>
      </c>
      <c r="BC322" s="15" t="str">
        <f t="shared" ref="BC322:BC385" si="232">IF(G322="DV",9,IF(G322="AL",13,""))</f>
        <v/>
      </c>
      <c r="BD322" s="15" t="str">
        <f t="shared" ref="BD322:BD385" si="233">IF(G322="DV",3,IF(G322="AL",3,""))</f>
        <v/>
      </c>
      <c r="BE322" s="11" t="e">
        <f t="shared" si="225"/>
        <v>#VALUE!</v>
      </c>
      <c r="BF322" s="11" t="e">
        <f t="shared" si="226"/>
        <v>#VALUE!</v>
      </c>
      <c r="BG322" s="11" t="e">
        <f t="shared" si="227"/>
        <v>#VALUE!</v>
      </c>
      <c r="BH322" t="str">
        <f t="shared" si="228"/>
        <v/>
      </c>
      <c r="BI322" t="str" cm="1">
        <f t="array" ref="BI322">_xlfn.IFS(
  L322&gt;0,"Critical Fail",
  M322&gt;0,"Important (Coaching)",
  TRUE,"Clean Pass"
)</f>
        <v>Clean Pass</v>
      </c>
      <c r="BJ322" t="str">
        <f t="shared" si="229"/>
        <v>NA</v>
      </c>
    </row>
    <row r="323" spans="1:62" x14ac:dyDescent="0.3">
      <c r="A323">
        <v>917509</v>
      </c>
      <c r="K323" t="str">
        <f t="shared" si="230"/>
        <v>Pass</v>
      </c>
      <c r="L323" s="15">
        <f t="shared" si="195"/>
        <v>0</v>
      </c>
      <c r="M323" s="15">
        <f t="shared" si="196"/>
        <v>0</v>
      </c>
      <c r="Z323" s="15">
        <f t="shared" si="197"/>
        <v>1</v>
      </c>
      <c r="AA323" s="15">
        <f t="shared" si="198"/>
        <v>1</v>
      </c>
      <c r="AB323" s="15">
        <f t="shared" si="199"/>
        <v>1</v>
      </c>
      <c r="AC323" s="15">
        <f t="shared" si="200"/>
        <v>1</v>
      </c>
      <c r="AD323" s="15">
        <f t="shared" si="201"/>
        <v>1</v>
      </c>
      <c r="AE323" s="15">
        <f t="shared" si="202"/>
        <v>1</v>
      </c>
      <c r="AF323" s="15">
        <f t="shared" si="203"/>
        <v>1</v>
      </c>
      <c r="AG323" s="15">
        <f t="shared" si="204"/>
        <v>1</v>
      </c>
      <c r="AH323" s="15">
        <f t="shared" si="205"/>
        <v>1</v>
      </c>
      <c r="AI323" s="15">
        <f t="shared" si="206"/>
        <v>1</v>
      </c>
      <c r="AJ323" s="15">
        <f t="shared" si="207"/>
        <v>1</v>
      </c>
      <c r="AK323" s="15">
        <f t="shared" si="208"/>
        <v>1</v>
      </c>
      <c r="AL323" s="15">
        <f t="shared" si="209"/>
        <v>1</v>
      </c>
      <c r="AM323" s="15">
        <f t="shared" si="210"/>
        <v>1</v>
      </c>
      <c r="AN323" s="15">
        <f t="shared" si="211"/>
        <v>1</v>
      </c>
      <c r="AO323" s="15">
        <f t="shared" si="212"/>
        <v>1</v>
      </c>
      <c r="AP323" s="15">
        <f t="shared" si="213"/>
        <v>1</v>
      </c>
      <c r="AQ323" s="15">
        <f t="shared" si="214"/>
        <v>1</v>
      </c>
      <c r="AR323" s="15">
        <f t="shared" si="215"/>
        <v>1</v>
      </c>
      <c r="AS323" s="15">
        <f t="shared" si="216"/>
        <v>1</v>
      </c>
      <c r="AT323" s="15">
        <f t="shared" si="217"/>
        <v>1</v>
      </c>
      <c r="AU323" s="15">
        <f t="shared" si="218"/>
        <v>1</v>
      </c>
      <c r="AV323" s="15">
        <f t="shared" si="219"/>
        <v>1</v>
      </c>
      <c r="AW323" s="15">
        <f t="shared" si="220"/>
        <v>1</v>
      </c>
      <c r="AX323" s="15">
        <f t="shared" si="221"/>
        <v>1</v>
      </c>
      <c r="AY323" s="15">
        <f t="shared" si="222"/>
        <v>1</v>
      </c>
      <c r="AZ323" s="15">
        <f t="shared" si="223"/>
        <v>1</v>
      </c>
      <c r="BA323" s="15">
        <f t="shared" si="224"/>
        <v>1</v>
      </c>
      <c r="BB323" s="15">
        <f t="shared" si="231"/>
        <v>0</v>
      </c>
      <c r="BC323" s="15" t="str">
        <f t="shared" si="232"/>
        <v/>
      </c>
      <c r="BD323" s="15" t="str">
        <f t="shared" si="233"/>
        <v/>
      </c>
      <c r="BE323" s="11" t="e">
        <f t="shared" si="225"/>
        <v>#VALUE!</v>
      </c>
      <c r="BF323" s="11" t="e">
        <f t="shared" si="226"/>
        <v>#VALUE!</v>
      </c>
      <c r="BG323" s="11" t="e">
        <f t="shared" si="227"/>
        <v>#VALUE!</v>
      </c>
      <c r="BH323" t="str">
        <f t="shared" si="228"/>
        <v/>
      </c>
      <c r="BI323" t="str" cm="1">
        <f t="array" ref="BI323">_xlfn.IFS(
  L323&gt;0,"Critical Fail",
  M323&gt;0,"Important (Coaching)",
  TRUE,"Clean Pass"
)</f>
        <v>Clean Pass</v>
      </c>
      <c r="BJ323" t="str">
        <f t="shared" si="229"/>
        <v>NA</v>
      </c>
    </row>
    <row r="324" spans="1:62" x14ac:dyDescent="0.3">
      <c r="A324">
        <v>487123</v>
      </c>
      <c r="K324" t="str">
        <f t="shared" si="230"/>
        <v>Pass</v>
      </c>
      <c r="L324" s="15">
        <f t="shared" si="195"/>
        <v>0</v>
      </c>
      <c r="M324" s="15">
        <f t="shared" si="196"/>
        <v>0</v>
      </c>
      <c r="Z324" s="15">
        <f t="shared" si="197"/>
        <v>1</v>
      </c>
      <c r="AA324" s="15">
        <f t="shared" si="198"/>
        <v>1</v>
      </c>
      <c r="AB324" s="15">
        <f t="shared" si="199"/>
        <v>1</v>
      </c>
      <c r="AC324" s="15">
        <f t="shared" si="200"/>
        <v>1</v>
      </c>
      <c r="AD324" s="15">
        <f t="shared" si="201"/>
        <v>1</v>
      </c>
      <c r="AE324" s="15">
        <f t="shared" si="202"/>
        <v>1</v>
      </c>
      <c r="AF324" s="15">
        <f t="shared" si="203"/>
        <v>1</v>
      </c>
      <c r="AG324" s="15">
        <f t="shared" si="204"/>
        <v>1</v>
      </c>
      <c r="AH324" s="15">
        <f t="shared" si="205"/>
        <v>1</v>
      </c>
      <c r="AI324" s="15">
        <f t="shared" si="206"/>
        <v>1</v>
      </c>
      <c r="AJ324" s="15">
        <f t="shared" si="207"/>
        <v>1</v>
      </c>
      <c r="AK324" s="15">
        <f t="shared" si="208"/>
        <v>1</v>
      </c>
      <c r="AL324" s="15">
        <f t="shared" si="209"/>
        <v>1</v>
      </c>
      <c r="AM324" s="15">
        <f t="shared" si="210"/>
        <v>1</v>
      </c>
      <c r="AN324" s="15">
        <f t="shared" si="211"/>
        <v>1</v>
      </c>
      <c r="AO324" s="15">
        <f t="shared" si="212"/>
        <v>1</v>
      </c>
      <c r="AP324" s="15">
        <f t="shared" si="213"/>
        <v>1</v>
      </c>
      <c r="AQ324" s="15">
        <f t="shared" si="214"/>
        <v>1</v>
      </c>
      <c r="AR324" s="15">
        <f t="shared" si="215"/>
        <v>1</v>
      </c>
      <c r="AS324" s="15">
        <f t="shared" si="216"/>
        <v>1</v>
      </c>
      <c r="AT324" s="15">
        <f t="shared" si="217"/>
        <v>1</v>
      </c>
      <c r="AU324" s="15">
        <f t="shared" si="218"/>
        <v>1</v>
      </c>
      <c r="AV324" s="15">
        <f t="shared" si="219"/>
        <v>1</v>
      </c>
      <c r="AW324" s="15">
        <f t="shared" si="220"/>
        <v>1</v>
      </c>
      <c r="AX324" s="15">
        <f t="shared" si="221"/>
        <v>1</v>
      </c>
      <c r="AY324" s="15">
        <f t="shared" si="222"/>
        <v>1</v>
      </c>
      <c r="AZ324" s="15">
        <f t="shared" si="223"/>
        <v>1</v>
      </c>
      <c r="BA324" s="15">
        <f t="shared" si="224"/>
        <v>1</v>
      </c>
      <c r="BB324" s="15">
        <f t="shared" si="231"/>
        <v>0</v>
      </c>
      <c r="BC324" s="15" t="str">
        <f t="shared" si="232"/>
        <v/>
      </c>
      <c r="BD324" s="15" t="str">
        <f t="shared" si="233"/>
        <v/>
      </c>
      <c r="BE324" s="11" t="e">
        <f t="shared" si="225"/>
        <v>#VALUE!</v>
      </c>
      <c r="BF324" s="11" t="e">
        <f t="shared" si="226"/>
        <v>#VALUE!</v>
      </c>
      <c r="BG324" s="11" t="e">
        <f t="shared" si="227"/>
        <v>#VALUE!</v>
      </c>
      <c r="BH324" t="str">
        <f t="shared" si="228"/>
        <v/>
      </c>
      <c r="BI324" t="str" cm="1">
        <f t="array" ref="BI324">_xlfn.IFS(
  L324&gt;0,"Critical Fail",
  M324&gt;0,"Important (Coaching)",
  TRUE,"Clean Pass"
)</f>
        <v>Clean Pass</v>
      </c>
      <c r="BJ324" t="str">
        <f t="shared" si="229"/>
        <v>NA</v>
      </c>
    </row>
    <row r="325" spans="1:62" x14ac:dyDescent="0.3">
      <c r="A325">
        <v>496880</v>
      </c>
      <c r="K325" t="str">
        <f t="shared" si="230"/>
        <v>Pass</v>
      </c>
      <c r="L325" s="15">
        <f t="shared" si="195"/>
        <v>0</v>
      </c>
      <c r="M325" s="15">
        <f t="shared" si="196"/>
        <v>0</v>
      </c>
      <c r="Z325" s="15">
        <f t="shared" si="197"/>
        <v>1</v>
      </c>
      <c r="AA325" s="15">
        <f t="shared" si="198"/>
        <v>1</v>
      </c>
      <c r="AB325" s="15">
        <f t="shared" si="199"/>
        <v>1</v>
      </c>
      <c r="AC325" s="15">
        <f t="shared" si="200"/>
        <v>1</v>
      </c>
      <c r="AD325" s="15">
        <f t="shared" si="201"/>
        <v>1</v>
      </c>
      <c r="AE325" s="15">
        <f t="shared" si="202"/>
        <v>1</v>
      </c>
      <c r="AF325" s="15">
        <f t="shared" si="203"/>
        <v>1</v>
      </c>
      <c r="AG325" s="15">
        <f t="shared" si="204"/>
        <v>1</v>
      </c>
      <c r="AH325" s="15">
        <f t="shared" si="205"/>
        <v>1</v>
      </c>
      <c r="AI325" s="15">
        <f t="shared" si="206"/>
        <v>1</v>
      </c>
      <c r="AJ325" s="15">
        <f t="shared" si="207"/>
        <v>1</v>
      </c>
      <c r="AK325" s="15">
        <f t="shared" si="208"/>
        <v>1</v>
      </c>
      <c r="AL325" s="15">
        <f t="shared" si="209"/>
        <v>1</v>
      </c>
      <c r="AM325" s="15">
        <f t="shared" si="210"/>
        <v>1</v>
      </c>
      <c r="AN325" s="15">
        <f t="shared" si="211"/>
        <v>1</v>
      </c>
      <c r="AO325" s="15">
        <f t="shared" si="212"/>
        <v>1</v>
      </c>
      <c r="AP325" s="15">
        <f t="shared" si="213"/>
        <v>1</v>
      </c>
      <c r="AQ325" s="15">
        <f t="shared" si="214"/>
        <v>1</v>
      </c>
      <c r="AR325" s="15">
        <f t="shared" si="215"/>
        <v>1</v>
      </c>
      <c r="AS325" s="15">
        <f t="shared" si="216"/>
        <v>1</v>
      </c>
      <c r="AT325" s="15">
        <f t="shared" si="217"/>
        <v>1</v>
      </c>
      <c r="AU325" s="15">
        <f t="shared" si="218"/>
        <v>1</v>
      </c>
      <c r="AV325" s="15">
        <f t="shared" si="219"/>
        <v>1</v>
      </c>
      <c r="AW325" s="15">
        <f t="shared" si="220"/>
        <v>1</v>
      </c>
      <c r="AX325" s="15">
        <f t="shared" si="221"/>
        <v>1</v>
      </c>
      <c r="AY325" s="15">
        <f t="shared" si="222"/>
        <v>1</v>
      </c>
      <c r="AZ325" s="15">
        <f t="shared" si="223"/>
        <v>1</v>
      </c>
      <c r="BA325" s="15">
        <f t="shared" si="224"/>
        <v>1</v>
      </c>
      <c r="BB325" s="15">
        <f t="shared" si="231"/>
        <v>0</v>
      </c>
      <c r="BC325" s="15" t="str">
        <f t="shared" si="232"/>
        <v/>
      </c>
      <c r="BD325" s="15" t="str">
        <f t="shared" si="233"/>
        <v/>
      </c>
      <c r="BE325" s="11" t="e">
        <f t="shared" si="225"/>
        <v>#VALUE!</v>
      </c>
      <c r="BF325" s="11" t="e">
        <f t="shared" si="226"/>
        <v>#VALUE!</v>
      </c>
      <c r="BG325" s="11" t="e">
        <f t="shared" si="227"/>
        <v>#VALUE!</v>
      </c>
      <c r="BH325" t="str">
        <f t="shared" si="228"/>
        <v/>
      </c>
      <c r="BI325" t="str" cm="1">
        <f t="array" ref="BI325">_xlfn.IFS(
  L325&gt;0,"Critical Fail",
  M325&gt;0,"Important (Coaching)",
  TRUE,"Clean Pass"
)</f>
        <v>Clean Pass</v>
      </c>
      <c r="BJ325" t="str">
        <f t="shared" si="229"/>
        <v>NA</v>
      </c>
    </row>
    <row r="326" spans="1:62" x14ac:dyDescent="0.3">
      <c r="A326">
        <v>426220</v>
      </c>
      <c r="K326" t="str">
        <f t="shared" si="230"/>
        <v>Pass</v>
      </c>
      <c r="L326" s="15">
        <f t="shared" si="195"/>
        <v>0</v>
      </c>
      <c r="M326" s="15">
        <f t="shared" si="196"/>
        <v>0</v>
      </c>
      <c r="Z326" s="15">
        <f t="shared" si="197"/>
        <v>1</v>
      </c>
      <c r="AA326" s="15">
        <f t="shared" si="198"/>
        <v>1</v>
      </c>
      <c r="AB326" s="15">
        <f t="shared" si="199"/>
        <v>1</v>
      </c>
      <c r="AC326" s="15">
        <f t="shared" si="200"/>
        <v>1</v>
      </c>
      <c r="AD326" s="15">
        <f t="shared" si="201"/>
        <v>1</v>
      </c>
      <c r="AE326" s="15">
        <f t="shared" si="202"/>
        <v>1</v>
      </c>
      <c r="AF326" s="15">
        <f t="shared" si="203"/>
        <v>1</v>
      </c>
      <c r="AG326" s="15">
        <f t="shared" si="204"/>
        <v>1</v>
      </c>
      <c r="AH326" s="15">
        <f t="shared" si="205"/>
        <v>1</v>
      </c>
      <c r="AI326" s="15">
        <f t="shared" si="206"/>
        <v>1</v>
      </c>
      <c r="AJ326" s="15">
        <f t="shared" si="207"/>
        <v>1</v>
      </c>
      <c r="AK326" s="15">
        <f t="shared" si="208"/>
        <v>1</v>
      </c>
      <c r="AL326" s="15">
        <f t="shared" si="209"/>
        <v>1</v>
      </c>
      <c r="AM326" s="15">
        <f t="shared" si="210"/>
        <v>1</v>
      </c>
      <c r="AN326" s="15">
        <f t="shared" si="211"/>
        <v>1</v>
      </c>
      <c r="AO326" s="15">
        <f t="shared" si="212"/>
        <v>1</v>
      </c>
      <c r="AP326" s="15">
        <f t="shared" si="213"/>
        <v>1</v>
      </c>
      <c r="AQ326" s="15">
        <f t="shared" si="214"/>
        <v>1</v>
      </c>
      <c r="AR326" s="15">
        <f t="shared" si="215"/>
        <v>1</v>
      </c>
      <c r="AS326" s="15">
        <f t="shared" si="216"/>
        <v>1</v>
      </c>
      <c r="AT326" s="15">
        <f t="shared" si="217"/>
        <v>1</v>
      </c>
      <c r="AU326" s="15">
        <f t="shared" si="218"/>
        <v>1</v>
      </c>
      <c r="AV326" s="15">
        <f t="shared" si="219"/>
        <v>1</v>
      </c>
      <c r="AW326" s="15">
        <f t="shared" si="220"/>
        <v>1</v>
      </c>
      <c r="AX326" s="15">
        <f t="shared" si="221"/>
        <v>1</v>
      </c>
      <c r="AY326" s="15">
        <f t="shared" si="222"/>
        <v>1</v>
      </c>
      <c r="AZ326" s="15">
        <f t="shared" si="223"/>
        <v>1</v>
      </c>
      <c r="BA326" s="15">
        <f t="shared" si="224"/>
        <v>1</v>
      </c>
      <c r="BB326" s="15">
        <f t="shared" si="231"/>
        <v>0</v>
      </c>
      <c r="BC326" s="15" t="str">
        <f t="shared" si="232"/>
        <v/>
      </c>
      <c r="BD326" s="15" t="str">
        <f t="shared" si="233"/>
        <v/>
      </c>
      <c r="BE326" s="11" t="e">
        <f t="shared" si="225"/>
        <v>#VALUE!</v>
      </c>
      <c r="BF326" s="11" t="e">
        <f t="shared" si="226"/>
        <v>#VALUE!</v>
      </c>
      <c r="BG326" s="11" t="e">
        <f t="shared" si="227"/>
        <v>#VALUE!</v>
      </c>
      <c r="BH326" t="str">
        <f t="shared" si="228"/>
        <v/>
      </c>
      <c r="BI326" t="str" cm="1">
        <f t="array" ref="BI326">_xlfn.IFS(
  L326&gt;0,"Critical Fail",
  M326&gt;0,"Important (Coaching)",
  TRUE,"Clean Pass"
)</f>
        <v>Clean Pass</v>
      </c>
      <c r="BJ326" t="str">
        <f t="shared" si="229"/>
        <v>NA</v>
      </c>
    </row>
    <row r="327" spans="1:62" x14ac:dyDescent="0.3">
      <c r="A327">
        <v>922817</v>
      </c>
      <c r="K327" t="str">
        <f t="shared" si="230"/>
        <v>Pass</v>
      </c>
      <c r="L327" s="15">
        <f t="shared" si="195"/>
        <v>0</v>
      </c>
      <c r="M327" s="15">
        <f t="shared" si="196"/>
        <v>0</v>
      </c>
      <c r="Z327" s="15">
        <f t="shared" si="197"/>
        <v>1</v>
      </c>
      <c r="AA327" s="15">
        <f t="shared" si="198"/>
        <v>1</v>
      </c>
      <c r="AB327" s="15">
        <f t="shared" si="199"/>
        <v>1</v>
      </c>
      <c r="AC327" s="15">
        <f t="shared" si="200"/>
        <v>1</v>
      </c>
      <c r="AD327" s="15">
        <f t="shared" si="201"/>
        <v>1</v>
      </c>
      <c r="AE327" s="15">
        <f t="shared" si="202"/>
        <v>1</v>
      </c>
      <c r="AF327" s="15">
        <f t="shared" si="203"/>
        <v>1</v>
      </c>
      <c r="AG327" s="15">
        <f t="shared" si="204"/>
        <v>1</v>
      </c>
      <c r="AH327" s="15">
        <f t="shared" si="205"/>
        <v>1</v>
      </c>
      <c r="AI327" s="15">
        <f t="shared" si="206"/>
        <v>1</v>
      </c>
      <c r="AJ327" s="15">
        <f t="shared" si="207"/>
        <v>1</v>
      </c>
      <c r="AK327" s="15">
        <f t="shared" si="208"/>
        <v>1</v>
      </c>
      <c r="AL327" s="15">
        <f t="shared" si="209"/>
        <v>1</v>
      </c>
      <c r="AM327" s="15">
        <f t="shared" si="210"/>
        <v>1</v>
      </c>
      <c r="AN327" s="15">
        <f t="shared" si="211"/>
        <v>1</v>
      </c>
      <c r="AO327" s="15">
        <f t="shared" si="212"/>
        <v>1</v>
      </c>
      <c r="AP327" s="15">
        <f t="shared" si="213"/>
        <v>1</v>
      </c>
      <c r="AQ327" s="15">
        <f t="shared" si="214"/>
        <v>1</v>
      </c>
      <c r="AR327" s="15">
        <f t="shared" si="215"/>
        <v>1</v>
      </c>
      <c r="AS327" s="15">
        <f t="shared" si="216"/>
        <v>1</v>
      </c>
      <c r="AT327" s="15">
        <f t="shared" si="217"/>
        <v>1</v>
      </c>
      <c r="AU327" s="15">
        <f t="shared" si="218"/>
        <v>1</v>
      </c>
      <c r="AV327" s="15">
        <f t="shared" si="219"/>
        <v>1</v>
      </c>
      <c r="AW327" s="15">
        <f t="shared" si="220"/>
        <v>1</v>
      </c>
      <c r="AX327" s="15">
        <f t="shared" si="221"/>
        <v>1</v>
      </c>
      <c r="AY327" s="15">
        <f t="shared" si="222"/>
        <v>1</v>
      </c>
      <c r="AZ327" s="15">
        <f t="shared" si="223"/>
        <v>1</v>
      </c>
      <c r="BA327" s="15">
        <f t="shared" si="224"/>
        <v>1</v>
      </c>
      <c r="BB327" s="15">
        <f t="shared" si="231"/>
        <v>0</v>
      </c>
      <c r="BC327" s="15" t="str">
        <f t="shared" si="232"/>
        <v/>
      </c>
      <c r="BD327" s="15" t="str">
        <f t="shared" si="233"/>
        <v/>
      </c>
      <c r="BE327" s="11" t="e">
        <f t="shared" si="225"/>
        <v>#VALUE!</v>
      </c>
      <c r="BF327" s="11" t="e">
        <f t="shared" si="226"/>
        <v>#VALUE!</v>
      </c>
      <c r="BG327" s="11" t="e">
        <f t="shared" si="227"/>
        <v>#VALUE!</v>
      </c>
      <c r="BH327" t="str">
        <f t="shared" si="228"/>
        <v/>
      </c>
      <c r="BI327" t="str" cm="1">
        <f t="array" ref="BI327">_xlfn.IFS(
  L327&gt;0,"Critical Fail",
  M327&gt;0,"Important (Coaching)",
  TRUE,"Clean Pass"
)</f>
        <v>Clean Pass</v>
      </c>
      <c r="BJ327" t="str">
        <f t="shared" si="229"/>
        <v>NA</v>
      </c>
    </row>
    <row r="328" spans="1:62" x14ac:dyDescent="0.3">
      <c r="A328">
        <v>206983</v>
      </c>
      <c r="K328" t="str">
        <f t="shared" si="230"/>
        <v>Pass</v>
      </c>
      <c r="L328" s="15">
        <f t="shared" si="195"/>
        <v>0</v>
      </c>
      <c r="M328" s="15">
        <f t="shared" si="196"/>
        <v>0</v>
      </c>
      <c r="Z328" s="15">
        <f t="shared" si="197"/>
        <v>1</v>
      </c>
      <c r="AA328" s="15">
        <f t="shared" si="198"/>
        <v>1</v>
      </c>
      <c r="AB328" s="15">
        <f t="shared" si="199"/>
        <v>1</v>
      </c>
      <c r="AC328" s="15">
        <f t="shared" si="200"/>
        <v>1</v>
      </c>
      <c r="AD328" s="15">
        <f t="shared" si="201"/>
        <v>1</v>
      </c>
      <c r="AE328" s="15">
        <f t="shared" si="202"/>
        <v>1</v>
      </c>
      <c r="AF328" s="15">
        <f t="shared" si="203"/>
        <v>1</v>
      </c>
      <c r="AG328" s="15">
        <f t="shared" si="204"/>
        <v>1</v>
      </c>
      <c r="AH328" s="15">
        <f t="shared" si="205"/>
        <v>1</v>
      </c>
      <c r="AI328" s="15">
        <f t="shared" si="206"/>
        <v>1</v>
      </c>
      <c r="AJ328" s="15">
        <f t="shared" si="207"/>
        <v>1</v>
      </c>
      <c r="AK328" s="15">
        <f t="shared" si="208"/>
        <v>1</v>
      </c>
      <c r="AL328" s="15">
        <f t="shared" si="209"/>
        <v>1</v>
      </c>
      <c r="AM328" s="15">
        <f t="shared" si="210"/>
        <v>1</v>
      </c>
      <c r="AN328" s="15">
        <f t="shared" si="211"/>
        <v>1</v>
      </c>
      <c r="AO328" s="15">
        <f t="shared" si="212"/>
        <v>1</v>
      </c>
      <c r="AP328" s="15">
        <f t="shared" si="213"/>
        <v>1</v>
      </c>
      <c r="AQ328" s="15">
        <f t="shared" si="214"/>
        <v>1</v>
      </c>
      <c r="AR328" s="15">
        <f t="shared" si="215"/>
        <v>1</v>
      </c>
      <c r="AS328" s="15">
        <f t="shared" si="216"/>
        <v>1</v>
      </c>
      <c r="AT328" s="15">
        <f t="shared" si="217"/>
        <v>1</v>
      </c>
      <c r="AU328" s="15">
        <f t="shared" si="218"/>
        <v>1</v>
      </c>
      <c r="AV328" s="15">
        <f t="shared" si="219"/>
        <v>1</v>
      </c>
      <c r="AW328" s="15">
        <f t="shared" si="220"/>
        <v>1</v>
      </c>
      <c r="AX328" s="15">
        <f t="shared" si="221"/>
        <v>1</v>
      </c>
      <c r="AY328" s="15">
        <f t="shared" si="222"/>
        <v>1</v>
      </c>
      <c r="AZ328" s="15">
        <f t="shared" si="223"/>
        <v>1</v>
      </c>
      <c r="BA328" s="15">
        <f t="shared" si="224"/>
        <v>1</v>
      </c>
      <c r="BB328" s="15">
        <f t="shared" si="231"/>
        <v>0</v>
      </c>
      <c r="BC328" s="15" t="str">
        <f t="shared" si="232"/>
        <v/>
      </c>
      <c r="BD328" s="15" t="str">
        <f t="shared" si="233"/>
        <v/>
      </c>
      <c r="BE328" s="11" t="e">
        <f t="shared" si="225"/>
        <v>#VALUE!</v>
      </c>
      <c r="BF328" s="11" t="e">
        <f t="shared" si="226"/>
        <v>#VALUE!</v>
      </c>
      <c r="BG328" s="11" t="e">
        <f t="shared" si="227"/>
        <v>#VALUE!</v>
      </c>
      <c r="BH328" t="str">
        <f t="shared" si="228"/>
        <v/>
      </c>
      <c r="BI328" t="str" cm="1">
        <f t="array" ref="BI328">_xlfn.IFS(
  L328&gt;0,"Critical Fail",
  M328&gt;0,"Important (Coaching)",
  TRUE,"Clean Pass"
)</f>
        <v>Clean Pass</v>
      </c>
      <c r="BJ328" t="str">
        <f t="shared" si="229"/>
        <v>NA</v>
      </c>
    </row>
    <row r="329" spans="1:62" x14ac:dyDescent="0.3">
      <c r="A329">
        <v>404297</v>
      </c>
      <c r="K329" t="str">
        <f t="shared" si="230"/>
        <v>Pass</v>
      </c>
      <c r="L329" s="15">
        <f t="shared" si="195"/>
        <v>0</v>
      </c>
      <c r="M329" s="15">
        <f t="shared" si="196"/>
        <v>0</v>
      </c>
      <c r="Z329" s="15">
        <f t="shared" si="197"/>
        <v>1</v>
      </c>
      <c r="AA329" s="15">
        <f t="shared" si="198"/>
        <v>1</v>
      </c>
      <c r="AB329" s="15">
        <f t="shared" si="199"/>
        <v>1</v>
      </c>
      <c r="AC329" s="15">
        <f t="shared" si="200"/>
        <v>1</v>
      </c>
      <c r="AD329" s="15">
        <f t="shared" si="201"/>
        <v>1</v>
      </c>
      <c r="AE329" s="15">
        <f t="shared" si="202"/>
        <v>1</v>
      </c>
      <c r="AF329" s="15">
        <f t="shared" si="203"/>
        <v>1</v>
      </c>
      <c r="AG329" s="15">
        <f t="shared" si="204"/>
        <v>1</v>
      </c>
      <c r="AH329" s="15">
        <f t="shared" si="205"/>
        <v>1</v>
      </c>
      <c r="AI329" s="15">
        <f t="shared" si="206"/>
        <v>1</v>
      </c>
      <c r="AJ329" s="15">
        <f t="shared" si="207"/>
        <v>1</v>
      </c>
      <c r="AK329" s="15">
        <f t="shared" si="208"/>
        <v>1</v>
      </c>
      <c r="AL329" s="15">
        <f t="shared" si="209"/>
        <v>1</v>
      </c>
      <c r="AM329" s="15">
        <f t="shared" si="210"/>
        <v>1</v>
      </c>
      <c r="AN329" s="15">
        <f t="shared" si="211"/>
        <v>1</v>
      </c>
      <c r="AO329" s="15">
        <f t="shared" si="212"/>
        <v>1</v>
      </c>
      <c r="AP329" s="15">
        <f t="shared" si="213"/>
        <v>1</v>
      </c>
      <c r="AQ329" s="15">
        <f t="shared" si="214"/>
        <v>1</v>
      </c>
      <c r="AR329" s="15">
        <f t="shared" si="215"/>
        <v>1</v>
      </c>
      <c r="AS329" s="15">
        <f t="shared" si="216"/>
        <v>1</v>
      </c>
      <c r="AT329" s="15">
        <f t="shared" si="217"/>
        <v>1</v>
      </c>
      <c r="AU329" s="15">
        <f t="shared" si="218"/>
        <v>1</v>
      </c>
      <c r="AV329" s="15">
        <f t="shared" si="219"/>
        <v>1</v>
      </c>
      <c r="AW329" s="15">
        <f t="shared" si="220"/>
        <v>1</v>
      </c>
      <c r="AX329" s="15">
        <f t="shared" si="221"/>
        <v>1</v>
      </c>
      <c r="AY329" s="15">
        <f t="shared" si="222"/>
        <v>1</v>
      </c>
      <c r="AZ329" s="15">
        <f t="shared" si="223"/>
        <v>1</v>
      </c>
      <c r="BA329" s="15">
        <f t="shared" si="224"/>
        <v>1</v>
      </c>
      <c r="BB329" s="15">
        <f t="shared" si="231"/>
        <v>0</v>
      </c>
      <c r="BC329" s="15" t="str">
        <f t="shared" si="232"/>
        <v/>
      </c>
      <c r="BD329" s="15" t="str">
        <f t="shared" si="233"/>
        <v/>
      </c>
      <c r="BE329" s="11" t="e">
        <f t="shared" si="225"/>
        <v>#VALUE!</v>
      </c>
      <c r="BF329" s="11" t="e">
        <f t="shared" si="226"/>
        <v>#VALUE!</v>
      </c>
      <c r="BG329" s="11" t="e">
        <f t="shared" si="227"/>
        <v>#VALUE!</v>
      </c>
      <c r="BH329" t="str">
        <f t="shared" si="228"/>
        <v/>
      </c>
      <c r="BI329" t="str" cm="1">
        <f t="array" ref="BI329">_xlfn.IFS(
  L329&gt;0,"Critical Fail",
  M329&gt;0,"Important (Coaching)",
  TRUE,"Clean Pass"
)</f>
        <v>Clean Pass</v>
      </c>
      <c r="BJ329" t="str">
        <f t="shared" si="229"/>
        <v>NA</v>
      </c>
    </row>
    <row r="330" spans="1:62" x14ac:dyDescent="0.3">
      <c r="A330">
        <v>240406</v>
      </c>
      <c r="K330" t="str">
        <f t="shared" si="230"/>
        <v>Pass</v>
      </c>
      <c r="L330" s="15">
        <f t="shared" si="195"/>
        <v>0</v>
      </c>
      <c r="M330" s="15">
        <f t="shared" si="196"/>
        <v>0</v>
      </c>
      <c r="Z330" s="15">
        <f t="shared" si="197"/>
        <v>1</v>
      </c>
      <c r="AA330" s="15">
        <f t="shared" si="198"/>
        <v>1</v>
      </c>
      <c r="AB330" s="15">
        <f t="shared" si="199"/>
        <v>1</v>
      </c>
      <c r="AC330" s="15">
        <f t="shared" si="200"/>
        <v>1</v>
      </c>
      <c r="AD330" s="15">
        <f t="shared" si="201"/>
        <v>1</v>
      </c>
      <c r="AE330" s="15">
        <f t="shared" si="202"/>
        <v>1</v>
      </c>
      <c r="AF330" s="15">
        <f t="shared" si="203"/>
        <v>1</v>
      </c>
      <c r="AG330" s="15">
        <f t="shared" si="204"/>
        <v>1</v>
      </c>
      <c r="AH330" s="15">
        <f t="shared" si="205"/>
        <v>1</v>
      </c>
      <c r="AI330" s="15">
        <f t="shared" si="206"/>
        <v>1</v>
      </c>
      <c r="AJ330" s="15">
        <f t="shared" si="207"/>
        <v>1</v>
      </c>
      <c r="AK330" s="15">
        <f t="shared" si="208"/>
        <v>1</v>
      </c>
      <c r="AL330" s="15">
        <f t="shared" si="209"/>
        <v>1</v>
      </c>
      <c r="AM330" s="15">
        <f t="shared" si="210"/>
        <v>1</v>
      </c>
      <c r="AN330" s="15">
        <f t="shared" si="211"/>
        <v>1</v>
      </c>
      <c r="AO330" s="15">
        <f t="shared" si="212"/>
        <v>1</v>
      </c>
      <c r="AP330" s="15">
        <f t="shared" si="213"/>
        <v>1</v>
      </c>
      <c r="AQ330" s="15">
        <f t="shared" si="214"/>
        <v>1</v>
      </c>
      <c r="AR330" s="15">
        <f t="shared" si="215"/>
        <v>1</v>
      </c>
      <c r="AS330" s="15">
        <f t="shared" si="216"/>
        <v>1</v>
      </c>
      <c r="AT330" s="15">
        <f t="shared" si="217"/>
        <v>1</v>
      </c>
      <c r="AU330" s="15">
        <f t="shared" si="218"/>
        <v>1</v>
      </c>
      <c r="AV330" s="15">
        <f t="shared" si="219"/>
        <v>1</v>
      </c>
      <c r="AW330" s="15">
        <f t="shared" si="220"/>
        <v>1</v>
      </c>
      <c r="AX330" s="15">
        <f t="shared" si="221"/>
        <v>1</v>
      </c>
      <c r="AY330" s="15">
        <f t="shared" si="222"/>
        <v>1</v>
      </c>
      <c r="AZ330" s="15">
        <f t="shared" si="223"/>
        <v>1</v>
      </c>
      <c r="BA330" s="15">
        <f t="shared" si="224"/>
        <v>1</v>
      </c>
      <c r="BB330" s="15">
        <f t="shared" si="231"/>
        <v>0</v>
      </c>
      <c r="BC330" s="15" t="str">
        <f t="shared" si="232"/>
        <v/>
      </c>
      <c r="BD330" s="15" t="str">
        <f t="shared" si="233"/>
        <v/>
      </c>
      <c r="BE330" s="11" t="e">
        <f t="shared" si="225"/>
        <v>#VALUE!</v>
      </c>
      <c r="BF330" s="11" t="e">
        <f t="shared" si="226"/>
        <v>#VALUE!</v>
      </c>
      <c r="BG330" s="11" t="e">
        <f t="shared" si="227"/>
        <v>#VALUE!</v>
      </c>
      <c r="BH330" t="str">
        <f t="shared" si="228"/>
        <v/>
      </c>
      <c r="BI330" t="str" cm="1">
        <f t="array" ref="BI330">_xlfn.IFS(
  L330&gt;0,"Critical Fail",
  M330&gt;0,"Important (Coaching)",
  TRUE,"Clean Pass"
)</f>
        <v>Clean Pass</v>
      </c>
      <c r="BJ330" t="str">
        <f t="shared" si="229"/>
        <v>NA</v>
      </c>
    </row>
    <row r="331" spans="1:62" x14ac:dyDescent="0.3">
      <c r="A331">
        <v>888456</v>
      </c>
      <c r="K331" t="str">
        <f t="shared" si="230"/>
        <v>Pass</v>
      </c>
      <c r="L331" s="15">
        <f t="shared" si="195"/>
        <v>0</v>
      </c>
      <c r="M331" s="15">
        <f t="shared" si="196"/>
        <v>0</v>
      </c>
      <c r="Z331" s="15">
        <f t="shared" si="197"/>
        <v>1</v>
      </c>
      <c r="AA331" s="15">
        <f t="shared" si="198"/>
        <v>1</v>
      </c>
      <c r="AB331" s="15">
        <f t="shared" si="199"/>
        <v>1</v>
      </c>
      <c r="AC331" s="15">
        <f t="shared" si="200"/>
        <v>1</v>
      </c>
      <c r="AD331" s="15">
        <f t="shared" si="201"/>
        <v>1</v>
      </c>
      <c r="AE331" s="15">
        <f t="shared" si="202"/>
        <v>1</v>
      </c>
      <c r="AF331" s="15">
        <f t="shared" si="203"/>
        <v>1</v>
      </c>
      <c r="AG331" s="15">
        <f t="shared" si="204"/>
        <v>1</v>
      </c>
      <c r="AH331" s="15">
        <f t="shared" si="205"/>
        <v>1</v>
      </c>
      <c r="AI331" s="15">
        <f t="shared" si="206"/>
        <v>1</v>
      </c>
      <c r="AJ331" s="15">
        <f t="shared" si="207"/>
        <v>1</v>
      </c>
      <c r="AK331" s="15">
        <f t="shared" si="208"/>
        <v>1</v>
      </c>
      <c r="AL331" s="15">
        <f t="shared" si="209"/>
        <v>1</v>
      </c>
      <c r="AM331" s="15">
        <f t="shared" si="210"/>
        <v>1</v>
      </c>
      <c r="AN331" s="15">
        <f t="shared" si="211"/>
        <v>1</v>
      </c>
      <c r="AO331" s="15">
        <f t="shared" si="212"/>
        <v>1</v>
      </c>
      <c r="AP331" s="15">
        <f t="shared" si="213"/>
        <v>1</v>
      </c>
      <c r="AQ331" s="15">
        <f t="shared" si="214"/>
        <v>1</v>
      </c>
      <c r="AR331" s="15">
        <f t="shared" si="215"/>
        <v>1</v>
      </c>
      <c r="AS331" s="15">
        <f t="shared" si="216"/>
        <v>1</v>
      </c>
      <c r="AT331" s="15">
        <f t="shared" si="217"/>
        <v>1</v>
      </c>
      <c r="AU331" s="15">
        <f t="shared" si="218"/>
        <v>1</v>
      </c>
      <c r="AV331" s="15">
        <f t="shared" si="219"/>
        <v>1</v>
      </c>
      <c r="AW331" s="15">
        <f t="shared" si="220"/>
        <v>1</v>
      </c>
      <c r="AX331" s="15">
        <f t="shared" si="221"/>
        <v>1</v>
      </c>
      <c r="AY331" s="15">
        <f t="shared" si="222"/>
        <v>1</v>
      </c>
      <c r="AZ331" s="15">
        <f t="shared" si="223"/>
        <v>1</v>
      </c>
      <c r="BA331" s="15">
        <f t="shared" si="224"/>
        <v>1</v>
      </c>
      <c r="BB331" s="15">
        <f t="shared" si="231"/>
        <v>0</v>
      </c>
      <c r="BC331" s="15" t="str">
        <f t="shared" si="232"/>
        <v/>
      </c>
      <c r="BD331" s="15" t="str">
        <f t="shared" si="233"/>
        <v/>
      </c>
      <c r="BE331" s="11" t="e">
        <f t="shared" si="225"/>
        <v>#VALUE!</v>
      </c>
      <c r="BF331" s="11" t="e">
        <f t="shared" si="226"/>
        <v>#VALUE!</v>
      </c>
      <c r="BG331" s="11" t="e">
        <f t="shared" si="227"/>
        <v>#VALUE!</v>
      </c>
      <c r="BH331" t="str">
        <f t="shared" si="228"/>
        <v/>
      </c>
      <c r="BI331" t="str" cm="1">
        <f t="array" ref="BI331">_xlfn.IFS(
  L331&gt;0,"Critical Fail",
  M331&gt;0,"Important (Coaching)",
  TRUE,"Clean Pass"
)</f>
        <v>Clean Pass</v>
      </c>
      <c r="BJ331" t="str">
        <f t="shared" si="229"/>
        <v>NA</v>
      </c>
    </row>
    <row r="332" spans="1:62" x14ac:dyDescent="0.3">
      <c r="A332">
        <v>449347</v>
      </c>
      <c r="K332" t="str">
        <f t="shared" si="230"/>
        <v>Pass</v>
      </c>
      <c r="L332" s="15">
        <f t="shared" si="195"/>
        <v>0</v>
      </c>
      <c r="M332" s="15">
        <f t="shared" si="196"/>
        <v>0</v>
      </c>
      <c r="Z332" s="15">
        <f t="shared" si="197"/>
        <v>1</v>
      </c>
      <c r="AA332" s="15">
        <f t="shared" si="198"/>
        <v>1</v>
      </c>
      <c r="AB332" s="15">
        <f t="shared" si="199"/>
        <v>1</v>
      </c>
      <c r="AC332" s="15">
        <f t="shared" si="200"/>
        <v>1</v>
      </c>
      <c r="AD332" s="15">
        <f t="shared" si="201"/>
        <v>1</v>
      </c>
      <c r="AE332" s="15">
        <f t="shared" si="202"/>
        <v>1</v>
      </c>
      <c r="AF332" s="15">
        <f t="shared" si="203"/>
        <v>1</v>
      </c>
      <c r="AG332" s="15">
        <f t="shared" si="204"/>
        <v>1</v>
      </c>
      <c r="AH332" s="15">
        <f t="shared" si="205"/>
        <v>1</v>
      </c>
      <c r="AI332" s="15">
        <f t="shared" si="206"/>
        <v>1</v>
      </c>
      <c r="AJ332" s="15">
        <f t="shared" si="207"/>
        <v>1</v>
      </c>
      <c r="AK332" s="15">
        <f t="shared" si="208"/>
        <v>1</v>
      </c>
      <c r="AL332" s="15">
        <f t="shared" si="209"/>
        <v>1</v>
      </c>
      <c r="AM332" s="15">
        <f t="shared" si="210"/>
        <v>1</v>
      </c>
      <c r="AN332" s="15">
        <f t="shared" si="211"/>
        <v>1</v>
      </c>
      <c r="AO332" s="15">
        <f t="shared" si="212"/>
        <v>1</v>
      </c>
      <c r="AP332" s="15">
        <f t="shared" si="213"/>
        <v>1</v>
      </c>
      <c r="AQ332" s="15">
        <f t="shared" si="214"/>
        <v>1</v>
      </c>
      <c r="AR332" s="15">
        <f t="shared" si="215"/>
        <v>1</v>
      </c>
      <c r="AS332" s="15">
        <f t="shared" si="216"/>
        <v>1</v>
      </c>
      <c r="AT332" s="15">
        <f t="shared" si="217"/>
        <v>1</v>
      </c>
      <c r="AU332" s="15">
        <f t="shared" si="218"/>
        <v>1</v>
      </c>
      <c r="AV332" s="15">
        <f t="shared" si="219"/>
        <v>1</v>
      </c>
      <c r="AW332" s="15">
        <f t="shared" si="220"/>
        <v>1</v>
      </c>
      <c r="AX332" s="15">
        <f t="shared" si="221"/>
        <v>1</v>
      </c>
      <c r="AY332" s="15">
        <f t="shared" si="222"/>
        <v>1</v>
      </c>
      <c r="AZ332" s="15">
        <f t="shared" si="223"/>
        <v>1</v>
      </c>
      <c r="BA332" s="15">
        <f t="shared" si="224"/>
        <v>1</v>
      </c>
      <c r="BB332" s="15">
        <f t="shared" si="231"/>
        <v>0</v>
      </c>
      <c r="BC332" s="15" t="str">
        <f t="shared" si="232"/>
        <v/>
      </c>
      <c r="BD332" s="15" t="str">
        <f t="shared" si="233"/>
        <v/>
      </c>
      <c r="BE332" s="11" t="e">
        <f t="shared" si="225"/>
        <v>#VALUE!</v>
      </c>
      <c r="BF332" s="11" t="e">
        <f t="shared" si="226"/>
        <v>#VALUE!</v>
      </c>
      <c r="BG332" s="11" t="e">
        <f t="shared" si="227"/>
        <v>#VALUE!</v>
      </c>
      <c r="BH332" t="str">
        <f t="shared" si="228"/>
        <v/>
      </c>
      <c r="BI332" t="str" cm="1">
        <f t="array" ref="BI332">_xlfn.IFS(
  L332&gt;0,"Critical Fail",
  M332&gt;0,"Important (Coaching)",
  TRUE,"Clean Pass"
)</f>
        <v>Clean Pass</v>
      </c>
      <c r="BJ332" t="str">
        <f t="shared" si="229"/>
        <v>NA</v>
      </c>
    </row>
    <row r="333" spans="1:62" x14ac:dyDescent="0.3">
      <c r="A333">
        <v>864547</v>
      </c>
      <c r="K333" t="str">
        <f t="shared" si="230"/>
        <v>Pass</v>
      </c>
      <c r="L333" s="15">
        <f t="shared" si="195"/>
        <v>0</v>
      </c>
      <c r="M333" s="15">
        <f t="shared" si="196"/>
        <v>0</v>
      </c>
      <c r="Z333" s="15">
        <f t="shared" si="197"/>
        <v>1</v>
      </c>
      <c r="AA333" s="15">
        <f t="shared" si="198"/>
        <v>1</v>
      </c>
      <c r="AB333" s="15">
        <f t="shared" si="199"/>
        <v>1</v>
      </c>
      <c r="AC333" s="15">
        <f t="shared" si="200"/>
        <v>1</v>
      </c>
      <c r="AD333" s="15">
        <f t="shared" si="201"/>
        <v>1</v>
      </c>
      <c r="AE333" s="15">
        <f t="shared" si="202"/>
        <v>1</v>
      </c>
      <c r="AF333" s="15">
        <f t="shared" si="203"/>
        <v>1</v>
      </c>
      <c r="AG333" s="15">
        <f t="shared" si="204"/>
        <v>1</v>
      </c>
      <c r="AH333" s="15">
        <f t="shared" si="205"/>
        <v>1</v>
      </c>
      <c r="AI333" s="15">
        <f t="shared" si="206"/>
        <v>1</v>
      </c>
      <c r="AJ333" s="15">
        <f t="shared" si="207"/>
        <v>1</v>
      </c>
      <c r="AK333" s="15">
        <f t="shared" si="208"/>
        <v>1</v>
      </c>
      <c r="AL333" s="15">
        <f t="shared" si="209"/>
        <v>1</v>
      </c>
      <c r="AM333" s="15">
        <f t="shared" si="210"/>
        <v>1</v>
      </c>
      <c r="AN333" s="15">
        <f t="shared" si="211"/>
        <v>1</v>
      </c>
      <c r="AO333" s="15">
        <f t="shared" si="212"/>
        <v>1</v>
      </c>
      <c r="AP333" s="15">
        <f t="shared" si="213"/>
        <v>1</v>
      </c>
      <c r="AQ333" s="15">
        <f t="shared" si="214"/>
        <v>1</v>
      </c>
      <c r="AR333" s="15">
        <f t="shared" si="215"/>
        <v>1</v>
      </c>
      <c r="AS333" s="15">
        <f t="shared" si="216"/>
        <v>1</v>
      </c>
      <c r="AT333" s="15">
        <f t="shared" si="217"/>
        <v>1</v>
      </c>
      <c r="AU333" s="15">
        <f t="shared" si="218"/>
        <v>1</v>
      </c>
      <c r="AV333" s="15">
        <f t="shared" si="219"/>
        <v>1</v>
      </c>
      <c r="AW333" s="15">
        <f t="shared" si="220"/>
        <v>1</v>
      </c>
      <c r="AX333" s="15">
        <f t="shared" si="221"/>
        <v>1</v>
      </c>
      <c r="AY333" s="15">
        <f t="shared" si="222"/>
        <v>1</v>
      </c>
      <c r="AZ333" s="15">
        <f t="shared" si="223"/>
        <v>1</v>
      </c>
      <c r="BA333" s="15">
        <f t="shared" si="224"/>
        <v>1</v>
      </c>
      <c r="BB333" s="15">
        <f t="shared" si="231"/>
        <v>0</v>
      </c>
      <c r="BC333" s="15" t="str">
        <f t="shared" si="232"/>
        <v/>
      </c>
      <c r="BD333" s="15" t="str">
        <f t="shared" si="233"/>
        <v/>
      </c>
      <c r="BE333" s="11" t="e">
        <f t="shared" si="225"/>
        <v>#VALUE!</v>
      </c>
      <c r="BF333" s="11" t="e">
        <f t="shared" si="226"/>
        <v>#VALUE!</v>
      </c>
      <c r="BG333" s="11" t="e">
        <f t="shared" si="227"/>
        <v>#VALUE!</v>
      </c>
      <c r="BH333" t="str">
        <f t="shared" si="228"/>
        <v/>
      </c>
      <c r="BI333" t="str" cm="1">
        <f t="array" ref="BI333">_xlfn.IFS(
  L333&gt;0,"Critical Fail",
  M333&gt;0,"Important (Coaching)",
  TRUE,"Clean Pass"
)</f>
        <v>Clean Pass</v>
      </c>
      <c r="BJ333" t="str">
        <f t="shared" si="229"/>
        <v>NA</v>
      </c>
    </row>
    <row r="334" spans="1:62" x14ac:dyDescent="0.3">
      <c r="A334">
        <v>312477</v>
      </c>
      <c r="K334" t="str">
        <f t="shared" si="230"/>
        <v>Pass</v>
      </c>
      <c r="L334" s="15">
        <f t="shared" si="195"/>
        <v>0</v>
      </c>
      <c r="M334" s="15">
        <f t="shared" si="196"/>
        <v>0</v>
      </c>
      <c r="Z334" s="15">
        <f t="shared" si="197"/>
        <v>1</v>
      </c>
      <c r="AA334" s="15">
        <f t="shared" si="198"/>
        <v>1</v>
      </c>
      <c r="AB334" s="15">
        <f t="shared" si="199"/>
        <v>1</v>
      </c>
      <c r="AC334" s="15">
        <f t="shared" si="200"/>
        <v>1</v>
      </c>
      <c r="AD334" s="15">
        <f t="shared" si="201"/>
        <v>1</v>
      </c>
      <c r="AE334" s="15">
        <f t="shared" si="202"/>
        <v>1</v>
      </c>
      <c r="AF334" s="15">
        <f t="shared" si="203"/>
        <v>1</v>
      </c>
      <c r="AG334" s="15">
        <f t="shared" si="204"/>
        <v>1</v>
      </c>
      <c r="AH334" s="15">
        <f t="shared" si="205"/>
        <v>1</v>
      </c>
      <c r="AI334" s="15">
        <f t="shared" si="206"/>
        <v>1</v>
      </c>
      <c r="AJ334" s="15">
        <f t="shared" si="207"/>
        <v>1</v>
      </c>
      <c r="AK334" s="15">
        <f t="shared" si="208"/>
        <v>1</v>
      </c>
      <c r="AL334" s="15">
        <f t="shared" si="209"/>
        <v>1</v>
      </c>
      <c r="AM334" s="15">
        <f t="shared" si="210"/>
        <v>1</v>
      </c>
      <c r="AN334" s="15">
        <f t="shared" si="211"/>
        <v>1</v>
      </c>
      <c r="AO334" s="15">
        <f t="shared" si="212"/>
        <v>1</v>
      </c>
      <c r="AP334" s="15">
        <f t="shared" si="213"/>
        <v>1</v>
      </c>
      <c r="AQ334" s="15">
        <f t="shared" si="214"/>
        <v>1</v>
      </c>
      <c r="AR334" s="15">
        <f t="shared" si="215"/>
        <v>1</v>
      </c>
      <c r="AS334" s="15">
        <f t="shared" si="216"/>
        <v>1</v>
      </c>
      <c r="AT334" s="15">
        <f t="shared" si="217"/>
        <v>1</v>
      </c>
      <c r="AU334" s="15">
        <f t="shared" si="218"/>
        <v>1</v>
      </c>
      <c r="AV334" s="15">
        <f t="shared" si="219"/>
        <v>1</v>
      </c>
      <c r="AW334" s="15">
        <f t="shared" si="220"/>
        <v>1</v>
      </c>
      <c r="AX334" s="15">
        <f t="shared" si="221"/>
        <v>1</v>
      </c>
      <c r="AY334" s="15">
        <f t="shared" si="222"/>
        <v>1</v>
      </c>
      <c r="AZ334" s="15">
        <f t="shared" si="223"/>
        <v>1</v>
      </c>
      <c r="BA334" s="15">
        <f t="shared" si="224"/>
        <v>1</v>
      </c>
      <c r="BB334" s="15">
        <f t="shared" si="231"/>
        <v>0</v>
      </c>
      <c r="BC334" s="15" t="str">
        <f t="shared" si="232"/>
        <v/>
      </c>
      <c r="BD334" s="15" t="str">
        <f t="shared" si="233"/>
        <v/>
      </c>
      <c r="BE334" s="11" t="e">
        <f t="shared" si="225"/>
        <v>#VALUE!</v>
      </c>
      <c r="BF334" s="11" t="e">
        <f t="shared" si="226"/>
        <v>#VALUE!</v>
      </c>
      <c r="BG334" s="11" t="e">
        <f t="shared" si="227"/>
        <v>#VALUE!</v>
      </c>
      <c r="BH334" t="str">
        <f t="shared" si="228"/>
        <v/>
      </c>
      <c r="BI334" t="str" cm="1">
        <f t="array" ref="BI334">_xlfn.IFS(
  L334&gt;0,"Critical Fail",
  M334&gt;0,"Important (Coaching)",
  TRUE,"Clean Pass"
)</f>
        <v>Clean Pass</v>
      </c>
      <c r="BJ334" t="str">
        <f t="shared" si="229"/>
        <v>NA</v>
      </c>
    </row>
    <row r="335" spans="1:62" x14ac:dyDescent="0.3">
      <c r="A335">
        <v>699939</v>
      </c>
      <c r="K335" t="str">
        <f t="shared" si="230"/>
        <v>Pass</v>
      </c>
      <c r="L335" s="15">
        <f t="shared" si="195"/>
        <v>0</v>
      </c>
      <c r="M335" s="15">
        <f t="shared" si="196"/>
        <v>0</v>
      </c>
      <c r="Z335" s="15">
        <f t="shared" si="197"/>
        <v>1</v>
      </c>
      <c r="AA335" s="15">
        <f t="shared" si="198"/>
        <v>1</v>
      </c>
      <c r="AB335" s="15">
        <f t="shared" si="199"/>
        <v>1</v>
      </c>
      <c r="AC335" s="15">
        <f t="shared" si="200"/>
        <v>1</v>
      </c>
      <c r="AD335" s="15">
        <f t="shared" si="201"/>
        <v>1</v>
      </c>
      <c r="AE335" s="15">
        <f t="shared" si="202"/>
        <v>1</v>
      </c>
      <c r="AF335" s="15">
        <f t="shared" si="203"/>
        <v>1</v>
      </c>
      <c r="AG335" s="15">
        <f t="shared" si="204"/>
        <v>1</v>
      </c>
      <c r="AH335" s="15">
        <f t="shared" si="205"/>
        <v>1</v>
      </c>
      <c r="AI335" s="15">
        <f t="shared" si="206"/>
        <v>1</v>
      </c>
      <c r="AJ335" s="15">
        <f t="shared" si="207"/>
        <v>1</v>
      </c>
      <c r="AK335" s="15">
        <f t="shared" si="208"/>
        <v>1</v>
      </c>
      <c r="AL335" s="15">
        <f t="shared" si="209"/>
        <v>1</v>
      </c>
      <c r="AM335" s="15">
        <f t="shared" si="210"/>
        <v>1</v>
      </c>
      <c r="AN335" s="15">
        <f t="shared" si="211"/>
        <v>1</v>
      </c>
      <c r="AO335" s="15">
        <f t="shared" si="212"/>
        <v>1</v>
      </c>
      <c r="AP335" s="15">
        <f t="shared" si="213"/>
        <v>1</v>
      </c>
      <c r="AQ335" s="15">
        <f t="shared" si="214"/>
        <v>1</v>
      </c>
      <c r="AR335" s="15">
        <f t="shared" si="215"/>
        <v>1</v>
      </c>
      <c r="AS335" s="15">
        <f t="shared" si="216"/>
        <v>1</v>
      </c>
      <c r="AT335" s="15">
        <f t="shared" si="217"/>
        <v>1</v>
      </c>
      <c r="AU335" s="15">
        <f t="shared" si="218"/>
        <v>1</v>
      </c>
      <c r="AV335" s="15">
        <f t="shared" si="219"/>
        <v>1</v>
      </c>
      <c r="AW335" s="15">
        <f t="shared" si="220"/>
        <v>1</v>
      </c>
      <c r="AX335" s="15">
        <f t="shared" si="221"/>
        <v>1</v>
      </c>
      <c r="AY335" s="15">
        <f t="shared" si="222"/>
        <v>1</v>
      </c>
      <c r="AZ335" s="15">
        <f t="shared" si="223"/>
        <v>1</v>
      </c>
      <c r="BA335" s="15">
        <f t="shared" si="224"/>
        <v>1</v>
      </c>
      <c r="BB335" s="15">
        <f t="shared" si="231"/>
        <v>0</v>
      </c>
      <c r="BC335" s="15" t="str">
        <f t="shared" si="232"/>
        <v/>
      </c>
      <c r="BD335" s="15" t="str">
        <f t="shared" si="233"/>
        <v/>
      </c>
      <c r="BE335" s="11" t="e">
        <f t="shared" si="225"/>
        <v>#VALUE!</v>
      </c>
      <c r="BF335" s="11" t="e">
        <f t="shared" si="226"/>
        <v>#VALUE!</v>
      </c>
      <c r="BG335" s="11" t="e">
        <f t="shared" si="227"/>
        <v>#VALUE!</v>
      </c>
      <c r="BH335" t="str">
        <f t="shared" si="228"/>
        <v/>
      </c>
      <c r="BI335" t="str" cm="1">
        <f t="array" ref="BI335">_xlfn.IFS(
  L335&gt;0,"Critical Fail",
  M335&gt;0,"Important (Coaching)",
  TRUE,"Clean Pass"
)</f>
        <v>Clean Pass</v>
      </c>
      <c r="BJ335" t="str">
        <f t="shared" si="229"/>
        <v>NA</v>
      </c>
    </row>
    <row r="336" spans="1:62" x14ac:dyDescent="0.3">
      <c r="A336">
        <v>910081</v>
      </c>
      <c r="K336" t="str">
        <f t="shared" si="230"/>
        <v>Pass</v>
      </c>
      <c r="L336" s="15">
        <f t="shared" si="195"/>
        <v>0</v>
      </c>
      <c r="M336" s="15">
        <f t="shared" si="196"/>
        <v>0</v>
      </c>
      <c r="Z336" s="15">
        <f t="shared" si="197"/>
        <v>1</v>
      </c>
      <c r="AA336" s="15">
        <f t="shared" si="198"/>
        <v>1</v>
      </c>
      <c r="AB336" s="15">
        <f t="shared" si="199"/>
        <v>1</v>
      </c>
      <c r="AC336" s="15">
        <f t="shared" si="200"/>
        <v>1</v>
      </c>
      <c r="AD336" s="15">
        <f t="shared" si="201"/>
        <v>1</v>
      </c>
      <c r="AE336" s="15">
        <f t="shared" si="202"/>
        <v>1</v>
      </c>
      <c r="AF336" s="15">
        <f t="shared" si="203"/>
        <v>1</v>
      </c>
      <c r="AG336" s="15">
        <f t="shared" si="204"/>
        <v>1</v>
      </c>
      <c r="AH336" s="15">
        <f t="shared" si="205"/>
        <v>1</v>
      </c>
      <c r="AI336" s="15">
        <f t="shared" si="206"/>
        <v>1</v>
      </c>
      <c r="AJ336" s="15">
        <f t="shared" si="207"/>
        <v>1</v>
      </c>
      <c r="AK336" s="15">
        <f t="shared" si="208"/>
        <v>1</v>
      </c>
      <c r="AL336" s="15">
        <f t="shared" si="209"/>
        <v>1</v>
      </c>
      <c r="AM336" s="15">
        <f t="shared" si="210"/>
        <v>1</v>
      </c>
      <c r="AN336" s="15">
        <f t="shared" si="211"/>
        <v>1</v>
      </c>
      <c r="AO336" s="15">
        <f t="shared" si="212"/>
        <v>1</v>
      </c>
      <c r="AP336" s="15">
        <f t="shared" si="213"/>
        <v>1</v>
      </c>
      <c r="AQ336" s="15">
        <f t="shared" si="214"/>
        <v>1</v>
      </c>
      <c r="AR336" s="15">
        <f t="shared" si="215"/>
        <v>1</v>
      </c>
      <c r="AS336" s="15">
        <f t="shared" si="216"/>
        <v>1</v>
      </c>
      <c r="AT336" s="15">
        <f t="shared" si="217"/>
        <v>1</v>
      </c>
      <c r="AU336" s="15">
        <f t="shared" si="218"/>
        <v>1</v>
      </c>
      <c r="AV336" s="15">
        <f t="shared" si="219"/>
        <v>1</v>
      </c>
      <c r="AW336" s="15">
        <f t="shared" si="220"/>
        <v>1</v>
      </c>
      <c r="AX336" s="15">
        <f t="shared" si="221"/>
        <v>1</v>
      </c>
      <c r="AY336" s="15">
        <f t="shared" si="222"/>
        <v>1</v>
      </c>
      <c r="AZ336" s="15">
        <f t="shared" si="223"/>
        <v>1</v>
      </c>
      <c r="BA336" s="15">
        <f t="shared" si="224"/>
        <v>1</v>
      </c>
      <c r="BB336" s="15">
        <f t="shared" si="231"/>
        <v>0</v>
      </c>
      <c r="BC336" s="15" t="str">
        <f t="shared" si="232"/>
        <v/>
      </c>
      <c r="BD336" s="15" t="str">
        <f t="shared" si="233"/>
        <v/>
      </c>
      <c r="BE336" s="11" t="e">
        <f t="shared" si="225"/>
        <v>#VALUE!</v>
      </c>
      <c r="BF336" s="11" t="e">
        <f t="shared" si="226"/>
        <v>#VALUE!</v>
      </c>
      <c r="BG336" s="11" t="e">
        <f t="shared" si="227"/>
        <v>#VALUE!</v>
      </c>
      <c r="BH336" t="str">
        <f t="shared" si="228"/>
        <v/>
      </c>
      <c r="BI336" t="str" cm="1">
        <f t="array" ref="BI336">_xlfn.IFS(
  L336&gt;0,"Critical Fail",
  M336&gt;0,"Important (Coaching)",
  TRUE,"Clean Pass"
)</f>
        <v>Clean Pass</v>
      </c>
      <c r="BJ336" t="str">
        <f t="shared" si="229"/>
        <v>NA</v>
      </c>
    </row>
    <row r="337" spans="1:62" x14ac:dyDescent="0.3">
      <c r="A337">
        <v>896492</v>
      </c>
      <c r="K337" t="str">
        <f t="shared" si="230"/>
        <v>Pass</v>
      </c>
      <c r="L337" s="15">
        <f t="shared" si="195"/>
        <v>0</v>
      </c>
      <c r="M337" s="15">
        <f t="shared" si="196"/>
        <v>0</v>
      </c>
      <c r="Z337" s="15">
        <f t="shared" si="197"/>
        <v>1</v>
      </c>
      <c r="AA337" s="15">
        <f t="shared" si="198"/>
        <v>1</v>
      </c>
      <c r="AB337" s="15">
        <f t="shared" si="199"/>
        <v>1</v>
      </c>
      <c r="AC337" s="15">
        <f t="shared" si="200"/>
        <v>1</v>
      </c>
      <c r="AD337" s="15">
        <f t="shared" si="201"/>
        <v>1</v>
      </c>
      <c r="AE337" s="15">
        <f t="shared" si="202"/>
        <v>1</v>
      </c>
      <c r="AF337" s="15">
        <f t="shared" si="203"/>
        <v>1</v>
      </c>
      <c r="AG337" s="15">
        <f t="shared" si="204"/>
        <v>1</v>
      </c>
      <c r="AH337" s="15">
        <f t="shared" si="205"/>
        <v>1</v>
      </c>
      <c r="AI337" s="15">
        <f t="shared" si="206"/>
        <v>1</v>
      </c>
      <c r="AJ337" s="15">
        <f t="shared" si="207"/>
        <v>1</v>
      </c>
      <c r="AK337" s="15">
        <f t="shared" si="208"/>
        <v>1</v>
      </c>
      <c r="AL337" s="15">
        <f t="shared" si="209"/>
        <v>1</v>
      </c>
      <c r="AM337" s="15">
        <f t="shared" si="210"/>
        <v>1</v>
      </c>
      <c r="AN337" s="15">
        <f t="shared" si="211"/>
        <v>1</v>
      </c>
      <c r="AO337" s="15">
        <f t="shared" si="212"/>
        <v>1</v>
      </c>
      <c r="AP337" s="15">
        <f t="shared" si="213"/>
        <v>1</v>
      </c>
      <c r="AQ337" s="15">
        <f t="shared" si="214"/>
        <v>1</v>
      </c>
      <c r="AR337" s="15">
        <f t="shared" si="215"/>
        <v>1</v>
      </c>
      <c r="AS337" s="15">
        <f t="shared" si="216"/>
        <v>1</v>
      </c>
      <c r="AT337" s="15">
        <f t="shared" si="217"/>
        <v>1</v>
      </c>
      <c r="AU337" s="15">
        <f t="shared" si="218"/>
        <v>1</v>
      </c>
      <c r="AV337" s="15">
        <f t="shared" si="219"/>
        <v>1</v>
      </c>
      <c r="AW337" s="15">
        <f t="shared" si="220"/>
        <v>1</v>
      </c>
      <c r="AX337" s="15">
        <f t="shared" si="221"/>
        <v>1</v>
      </c>
      <c r="AY337" s="15">
        <f t="shared" si="222"/>
        <v>1</v>
      </c>
      <c r="AZ337" s="15">
        <f t="shared" si="223"/>
        <v>1</v>
      </c>
      <c r="BA337" s="15">
        <f t="shared" si="224"/>
        <v>1</v>
      </c>
      <c r="BB337" s="15">
        <f t="shared" si="231"/>
        <v>0</v>
      </c>
      <c r="BC337" s="15" t="str">
        <f t="shared" si="232"/>
        <v/>
      </c>
      <c r="BD337" s="15" t="str">
        <f t="shared" si="233"/>
        <v/>
      </c>
      <c r="BE337" s="11" t="e">
        <f t="shared" si="225"/>
        <v>#VALUE!</v>
      </c>
      <c r="BF337" s="11" t="e">
        <f t="shared" si="226"/>
        <v>#VALUE!</v>
      </c>
      <c r="BG337" s="11" t="e">
        <f t="shared" si="227"/>
        <v>#VALUE!</v>
      </c>
      <c r="BH337" t="str">
        <f t="shared" si="228"/>
        <v/>
      </c>
      <c r="BI337" t="str" cm="1">
        <f t="array" ref="BI337">_xlfn.IFS(
  L337&gt;0,"Critical Fail",
  M337&gt;0,"Important (Coaching)",
  TRUE,"Clean Pass"
)</f>
        <v>Clean Pass</v>
      </c>
      <c r="BJ337" t="str">
        <f t="shared" si="229"/>
        <v>NA</v>
      </c>
    </row>
    <row r="338" spans="1:62" x14ac:dyDescent="0.3">
      <c r="A338">
        <v>361023</v>
      </c>
      <c r="K338" t="str">
        <f t="shared" si="230"/>
        <v>Pass</v>
      </c>
      <c r="L338" s="15">
        <f t="shared" si="195"/>
        <v>0</v>
      </c>
      <c r="M338" s="15">
        <f t="shared" si="196"/>
        <v>0</v>
      </c>
      <c r="Z338" s="15">
        <f t="shared" si="197"/>
        <v>1</v>
      </c>
      <c r="AA338" s="15">
        <f t="shared" si="198"/>
        <v>1</v>
      </c>
      <c r="AB338" s="15">
        <f t="shared" si="199"/>
        <v>1</v>
      </c>
      <c r="AC338" s="15">
        <f t="shared" si="200"/>
        <v>1</v>
      </c>
      <c r="AD338" s="15">
        <f t="shared" si="201"/>
        <v>1</v>
      </c>
      <c r="AE338" s="15">
        <f t="shared" si="202"/>
        <v>1</v>
      </c>
      <c r="AF338" s="15">
        <f t="shared" si="203"/>
        <v>1</v>
      </c>
      <c r="AG338" s="15">
        <f t="shared" si="204"/>
        <v>1</v>
      </c>
      <c r="AH338" s="15">
        <f t="shared" si="205"/>
        <v>1</v>
      </c>
      <c r="AI338" s="15">
        <f t="shared" si="206"/>
        <v>1</v>
      </c>
      <c r="AJ338" s="15">
        <f t="shared" si="207"/>
        <v>1</v>
      </c>
      <c r="AK338" s="15">
        <f t="shared" si="208"/>
        <v>1</v>
      </c>
      <c r="AL338" s="15">
        <f t="shared" si="209"/>
        <v>1</v>
      </c>
      <c r="AM338" s="15">
        <f t="shared" si="210"/>
        <v>1</v>
      </c>
      <c r="AN338" s="15">
        <f t="shared" si="211"/>
        <v>1</v>
      </c>
      <c r="AO338" s="15">
        <f t="shared" si="212"/>
        <v>1</v>
      </c>
      <c r="AP338" s="15">
        <f t="shared" si="213"/>
        <v>1</v>
      </c>
      <c r="AQ338" s="15">
        <f t="shared" si="214"/>
        <v>1</v>
      </c>
      <c r="AR338" s="15">
        <f t="shared" si="215"/>
        <v>1</v>
      </c>
      <c r="AS338" s="15">
        <f t="shared" si="216"/>
        <v>1</v>
      </c>
      <c r="AT338" s="15">
        <f t="shared" si="217"/>
        <v>1</v>
      </c>
      <c r="AU338" s="15">
        <f t="shared" si="218"/>
        <v>1</v>
      </c>
      <c r="AV338" s="15">
        <f t="shared" si="219"/>
        <v>1</v>
      </c>
      <c r="AW338" s="15">
        <f t="shared" si="220"/>
        <v>1</v>
      </c>
      <c r="AX338" s="15">
        <f t="shared" si="221"/>
        <v>1</v>
      </c>
      <c r="AY338" s="15">
        <f t="shared" si="222"/>
        <v>1</v>
      </c>
      <c r="AZ338" s="15">
        <f t="shared" si="223"/>
        <v>1</v>
      </c>
      <c r="BA338" s="15">
        <f t="shared" si="224"/>
        <v>1</v>
      </c>
      <c r="BB338" s="15">
        <f t="shared" si="231"/>
        <v>0</v>
      </c>
      <c r="BC338" s="15" t="str">
        <f t="shared" si="232"/>
        <v/>
      </c>
      <c r="BD338" s="15" t="str">
        <f t="shared" si="233"/>
        <v/>
      </c>
      <c r="BE338" s="11" t="e">
        <f t="shared" si="225"/>
        <v>#VALUE!</v>
      </c>
      <c r="BF338" s="11" t="e">
        <f t="shared" si="226"/>
        <v>#VALUE!</v>
      </c>
      <c r="BG338" s="11" t="e">
        <f t="shared" si="227"/>
        <v>#VALUE!</v>
      </c>
      <c r="BH338" t="str">
        <f t="shared" si="228"/>
        <v/>
      </c>
      <c r="BI338" t="str" cm="1">
        <f t="array" ref="BI338">_xlfn.IFS(
  L338&gt;0,"Critical Fail",
  M338&gt;0,"Important (Coaching)",
  TRUE,"Clean Pass"
)</f>
        <v>Clean Pass</v>
      </c>
      <c r="BJ338" t="str">
        <f t="shared" si="229"/>
        <v>NA</v>
      </c>
    </row>
    <row r="339" spans="1:62" x14ac:dyDescent="0.3">
      <c r="A339">
        <v>930220</v>
      </c>
      <c r="K339" t="str">
        <f t="shared" si="230"/>
        <v>Pass</v>
      </c>
      <c r="L339" s="15">
        <f t="shared" si="195"/>
        <v>0</v>
      </c>
      <c r="M339" s="15">
        <f t="shared" si="196"/>
        <v>0</v>
      </c>
      <c r="Z339" s="15">
        <f t="shared" si="197"/>
        <v>1</v>
      </c>
      <c r="AA339" s="15">
        <f t="shared" si="198"/>
        <v>1</v>
      </c>
      <c r="AB339" s="15">
        <f t="shared" si="199"/>
        <v>1</v>
      </c>
      <c r="AC339" s="15">
        <f t="shared" si="200"/>
        <v>1</v>
      </c>
      <c r="AD339" s="15">
        <f t="shared" si="201"/>
        <v>1</v>
      </c>
      <c r="AE339" s="15">
        <f t="shared" si="202"/>
        <v>1</v>
      </c>
      <c r="AF339" s="15">
        <f t="shared" si="203"/>
        <v>1</v>
      </c>
      <c r="AG339" s="15">
        <f t="shared" si="204"/>
        <v>1</v>
      </c>
      <c r="AH339" s="15">
        <f t="shared" si="205"/>
        <v>1</v>
      </c>
      <c r="AI339" s="15">
        <f t="shared" si="206"/>
        <v>1</v>
      </c>
      <c r="AJ339" s="15">
        <f t="shared" si="207"/>
        <v>1</v>
      </c>
      <c r="AK339" s="15">
        <f t="shared" si="208"/>
        <v>1</v>
      </c>
      <c r="AL339" s="15">
        <f t="shared" si="209"/>
        <v>1</v>
      </c>
      <c r="AM339" s="15">
        <f t="shared" si="210"/>
        <v>1</v>
      </c>
      <c r="AN339" s="15">
        <f t="shared" si="211"/>
        <v>1</v>
      </c>
      <c r="AO339" s="15">
        <f t="shared" si="212"/>
        <v>1</v>
      </c>
      <c r="AP339" s="15">
        <f t="shared" si="213"/>
        <v>1</v>
      </c>
      <c r="AQ339" s="15">
        <f t="shared" si="214"/>
        <v>1</v>
      </c>
      <c r="AR339" s="15">
        <f t="shared" si="215"/>
        <v>1</v>
      </c>
      <c r="AS339" s="15">
        <f t="shared" si="216"/>
        <v>1</v>
      </c>
      <c r="AT339" s="15">
        <f t="shared" si="217"/>
        <v>1</v>
      </c>
      <c r="AU339" s="15">
        <f t="shared" si="218"/>
        <v>1</v>
      </c>
      <c r="AV339" s="15">
        <f t="shared" si="219"/>
        <v>1</v>
      </c>
      <c r="AW339" s="15">
        <f t="shared" si="220"/>
        <v>1</v>
      </c>
      <c r="AX339" s="15">
        <f t="shared" si="221"/>
        <v>1</v>
      </c>
      <c r="AY339" s="15">
        <f t="shared" si="222"/>
        <v>1</v>
      </c>
      <c r="AZ339" s="15">
        <f t="shared" si="223"/>
        <v>1</v>
      </c>
      <c r="BA339" s="15">
        <f t="shared" si="224"/>
        <v>1</v>
      </c>
      <c r="BB339" s="15">
        <f t="shared" si="231"/>
        <v>0</v>
      </c>
      <c r="BC339" s="15" t="str">
        <f t="shared" si="232"/>
        <v/>
      </c>
      <c r="BD339" s="15" t="str">
        <f t="shared" si="233"/>
        <v/>
      </c>
      <c r="BE339" s="11" t="e">
        <f t="shared" si="225"/>
        <v>#VALUE!</v>
      </c>
      <c r="BF339" s="11" t="e">
        <f t="shared" si="226"/>
        <v>#VALUE!</v>
      </c>
      <c r="BG339" s="11" t="e">
        <f t="shared" si="227"/>
        <v>#VALUE!</v>
      </c>
      <c r="BH339" t="str">
        <f t="shared" si="228"/>
        <v/>
      </c>
      <c r="BI339" t="str" cm="1">
        <f t="array" ref="BI339">_xlfn.IFS(
  L339&gt;0,"Critical Fail",
  M339&gt;0,"Important (Coaching)",
  TRUE,"Clean Pass"
)</f>
        <v>Clean Pass</v>
      </c>
      <c r="BJ339" t="str">
        <f t="shared" si="229"/>
        <v>NA</v>
      </c>
    </row>
    <row r="340" spans="1:62" x14ac:dyDescent="0.3">
      <c r="A340">
        <v>955655</v>
      </c>
      <c r="K340" t="str">
        <f t="shared" si="230"/>
        <v>Pass</v>
      </c>
      <c r="L340" s="15">
        <f t="shared" si="195"/>
        <v>0</v>
      </c>
      <c r="M340" s="15">
        <f t="shared" si="196"/>
        <v>0</v>
      </c>
      <c r="Z340" s="15">
        <f t="shared" si="197"/>
        <v>1</v>
      </c>
      <c r="AA340" s="15">
        <f t="shared" si="198"/>
        <v>1</v>
      </c>
      <c r="AB340" s="15">
        <f t="shared" si="199"/>
        <v>1</v>
      </c>
      <c r="AC340" s="15">
        <f t="shared" si="200"/>
        <v>1</v>
      </c>
      <c r="AD340" s="15">
        <f t="shared" si="201"/>
        <v>1</v>
      </c>
      <c r="AE340" s="15">
        <f t="shared" si="202"/>
        <v>1</v>
      </c>
      <c r="AF340" s="15">
        <f t="shared" si="203"/>
        <v>1</v>
      </c>
      <c r="AG340" s="15">
        <f t="shared" si="204"/>
        <v>1</v>
      </c>
      <c r="AH340" s="15">
        <f t="shared" si="205"/>
        <v>1</v>
      </c>
      <c r="AI340" s="15">
        <f t="shared" si="206"/>
        <v>1</v>
      </c>
      <c r="AJ340" s="15">
        <f t="shared" si="207"/>
        <v>1</v>
      </c>
      <c r="AK340" s="15">
        <f t="shared" si="208"/>
        <v>1</v>
      </c>
      <c r="AL340" s="15">
        <f t="shared" si="209"/>
        <v>1</v>
      </c>
      <c r="AM340" s="15">
        <f t="shared" si="210"/>
        <v>1</v>
      </c>
      <c r="AN340" s="15">
        <f t="shared" si="211"/>
        <v>1</v>
      </c>
      <c r="AO340" s="15">
        <f t="shared" si="212"/>
        <v>1</v>
      </c>
      <c r="AP340" s="15">
        <f t="shared" si="213"/>
        <v>1</v>
      </c>
      <c r="AQ340" s="15">
        <f t="shared" si="214"/>
        <v>1</v>
      </c>
      <c r="AR340" s="15">
        <f t="shared" si="215"/>
        <v>1</v>
      </c>
      <c r="AS340" s="15">
        <f t="shared" si="216"/>
        <v>1</v>
      </c>
      <c r="AT340" s="15">
        <f t="shared" si="217"/>
        <v>1</v>
      </c>
      <c r="AU340" s="15">
        <f t="shared" si="218"/>
        <v>1</v>
      </c>
      <c r="AV340" s="15">
        <f t="shared" si="219"/>
        <v>1</v>
      </c>
      <c r="AW340" s="15">
        <f t="shared" si="220"/>
        <v>1</v>
      </c>
      <c r="AX340" s="15">
        <f t="shared" si="221"/>
        <v>1</v>
      </c>
      <c r="AY340" s="15">
        <f t="shared" si="222"/>
        <v>1</v>
      </c>
      <c r="AZ340" s="15">
        <f t="shared" si="223"/>
        <v>1</v>
      </c>
      <c r="BA340" s="15">
        <f t="shared" si="224"/>
        <v>1</v>
      </c>
      <c r="BB340" s="15">
        <f t="shared" si="231"/>
        <v>0</v>
      </c>
      <c r="BC340" s="15" t="str">
        <f t="shared" si="232"/>
        <v/>
      </c>
      <c r="BD340" s="15" t="str">
        <f t="shared" si="233"/>
        <v/>
      </c>
      <c r="BE340" s="11" t="e">
        <f t="shared" si="225"/>
        <v>#VALUE!</v>
      </c>
      <c r="BF340" s="11" t="e">
        <f t="shared" si="226"/>
        <v>#VALUE!</v>
      </c>
      <c r="BG340" s="11" t="e">
        <f t="shared" si="227"/>
        <v>#VALUE!</v>
      </c>
      <c r="BH340" t="str">
        <f t="shared" si="228"/>
        <v/>
      </c>
      <c r="BI340" t="str" cm="1">
        <f t="array" ref="BI340">_xlfn.IFS(
  L340&gt;0,"Critical Fail",
  M340&gt;0,"Important (Coaching)",
  TRUE,"Clean Pass"
)</f>
        <v>Clean Pass</v>
      </c>
      <c r="BJ340" t="str">
        <f t="shared" si="229"/>
        <v>NA</v>
      </c>
    </row>
    <row r="341" spans="1:62" x14ac:dyDescent="0.3">
      <c r="A341">
        <v>481191</v>
      </c>
      <c r="K341" t="str">
        <f t="shared" si="230"/>
        <v>Pass</v>
      </c>
      <c r="L341" s="15">
        <f t="shared" si="195"/>
        <v>0</v>
      </c>
      <c r="M341" s="15">
        <f t="shared" si="196"/>
        <v>0</v>
      </c>
      <c r="Z341" s="15">
        <f t="shared" si="197"/>
        <v>1</v>
      </c>
      <c r="AA341" s="15">
        <f t="shared" si="198"/>
        <v>1</v>
      </c>
      <c r="AB341" s="15">
        <f t="shared" si="199"/>
        <v>1</v>
      </c>
      <c r="AC341" s="15">
        <f t="shared" si="200"/>
        <v>1</v>
      </c>
      <c r="AD341" s="15">
        <f t="shared" si="201"/>
        <v>1</v>
      </c>
      <c r="AE341" s="15">
        <f t="shared" si="202"/>
        <v>1</v>
      </c>
      <c r="AF341" s="15">
        <f t="shared" si="203"/>
        <v>1</v>
      </c>
      <c r="AG341" s="15">
        <f t="shared" si="204"/>
        <v>1</v>
      </c>
      <c r="AH341" s="15">
        <f t="shared" si="205"/>
        <v>1</v>
      </c>
      <c r="AI341" s="15">
        <f t="shared" si="206"/>
        <v>1</v>
      </c>
      <c r="AJ341" s="15">
        <f t="shared" si="207"/>
        <v>1</v>
      </c>
      <c r="AK341" s="15">
        <f t="shared" si="208"/>
        <v>1</v>
      </c>
      <c r="AL341" s="15">
        <f t="shared" si="209"/>
        <v>1</v>
      </c>
      <c r="AM341" s="15">
        <f t="shared" si="210"/>
        <v>1</v>
      </c>
      <c r="AN341" s="15">
        <f t="shared" si="211"/>
        <v>1</v>
      </c>
      <c r="AO341" s="15">
        <f t="shared" si="212"/>
        <v>1</v>
      </c>
      <c r="AP341" s="15">
        <f t="shared" si="213"/>
        <v>1</v>
      </c>
      <c r="AQ341" s="15">
        <f t="shared" si="214"/>
        <v>1</v>
      </c>
      <c r="AR341" s="15">
        <f t="shared" si="215"/>
        <v>1</v>
      </c>
      <c r="AS341" s="15">
        <f t="shared" si="216"/>
        <v>1</v>
      </c>
      <c r="AT341" s="15">
        <f t="shared" si="217"/>
        <v>1</v>
      </c>
      <c r="AU341" s="15">
        <f t="shared" si="218"/>
        <v>1</v>
      </c>
      <c r="AV341" s="15">
        <f t="shared" si="219"/>
        <v>1</v>
      </c>
      <c r="AW341" s="15">
        <f t="shared" si="220"/>
        <v>1</v>
      </c>
      <c r="AX341" s="15">
        <f t="shared" si="221"/>
        <v>1</v>
      </c>
      <c r="AY341" s="15">
        <f t="shared" si="222"/>
        <v>1</v>
      </c>
      <c r="AZ341" s="15">
        <f t="shared" si="223"/>
        <v>1</v>
      </c>
      <c r="BA341" s="15">
        <f t="shared" si="224"/>
        <v>1</v>
      </c>
      <c r="BB341" s="15">
        <f t="shared" si="231"/>
        <v>0</v>
      </c>
      <c r="BC341" s="15" t="str">
        <f t="shared" si="232"/>
        <v/>
      </c>
      <c r="BD341" s="15" t="str">
        <f t="shared" si="233"/>
        <v/>
      </c>
      <c r="BE341" s="11" t="e">
        <f t="shared" si="225"/>
        <v>#VALUE!</v>
      </c>
      <c r="BF341" s="11" t="e">
        <f t="shared" si="226"/>
        <v>#VALUE!</v>
      </c>
      <c r="BG341" s="11" t="e">
        <f t="shared" si="227"/>
        <v>#VALUE!</v>
      </c>
      <c r="BH341" t="str">
        <f t="shared" si="228"/>
        <v/>
      </c>
      <c r="BI341" t="str" cm="1">
        <f t="array" ref="BI341">_xlfn.IFS(
  L341&gt;0,"Critical Fail",
  M341&gt;0,"Important (Coaching)",
  TRUE,"Clean Pass"
)</f>
        <v>Clean Pass</v>
      </c>
      <c r="BJ341" t="str">
        <f t="shared" si="229"/>
        <v>NA</v>
      </c>
    </row>
    <row r="342" spans="1:62" x14ac:dyDescent="0.3">
      <c r="A342">
        <v>774309</v>
      </c>
      <c r="K342" t="str">
        <f t="shared" si="230"/>
        <v>Pass</v>
      </c>
      <c r="L342" s="15">
        <f t="shared" si="195"/>
        <v>0</v>
      </c>
      <c r="M342" s="15">
        <f t="shared" si="196"/>
        <v>0</v>
      </c>
      <c r="Z342" s="15">
        <f t="shared" si="197"/>
        <v>1</v>
      </c>
      <c r="AA342" s="15">
        <f t="shared" si="198"/>
        <v>1</v>
      </c>
      <c r="AB342" s="15">
        <f t="shared" si="199"/>
        <v>1</v>
      </c>
      <c r="AC342" s="15">
        <f t="shared" si="200"/>
        <v>1</v>
      </c>
      <c r="AD342" s="15">
        <f t="shared" si="201"/>
        <v>1</v>
      </c>
      <c r="AE342" s="15">
        <f t="shared" si="202"/>
        <v>1</v>
      </c>
      <c r="AF342" s="15">
        <f t="shared" si="203"/>
        <v>1</v>
      </c>
      <c r="AG342" s="15">
        <f t="shared" si="204"/>
        <v>1</v>
      </c>
      <c r="AH342" s="15">
        <f t="shared" si="205"/>
        <v>1</v>
      </c>
      <c r="AI342" s="15">
        <f t="shared" si="206"/>
        <v>1</v>
      </c>
      <c r="AJ342" s="15">
        <f t="shared" si="207"/>
        <v>1</v>
      </c>
      <c r="AK342" s="15">
        <f t="shared" si="208"/>
        <v>1</v>
      </c>
      <c r="AL342" s="15">
        <f t="shared" si="209"/>
        <v>1</v>
      </c>
      <c r="AM342" s="15">
        <f t="shared" si="210"/>
        <v>1</v>
      </c>
      <c r="AN342" s="15">
        <f t="shared" si="211"/>
        <v>1</v>
      </c>
      <c r="AO342" s="15">
        <f t="shared" si="212"/>
        <v>1</v>
      </c>
      <c r="AP342" s="15">
        <f t="shared" si="213"/>
        <v>1</v>
      </c>
      <c r="AQ342" s="15">
        <f t="shared" si="214"/>
        <v>1</v>
      </c>
      <c r="AR342" s="15">
        <f t="shared" si="215"/>
        <v>1</v>
      </c>
      <c r="AS342" s="15">
        <f t="shared" si="216"/>
        <v>1</v>
      </c>
      <c r="AT342" s="15">
        <f t="shared" si="217"/>
        <v>1</v>
      </c>
      <c r="AU342" s="15">
        <f t="shared" si="218"/>
        <v>1</v>
      </c>
      <c r="AV342" s="15">
        <f t="shared" si="219"/>
        <v>1</v>
      </c>
      <c r="AW342" s="15">
        <f t="shared" si="220"/>
        <v>1</v>
      </c>
      <c r="AX342" s="15">
        <f t="shared" si="221"/>
        <v>1</v>
      </c>
      <c r="AY342" s="15">
        <f t="shared" si="222"/>
        <v>1</v>
      </c>
      <c r="AZ342" s="15">
        <f t="shared" si="223"/>
        <v>1</v>
      </c>
      <c r="BA342" s="15">
        <f t="shared" si="224"/>
        <v>1</v>
      </c>
      <c r="BB342" s="15">
        <f t="shared" si="231"/>
        <v>0</v>
      </c>
      <c r="BC342" s="15" t="str">
        <f t="shared" si="232"/>
        <v/>
      </c>
      <c r="BD342" s="15" t="str">
        <f t="shared" si="233"/>
        <v/>
      </c>
      <c r="BE342" s="11" t="e">
        <f t="shared" si="225"/>
        <v>#VALUE!</v>
      </c>
      <c r="BF342" s="11" t="e">
        <f t="shared" si="226"/>
        <v>#VALUE!</v>
      </c>
      <c r="BG342" s="11" t="e">
        <f t="shared" si="227"/>
        <v>#VALUE!</v>
      </c>
      <c r="BH342" t="str">
        <f t="shared" si="228"/>
        <v/>
      </c>
      <c r="BI342" t="str" cm="1">
        <f t="array" ref="BI342">_xlfn.IFS(
  L342&gt;0,"Critical Fail",
  M342&gt;0,"Important (Coaching)",
  TRUE,"Clean Pass"
)</f>
        <v>Clean Pass</v>
      </c>
      <c r="BJ342" t="str">
        <f t="shared" si="229"/>
        <v>NA</v>
      </c>
    </row>
    <row r="343" spans="1:62" x14ac:dyDescent="0.3">
      <c r="A343">
        <v>710818</v>
      </c>
      <c r="K343" t="str">
        <f t="shared" si="230"/>
        <v>Pass</v>
      </c>
      <c r="L343" s="15">
        <f t="shared" si="195"/>
        <v>0</v>
      </c>
      <c r="M343" s="15">
        <f t="shared" si="196"/>
        <v>0</v>
      </c>
      <c r="Z343" s="15">
        <f t="shared" si="197"/>
        <v>1</v>
      </c>
      <c r="AA343" s="15">
        <f t="shared" si="198"/>
        <v>1</v>
      </c>
      <c r="AB343" s="15">
        <f t="shared" si="199"/>
        <v>1</v>
      </c>
      <c r="AC343" s="15">
        <f t="shared" si="200"/>
        <v>1</v>
      </c>
      <c r="AD343" s="15">
        <f t="shared" si="201"/>
        <v>1</v>
      </c>
      <c r="AE343" s="15">
        <f t="shared" si="202"/>
        <v>1</v>
      </c>
      <c r="AF343" s="15">
        <f t="shared" si="203"/>
        <v>1</v>
      </c>
      <c r="AG343" s="15">
        <f t="shared" si="204"/>
        <v>1</v>
      </c>
      <c r="AH343" s="15">
        <f t="shared" si="205"/>
        <v>1</v>
      </c>
      <c r="AI343" s="15">
        <f t="shared" si="206"/>
        <v>1</v>
      </c>
      <c r="AJ343" s="15">
        <f t="shared" si="207"/>
        <v>1</v>
      </c>
      <c r="AK343" s="15">
        <f t="shared" si="208"/>
        <v>1</v>
      </c>
      <c r="AL343" s="15">
        <f t="shared" si="209"/>
        <v>1</v>
      </c>
      <c r="AM343" s="15">
        <f t="shared" si="210"/>
        <v>1</v>
      </c>
      <c r="AN343" s="15">
        <f t="shared" si="211"/>
        <v>1</v>
      </c>
      <c r="AO343" s="15">
        <f t="shared" si="212"/>
        <v>1</v>
      </c>
      <c r="AP343" s="15">
        <f t="shared" si="213"/>
        <v>1</v>
      </c>
      <c r="AQ343" s="15">
        <f t="shared" si="214"/>
        <v>1</v>
      </c>
      <c r="AR343" s="15">
        <f t="shared" si="215"/>
        <v>1</v>
      </c>
      <c r="AS343" s="15">
        <f t="shared" si="216"/>
        <v>1</v>
      </c>
      <c r="AT343" s="15">
        <f t="shared" si="217"/>
        <v>1</v>
      </c>
      <c r="AU343" s="15">
        <f t="shared" si="218"/>
        <v>1</v>
      </c>
      <c r="AV343" s="15">
        <f t="shared" si="219"/>
        <v>1</v>
      </c>
      <c r="AW343" s="15">
        <f t="shared" si="220"/>
        <v>1</v>
      </c>
      <c r="AX343" s="15">
        <f t="shared" si="221"/>
        <v>1</v>
      </c>
      <c r="AY343" s="15">
        <f t="shared" si="222"/>
        <v>1</v>
      </c>
      <c r="AZ343" s="15">
        <f t="shared" si="223"/>
        <v>1</v>
      </c>
      <c r="BA343" s="15">
        <f t="shared" si="224"/>
        <v>1</v>
      </c>
      <c r="BB343" s="15">
        <f t="shared" si="231"/>
        <v>0</v>
      </c>
      <c r="BC343" s="15" t="str">
        <f t="shared" si="232"/>
        <v/>
      </c>
      <c r="BD343" s="15" t="str">
        <f t="shared" si="233"/>
        <v/>
      </c>
      <c r="BE343" s="11" t="e">
        <f t="shared" si="225"/>
        <v>#VALUE!</v>
      </c>
      <c r="BF343" s="11" t="e">
        <f t="shared" si="226"/>
        <v>#VALUE!</v>
      </c>
      <c r="BG343" s="11" t="e">
        <f t="shared" si="227"/>
        <v>#VALUE!</v>
      </c>
      <c r="BH343" t="str">
        <f t="shared" si="228"/>
        <v/>
      </c>
      <c r="BI343" t="str" cm="1">
        <f t="array" ref="BI343">_xlfn.IFS(
  L343&gt;0,"Critical Fail",
  M343&gt;0,"Important (Coaching)",
  TRUE,"Clean Pass"
)</f>
        <v>Clean Pass</v>
      </c>
      <c r="BJ343" t="str">
        <f t="shared" si="229"/>
        <v>NA</v>
      </c>
    </row>
    <row r="344" spans="1:62" x14ac:dyDescent="0.3">
      <c r="A344">
        <v>410826</v>
      </c>
      <c r="K344" t="str">
        <f t="shared" si="230"/>
        <v>Pass</v>
      </c>
      <c r="L344" s="15">
        <f t="shared" si="195"/>
        <v>0</v>
      </c>
      <c r="M344" s="15">
        <f t="shared" si="196"/>
        <v>0</v>
      </c>
      <c r="Z344" s="15">
        <f t="shared" si="197"/>
        <v>1</v>
      </c>
      <c r="AA344" s="15">
        <f t="shared" si="198"/>
        <v>1</v>
      </c>
      <c r="AB344" s="15">
        <f t="shared" si="199"/>
        <v>1</v>
      </c>
      <c r="AC344" s="15">
        <f t="shared" si="200"/>
        <v>1</v>
      </c>
      <c r="AD344" s="15">
        <f t="shared" si="201"/>
        <v>1</v>
      </c>
      <c r="AE344" s="15">
        <f t="shared" si="202"/>
        <v>1</v>
      </c>
      <c r="AF344" s="15">
        <f t="shared" si="203"/>
        <v>1</v>
      </c>
      <c r="AG344" s="15">
        <f t="shared" si="204"/>
        <v>1</v>
      </c>
      <c r="AH344" s="15">
        <f t="shared" si="205"/>
        <v>1</v>
      </c>
      <c r="AI344" s="15">
        <f t="shared" si="206"/>
        <v>1</v>
      </c>
      <c r="AJ344" s="15">
        <f t="shared" si="207"/>
        <v>1</v>
      </c>
      <c r="AK344" s="15">
        <f t="shared" si="208"/>
        <v>1</v>
      </c>
      <c r="AL344" s="15">
        <f t="shared" si="209"/>
        <v>1</v>
      </c>
      <c r="AM344" s="15">
        <f t="shared" si="210"/>
        <v>1</v>
      </c>
      <c r="AN344" s="15">
        <f t="shared" si="211"/>
        <v>1</v>
      </c>
      <c r="AO344" s="15">
        <f t="shared" si="212"/>
        <v>1</v>
      </c>
      <c r="AP344" s="15">
        <f t="shared" si="213"/>
        <v>1</v>
      </c>
      <c r="AQ344" s="15">
        <f t="shared" si="214"/>
        <v>1</v>
      </c>
      <c r="AR344" s="15">
        <f t="shared" si="215"/>
        <v>1</v>
      </c>
      <c r="AS344" s="15">
        <f t="shared" si="216"/>
        <v>1</v>
      </c>
      <c r="AT344" s="15">
        <f t="shared" si="217"/>
        <v>1</v>
      </c>
      <c r="AU344" s="15">
        <f t="shared" si="218"/>
        <v>1</v>
      </c>
      <c r="AV344" s="15">
        <f t="shared" si="219"/>
        <v>1</v>
      </c>
      <c r="AW344" s="15">
        <f t="shared" si="220"/>
        <v>1</v>
      </c>
      <c r="AX344" s="15">
        <f t="shared" si="221"/>
        <v>1</v>
      </c>
      <c r="AY344" s="15">
        <f t="shared" si="222"/>
        <v>1</v>
      </c>
      <c r="AZ344" s="15">
        <f t="shared" si="223"/>
        <v>1</v>
      </c>
      <c r="BA344" s="15">
        <f t="shared" si="224"/>
        <v>1</v>
      </c>
      <c r="BB344" s="15">
        <f t="shared" si="231"/>
        <v>0</v>
      </c>
      <c r="BC344" s="15" t="str">
        <f t="shared" si="232"/>
        <v/>
      </c>
      <c r="BD344" s="15" t="str">
        <f t="shared" si="233"/>
        <v/>
      </c>
      <c r="BE344" s="11" t="e">
        <f t="shared" si="225"/>
        <v>#VALUE!</v>
      </c>
      <c r="BF344" s="11" t="e">
        <f t="shared" si="226"/>
        <v>#VALUE!</v>
      </c>
      <c r="BG344" s="11" t="e">
        <f t="shared" si="227"/>
        <v>#VALUE!</v>
      </c>
      <c r="BH344" t="str">
        <f t="shared" si="228"/>
        <v/>
      </c>
      <c r="BI344" t="str" cm="1">
        <f t="array" ref="BI344">_xlfn.IFS(
  L344&gt;0,"Critical Fail",
  M344&gt;0,"Important (Coaching)",
  TRUE,"Clean Pass"
)</f>
        <v>Clean Pass</v>
      </c>
      <c r="BJ344" t="str">
        <f t="shared" si="229"/>
        <v>NA</v>
      </c>
    </row>
    <row r="345" spans="1:62" x14ac:dyDescent="0.3">
      <c r="A345">
        <v>290963</v>
      </c>
      <c r="K345" t="str">
        <f t="shared" si="230"/>
        <v>Pass</v>
      </c>
      <c r="L345" s="15">
        <f t="shared" si="195"/>
        <v>0</v>
      </c>
      <c r="M345" s="15">
        <f t="shared" si="196"/>
        <v>0</v>
      </c>
      <c r="Z345" s="15">
        <f t="shared" si="197"/>
        <v>1</v>
      </c>
      <c r="AA345" s="15">
        <f t="shared" si="198"/>
        <v>1</v>
      </c>
      <c r="AB345" s="15">
        <f t="shared" si="199"/>
        <v>1</v>
      </c>
      <c r="AC345" s="15">
        <f t="shared" si="200"/>
        <v>1</v>
      </c>
      <c r="AD345" s="15">
        <f t="shared" si="201"/>
        <v>1</v>
      </c>
      <c r="AE345" s="15">
        <f t="shared" si="202"/>
        <v>1</v>
      </c>
      <c r="AF345" s="15">
        <f t="shared" si="203"/>
        <v>1</v>
      </c>
      <c r="AG345" s="15">
        <f t="shared" si="204"/>
        <v>1</v>
      </c>
      <c r="AH345" s="15">
        <f t="shared" si="205"/>
        <v>1</v>
      </c>
      <c r="AI345" s="15">
        <f t="shared" si="206"/>
        <v>1</v>
      </c>
      <c r="AJ345" s="15">
        <f t="shared" si="207"/>
        <v>1</v>
      </c>
      <c r="AK345" s="15">
        <f t="shared" si="208"/>
        <v>1</v>
      </c>
      <c r="AL345" s="15">
        <f t="shared" si="209"/>
        <v>1</v>
      </c>
      <c r="AM345" s="15">
        <f t="shared" si="210"/>
        <v>1</v>
      </c>
      <c r="AN345" s="15">
        <f t="shared" si="211"/>
        <v>1</v>
      </c>
      <c r="AO345" s="15">
        <f t="shared" si="212"/>
        <v>1</v>
      </c>
      <c r="AP345" s="15">
        <f t="shared" si="213"/>
        <v>1</v>
      </c>
      <c r="AQ345" s="15">
        <f t="shared" si="214"/>
        <v>1</v>
      </c>
      <c r="AR345" s="15">
        <f t="shared" si="215"/>
        <v>1</v>
      </c>
      <c r="AS345" s="15">
        <f t="shared" si="216"/>
        <v>1</v>
      </c>
      <c r="AT345" s="15">
        <f t="shared" si="217"/>
        <v>1</v>
      </c>
      <c r="AU345" s="15">
        <f t="shared" si="218"/>
        <v>1</v>
      </c>
      <c r="AV345" s="15">
        <f t="shared" si="219"/>
        <v>1</v>
      </c>
      <c r="AW345" s="15">
        <f t="shared" si="220"/>
        <v>1</v>
      </c>
      <c r="AX345" s="15">
        <f t="shared" si="221"/>
        <v>1</v>
      </c>
      <c r="AY345" s="15">
        <f t="shared" si="222"/>
        <v>1</v>
      </c>
      <c r="AZ345" s="15">
        <f t="shared" si="223"/>
        <v>1</v>
      </c>
      <c r="BA345" s="15">
        <f t="shared" si="224"/>
        <v>1</v>
      </c>
      <c r="BB345" s="15">
        <f t="shared" si="231"/>
        <v>0</v>
      </c>
      <c r="BC345" s="15" t="str">
        <f t="shared" si="232"/>
        <v/>
      </c>
      <c r="BD345" s="15" t="str">
        <f t="shared" si="233"/>
        <v/>
      </c>
      <c r="BE345" s="11" t="e">
        <f t="shared" si="225"/>
        <v>#VALUE!</v>
      </c>
      <c r="BF345" s="11" t="e">
        <f t="shared" si="226"/>
        <v>#VALUE!</v>
      </c>
      <c r="BG345" s="11" t="e">
        <f t="shared" si="227"/>
        <v>#VALUE!</v>
      </c>
      <c r="BH345" t="str">
        <f t="shared" si="228"/>
        <v/>
      </c>
      <c r="BI345" t="str" cm="1">
        <f t="array" ref="BI345">_xlfn.IFS(
  L345&gt;0,"Critical Fail",
  M345&gt;0,"Important (Coaching)",
  TRUE,"Clean Pass"
)</f>
        <v>Clean Pass</v>
      </c>
      <c r="BJ345" t="str">
        <f t="shared" si="229"/>
        <v>NA</v>
      </c>
    </row>
    <row r="346" spans="1:62" x14ac:dyDescent="0.3">
      <c r="A346">
        <v>826112</v>
      </c>
      <c r="K346" t="str">
        <f t="shared" si="230"/>
        <v>Pass</v>
      </c>
      <c r="L346" s="15">
        <f t="shared" ref="L346:L409" si="234">COUNTA(N346,P346,R346)</f>
        <v>0</v>
      </c>
      <c r="M346" s="15">
        <f t="shared" ref="M346:M409" si="235">COUNTA(T346,V346,X346)</f>
        <v>0</v>
      </c>
      <c r="Z346" s="15">
        <f t="shared" ref="Z346:Z409" si="236">IF(AND(G346="DV",ISNUMBER(SEARCH("C1",N346&amp;P346&amp;R346&amp;T346&amp;V346&amp;X346))),0,1)</f>
        <v>1</v>
      </c>
      <c r="AA346" s="15">
        <f t="shared" ref="AA346:AA409" si="237">IF(AND(G346="DV",ISNUMBER(SEARCH("C2",N346&amp;P346&amp;R346&amp;T346&amp;V346&amp;X346))),0,1)</f>
        <v>1</v>
      </c>
      <c r="AB346" s="15">
        <f t="shared" ref="AB346:AB409" si="238">IF(AND(G346="DV",ISNUMBER(SEARCH("C3",N346&amp;P346&amp;R346&amp;T346&amp;V346&amp;X346))),0,1)</f>
        <v>1</v>
      </c>
      <c r="AC346" s="15">
        <f t="shared" ref="AC346:AC409" si="239">IF(AND(G346="DV",ISNUMBER(SEARCH("C4",N346&amp;P346&amp;R346&amp;T346&amp;V346&amp;X346))),0,1)</f>
        <v>1</v>
      </c>
      <c r="AD346" s="15">
        <f t="shared" ref="AD346:AD409" si="240">IF(AND(G346="DV",ISNUMBER(SEARCH("C5",N346&amp;P346&amp;R346&amp;T346&amp;V346&amp;X346))),0,1)</f>
        <v>1</v>
      </c>
      <c r="AE346" s="15">
        <f t="shared" ref="AE346:AE409" si="241">IF(AND(G346="DV",ISNUMBER(SEARCH("C6",N346&amp;P346&amp;R346&amp;T346&amp;V346&amp;X346))),0,1)</f>
        <v>1</v>
      </c>
      <c r="AF346" s="15">
        <f t="shared" ref="AF346:AF409" si="242">IF(AND(G346="DV",ISNUMBER(SEARCH("C7",N346&amp;P346&amp;R346&amp;T346&amp;V346&amp;X346))),0,1)</f>
        <v>1</v>
      </c>
      <c r="AG346" s="15">
        <f t="shared" ref="AG346:AG409" si="243">IF(AND(G346="DV",ISNUMBER(SEARCH("C8",N346&amp;P346&amp;R346&amp;T346&amp;V346&amp;X346))),0,1)</f>
        <v>1</v>
      </c>
      <c r="AH346" s="15">
        <f t="shared" ref="AH346:AH409" si="244">IF(AND(G346="DV",ISNUMBER(SEARCH("C9",N346&amp;P346&amp;R346&amp;T346&amp;V346&amp;X346))),0,1)</f>
        <v>1</v>
      </c>
      <c r="AI346" s="15">
        <f t="shared" ref="AI346:AI409" si="245">IF(AND(G346="DV",ISNUMBER(SEARCH("I1",N346&amp;P346&amp;R346&amp;T346&amp;V346&amp;X346))),0,1)</f>
        <v>1</v>
      </c>
      <c r="AJ346" s="15">
        <f t="shared" ref="AJ346:AJ409" si="246">IF(AND(G346="DV",ISNUMBER(SEARCH("I2",N346&amp;P346&amp;R346&amp;T346&amp;V346&amp;X346))),0,1)</f>
        <v>1</v>
      </c>
      <c r="AK346" s="15">
        <f t="shared" ref="AK346:AK409" si="247">IF(AND(G346="DV",ISNUMBER(SEARCH("I3",N346&amp;P346&amp;R346&amp;T346&amp;V346&amp;X346))),0,1)</f>
        <v>1</v>
      </c>
      <c r="AL346" s="15">
        <f t="shared" ref="AL346:AL409" si="248">IF(AND(G346="AL",ISNUMBER(SEARCH("C1",N346&amp;P346&amp;R346&amp;T346&amp;V346&amp;X346))),0,1)</f>
        <v>1</v>
      </c>
      <c r="AM346" s="15">
        <f t="shared" ref="AM346:AM409" si="249">IF(AND(G346="AL",ISNUMBER(SEARCH("C2",N346&amp;P346&amp;R346&amp;T346&amp;V346&amp;X346))),0,1)</f>
        <v>1</v>
      </c>
      <c r="AN346" s="15">
        <f t="shared" ref="AN346:AN409" si="250">IF(AND(G346="AL",ISNUMBER(SEARCH("C3",N346&amp;P346&amp;R346&amp;T346&amp;V346&amp;X346))),0,1)</f>
        <v>1</v>
      </c>
      <c r="AO346" s="15">
        <f t="shared" ref="AO346:AO409" si="251">IF(AND(G346="AL",ISNUMBER(SEARCH("C4",N346&amp;P346&amp;R346&amp;T346&amp;V346&amp;X346))),0,1)</f>
        <v>1</v>
      </c>
      <c r="AP346" s="15">
        <f t="shared" ref="AP346:AP409" si="252">IF(AND(G346="AL",ISNUMBER(SEARCH("C5",N346&amp;P346&amp;R346&amp;T346&amp;V346&amp;X346))),0,1)</f>
        <v>1</v>
      </c>
      <c r="AQ346" s="15">
        <f t="shared" ref="AQ346:AQ409" si="253">IF(AND(G346="AL",ISNUMBER(SEARCH("C6",N346&amp;P346&amp;R346&amp;T346&amp;V346&amp;X346))),0,1)</f>
        <v>1</v>
      </c>
      <c r="AR346" s="15">
        <f t="shared" ref="AR346:AR409" si="254">IF(AND(G346="AL",ISNUMBER(SEARCH("C7",N346&amp;P346&amp;R346&amp;T346&amp;V346&amp;X346))),0,1)</f>
        <v>1</v>
      </c>
      <c r="AS346" s="15">
        <f t="shared" ref="AS346:AS409" si="255">IF(AND(G346="AL",ISNUMBER(SEARCH("C8",N346&amp;P346&amp;R346&amp;T346&amp;V346&amp;X346))),0,1)</f>
        <v>1</v>
      </c>
      <c r="AT346" s="15">
        <f t="shared" ref="AT346:AT409" si="256">IF(AND(G346="AL",ISNUMBER(SEARCH("C9",N346&amp;P346&amp;R346&amp;T346&amp;V346&amp;X346))),0,1)</f>
        <v>1</v>
      </c>
      <c r="AU346" s="15">
        <f t="shared" ref="AU346:AU409" si="257">IF(AND(G346="AL",ISNUMBER(SEARCH("C10",N346&amp;P346&amp;R346&amp;T346&amp;V346&amp;X346))),0,1)</f>
        <v>1</v>
      </c>
      <c r="AV346" s="15">
        <f t="shared" ref="AV346:AV409" si="258">IF(AND(G346="AL",ISNUMBER(SEARCH("C11",N346&amp;P346&amp;R346&amp;T346&amp;V346&amp;X346))),0,1)</f>
        <v>1</v>
      </c>
      <c r="AW346" s="15">
        <f t="shared" ref="AW346:AW409" si="259">IF(AND(G346="AL",ISNUMBER(SEARCH("C12",N346&amp;P346&amp;R346&amp;T346&amp;V346&amp;X346))),0,1)</f>
        <v>1</v>
      </c>
      <c r="AX346" s="15">
        <f t="shared" ref="AX346:AX409" si="260">IF(AND(G346="AL",ISNUMBER(SEARCH("C13",N346&amp;P346&amp;R346&amp;T346&amp;V346&amp;X346))),0,1)</f>
        <v>1</v>
      </c>
      <c r="AY346" s="15">
        <f t="shared" ref="AY346:AY409" si="261">IF(AND(G346="AL",ISNUMBER(SEARCH("I1",N346&amp;P346&amp;R346&amp;T346&amp;V346&amp;X346))),0,1)</f>
        <v>1</v>
      </c>
      <c r="AZ346" s="15">
        <f t="shared" ref="AZ346:AZ409" si="262">IF(AND(G346="AL",ISNUMBER(SEARCH("I2",N346&amp;P346&amp;R346&amp;T346&amp;V346&amp;X346))),0,1)</f>
        <v>1</v>
      </c>
      <c r="BA346" s="15">
        <f t="shared" ref="BA346:BA409" si="263">IF(AND(G346="AL",ISNUMBER(SEARCH("I3",N346&amp;P346&amp;R346&amp;T346&amp;V346&amp;X346))),0,1)</f>
        <v>1</v>
      </c>
      <c r="BB346" s="15">
        <f t="shared" si="231"/>
        <v>0</v>
      </c>
      <c r="BC346" s="15" t="str">
        <f t="shared" si="232"/>
        <v/>
      </c>
      <c r="BD346" s="15" t="str">
        <f t="shared" si="233"/>
        <v/>
      </c>
      <c r="BE346" s="11" t="e">
        <f t="shared" ref="BE346:BE409" si="264">IF(BC346=0,1,(BC346-L346)/BC346)</f>
        <v>#VALUE!</v>
      </c>
      <c r="BF346" s="11" t="e">
        <f t="shared" ref="BF346:BF409" si="265">IF(BD346=0,1,(BD346-M346)/BD346)</f>
        <v>#VALUE!</v>
      </c>
      <c r="BG346" s="11" t="e">
        <f t="shared" ref="BG346:BG409" si="266">(BE346*0.7)+(BF346*0.3)</f>
        <v>#VALUE!</v>
      </c>
      <c r="BH346" t="str">
        <f t="shared" ref="BH346:BH409" si="267">_xlfn.TEXTJOIN(",",TRUE,N346,P346,R346)</f>
        <v/>
      </c>
      <c r="BI346" t="str" cm="1">
        <f t="array" ref="BI346">_xlfn.IFS(
  L346&gt;0,"Critical Fail",
  M346&gt;0,"Important (Coaching)",
  TRUE,"Clean Pass"
)</f>
        <v>Clean Pass</v>
      </c>
      <c r="BJ346" t="str">
        <f t="shared" ref="BJ346:BJ409" si="268">IF(COUNTA(N346:Y346)=0,"NA",_xlfn.TEXTJOIN(",",TRUE,N346:Y346))</f>
        <v>NA</v>
      </c>
    </row>
    <row r="347" spans="1:62" x14ac:dyDescent="0.3">
      <c r="A347">
        <v>390089</v>
      </c>
      <c r="K347" t="str">
        <f t="shared" si="230"/>
        <v>Pass</v>
      </c>
      <c r="L347" s="15">
        <f t="shared" si="234"/>
        <v>0</v>
      </c>
      <c r="M347" s="15">
        <f t="shared" si="235"/>
        <v>0</v>
      </c>
      <c r="Z347" s="15">
        <f t="shared" si="236"/>
        <v>1</v>
      </c>
      <c r="AA347" s="15">
        <f t="shared" si="237"/>
        <v>1</v>
      </c>
      <c r="AB347" s="15">
        <f t="shared" si="238"/>
        <v>1</v>
      </c>
      <c r="AC347" s="15">
        <f t="shared" si="239"/>
        <v>1</v>
      </c>
      <c r="AD347" s="15">
        <f t="shared" si="240"/>
        <v>1</v>
      </c>
      <c r="AE347" s="15">
        <f t="shared" si="241"/>
        <v>1</v>
      </c>
      <c r="AF347" s="15">
        <f t="shared" si="242"/>
        <v>1</v>
      </c>
      <c r="AG347" s="15">
        <f t="shared" si="243"/>
        <v>1</v>
      </c>
      <c r="AH347" s="15">
        <f t="shared" si="244"/>
        <v>1</v>
      </c>
      <c r="AI347" s="15">
        <f t="shared" si="245"/>
        <v>1</v>
      </c>
      <c r="AJ347" s="15">
        <f t="shared" si="246"/>
        <v>1</v>
      </c>
      <c r="AK347" s="15">
        <f t="shared" si="247"/>
        <v>1</v>
      </c>
      <c r="AL347" s="15">
        <f t="shared" si="248"/>
        <v>1</v>
      </c>
      <c r="AM347" s="15">
        <f t="shared" si="249"/>
        <v>1</v>
      </c>
      <c r="AN347" s="15">
        <f t="shared" si="250"/>
        <v>1</v>
      </c>
      <c r="AO347" s="15">
        <f t="shared" si="251"/>
        <v>1</v>
      </c>
      <c r="AP347" s="15">
        <f t="shared" si="252"/>
        <v>1</v>
      </c>
      <c r="AQ347" s="15">
        <f t="shared" si="253"/>
        <v>1</v>
      </c>
      <c r="AR347" s="15">
        <f t="shared" si="254"/>
        <v>1</v>
      </c>
      <c r="AS347" s="15">
        <f t="shared" si="255"/>
        <v>1</v>
      </c>
      <c r="AT347" s="15">
        <f t="shared" si="256"/>
        <v>1</v>
      </c>
      <c r="AU347" s="15">
        <f t="shared" si="257"/>
        <v>1</v>
      </c>
      <c r="AV347" s="15">
        <f t="shared" si="258"/>
        <v>1</v>
      </c>
      <c r="AW347" s="15">
        <f t="shared" si="259"/>
        <v>1</v>
      </c>
      <c r="AX347" s="15">
        <f t="shared" si="260"/>
        <v>1</v>
      </c>
      <c r="AY347" s="15">
        <f t="shared" si="261"/>
        <v>1</v>
      </c>
      <c r="AZ347" s="15">
        <f t="shared" si="262"/>
        <v>1</v>
      </c>
      <c r="BA347" s="15">
        <f t="shared" si="263"/>
        <v>1</v>
      </c>
      <c r="BB347" s="15">
        <f t="shared" si="231"/>
        <v>0</v>
      </c>
      <c r="BC347" s="15" t="str">
        <f t="shared" si="232"/>
        <v/>
      </c>
      <c r="BD347" s="15" t="str">
        <f t="shared" si="233"/>
        <v/>
      </c>
      <c r="BE347" s="11" t="e">
        <f t="shared" si="264"/>
        <v>#VALUE!</v>
      </c>
      <c r="BF347" s="11" t="e">
        <f t="shared" si="265"/>
        <v>#VALUE!</v>
      </c>
      <c r="BG347" s="11" t="e">
        <f t="shared" si="266"/>
        <v>#VALUE!</v>
      </c>
      <c r="BH347" t="str">
        <f t="shared" si="267"/>
        <v/>
      </c>
      <c r="BI347" t="str" cm="1">
        <f t="array" ref="BI347">_xlfn.IFS(
  L347&gt;0,"Critical Fail",
  M347&gt;0,"Important (Coaching)",
  TRUE,"Clean Pass"
)</f>
        <v>Clean Pass</v>
      </c>
      <c r="BJ347" t="str">
        <f t="shared" si="268"/>
        <v>NA</v>
      </c>
    </row>
    <row r="348" spans="1:62" x14ac:dyDescent="0.3">
      <c r="A348">
        <v>243286</v>
      </c>
      <c r="K348" t="str">
        <f t="shared" si="230"/>
        <v>Pass</v>
      </c>
      <c r="L348" s="15">
        <f t="shared" si="234"/>
        <v>0</v>
      </c>
      <c r="M348" s="15">
        <f t="shared" si="235"/>
        <v>0</v>
      </c>
      <c r="Z348" s="15">
        <f t="shared" si="236"/>
        <v>1</v>
      </c>
      <c r="AA348" s="15">
        <f t="shared" si="237"/>
        <v>1</v>
      </c>
      <c r="AB348" s="15">
        <f t="shared" si="238"/>
        <v>1</v>
      </c>
      <c r="AC348" s="15">
        <f t="shared" si="239"/>
        <v>1</v>
      </c>
      <c r="AD348" s="15">
        <f t="shared" si="240"/>
        <v>1</v>
      </c>
      <c r="AE348" s="15">
        <f t="shared" si="241"/>
        <v>1</v>
      </c>
      <c r="AF348" s="15">
        <f t="shared" si="242"/>
        <v>1</v>
      </c>
      <c r="AG348" s="15">
        <f t="shared" si="243"/>
        <v>1</v>
      </c>
      <c r="AH348" s="15">
        <f t="shared" si="244"/>
        <v>1</v>
      </c>
      <c r="AI348" s="15">
        <f t="shared" si="245"/>
        <v>1</v>
      </c>
      <c r="AJ348" s="15">
        <f t="shared" si="246"/>
        <v>1</v>
      </c>
      <c r="AK348" s="15">
        <f t="shared" si="247"/>
        <v>1</v>
      </c>
      <c r="AL348" s="15">
        <f t="shared" si="248"/>
        <v>1</v>
      </c>
      <c r="AM348" s="15">
        <f t="shared" si="249"/>
        <v>1</v>
      </c>
      <c r="AN348" s="15">
        <f t="shared" si="250"/>
        <v>1</v>
      </c>
      <c r="AO348" s="15">
        <f t="shared" si="251"/>
        <v>1</v>
      </c>
      <c r="AP348" s="15">
        <f t="shared" si="252"/>
        <v>1</v>
      </c>
      <c r="AQ348" s="15">
        <f t="shared" si="253"/>
        <v>1</v>
      </c>
      <c r="AR348" s="15">
        <f t="shared" si="254"/>
        <v>1</v>
      </c>
      <c r="AS348" s="15">
        <f t="shared" si="255"/>
        <v>1</v>
      </c>
      <c r="AT348" s="15">
        <f t="shared" si="256"/>
        <v>1</v>
      </c>
      <c r="AU348" s="15">
        <f t="shared" si="257"/>
        <v>1</v>
      </c>
      <c r="AV348" s="15">
        <f t="shared" si="258"/>
        <v>1</v>
      </c>
      <c r="AW348" s="15">
        <f t="shared" si="259"/>
        <v>1</v>
      </c>
      <c r="AX348" s="15">
        <f t="shared" si="260"/>
        <v>1</v>
      </c>
      <c r="AY348" s="15">
        <f t="shared" si="261"/>
        <v>1</v>
      </c>
      <c r="AZ348" s="15">
        <f t="shared" si="262"/>
        <v>1</v>
      </c>
      <c r="BA348" s="15">
        <f t="shared" si="263"/>
        <v>1</v>
      </c>
      <c r="BB348" s="15">
        <f t="shared" si="231"/>
        <v>0</v>
      </c>
      <c r="BC348" s="15" t="str">
        <f t="shared" si="232"/>
        <v/>
      </c>
      <c r="BD348" s="15" t="str">
        <f t="shared" si="233"/>
        <v/>
      </c>
      <c r="BE348" s="11" t="e">
        <f t="shared" si="264"/>
        <v>#VALUE!</v>
      </c>
      <c r="BF348" s="11" t="e">
        <f t="shared" si="265"/>
        <v>#VALUE!</v>
      </c>
      <c r="BG348" s="11" t="e">
        <f t="shared" si="266"/>
        <v>#VALUE!</v>
      </c>
      <c r="BH348" t="str">
        <f t="shared" si="267"/>
        <v/>
      </c>
      <c r="BI348" t="str" cm="1">
        <f t="array" ref="BI348">_xlfn.IFS(
  L348&gt;0,"Critical Fail",
  M348&gt;0,"Important (Coaching)",
  TRUE,"Clean Pass"
)</f>
        <v>Clean Pass</v>
      </c>
      <c r="BJ348" t="str">
        <f t="shared" si="268"/>
        <v>NA</v>
      </c>
    </row>
    <row r="349" spans="1:62" x14ac:dyDescent="0.3">
      <c r="A349">
        <v>216279</v>
      </c>
      <c r="K349" t="str">
        <f t="shared" si="230"/>
        <v>Pass</v>
      </c>
      <c r="L349" s="15">
        <f t="shared" si="234"/>
        <v>0</v>
      </c>
      <c r="M349" s="15">
        <f t="shared" si="235"/>
        <v>0</v>
      </c>
      <c r="Z349" s="15">
        <f t="shared" si="236"/>
        <v>1</v>
      </c>
      <c r="AA349" s="15">
        <f t="shared" si="237"/>
        <v>1</v>
      </c>
      <c r="AB349" s="15">
        <f t="shared" si="238"/>
        <v>1</v>
      </c>
      <c r="AC349" s="15">
        <f t="shared" si="239"/>
        <v>1</v>
      </c>
      <c r="AD349" s="15">
        <f t="shared" si="240"/>
        <v>1</v>
      </c>
      <c r="AE349" s="15">
        <f t="shared" si="241"/>
        <v>1</v>
      </c>
      <c r="AF349" s="15">
        <f t="shared" si="242"/>
        <v>1</v>
      </c>
      <c r="AG349" s="15">
        <f t="shared" si="243"/>
        <v>1</v>
      </c>
      <c r="AH349" s="15">
        <f t="shared" si="244"/>
        <v>1</v>
      </c>
      <c r="AI349" s="15">
        <f t="shared" si="245"/>
        <v>1</v>
      </c>
      <c r="AJ349" s="15">
        <f t="shared" si="246"/>
        <v>1</v>
      </c>
      <c r="AK349" s="15">
        <f t="shared" si="247"/>
        <v>1</v>
      </c>
      <c r="AL349" s="15">
        <f t="shared" si="248"/>
        <v>1</v>
      </c>
      <c r="AM349" s="15">
        <f t="shared" si="249"/>
        <v>1</v>
      </c>
      <c r="AN349" s="15">
        <f t="shared" si="250"/>
        <v>1</v>
      </c>
      <c r="AO349" s="15">
        <f t="shared" si="251"/>
        <v>1</v>
      </c>
      <c r="AP349" s="15">
        <f t="shared" si="252"/>
        <v>1</v>
      </c>
      <c r="AQ349" s="15">
        <f t="shared" si="253"/>
        <v>1</v>
      </c>
      <c r="AR349" s="15">
        <f t="shared" si="254"/>
        <v>1</v>
      </c>
      <c r="AS349" s="15">
        <f t="shared" si="255"/>
        <v>1</v>
      </c>
      <c r="AT349" s="15">
        <f t="shared" si="256"/>
        <v>1</v>
      </c>
      <c r="AU349" s="15">
        <f t="shared" si="257"/>
        <v>1</v>
      </c>
      <c r="AV349" s="15">
        <f t="shared" si="258"/>
        <v>1</v>
      </c>
      <c r="AW349" s="15">
        <f t="shared" si="259"/>
        <v>1</v>
      </c>
      <c r="AX349" s="15">
        <f t="shared" si="260"/>
        <v>1</v>
      </c>
      <c r="AY349" s="15">
        <f t="shared" si="261"/>
        <v>1</v>
      </c>
      <c r="AZ349" s="15">
        <f t="shared" si="262"/>
        <v>1</v>
      </c>
      <c r="BA349" s="15">
        <f t="shared" si="263"/>
        <v>1</v>
      </c>
      <c r="BB349" s="15">
        <f t="shared" si="231"/>
        <v>0</v>
      </c>
      <c r="BC349" s="15" t="str">
        <f t="shared" si="232"/>
        <v/>
      </c>
      <c r="BD349" s="15" t="str">
        <f t="shared" si="233"/>
        <v/>
      </c>
      <c r="BE349" s="11" t="e">
        <f t="shared" si="264"/>
        <v>#VALUE!</v>
      </c>
      <c r="BF349" s="11" t="e">
        <f t="shared" si="265"/>
        <v>#VALUE!</v>
      </c>
      <c r="BG349" s="11" t="e">
        <f t="shared" si="266"/>
        <v>#VALUE!</v>
      </c>
      <c r="BH349" t="str">
        <f t="shared" si="267"/>
        <v/>
      </c>
      <c r="BI349" t="str" cm="1">
        <f t="array" ref="BI349">_xlfn.IFS(
  L349&gt;0,"Critical Fail",
  M349&gt;0,"Important (Coaching)",
  TRUE,"Clean Pass"
)</f>
        <v>Clean Pass</v>
      </c>
      <c r="BJ349" t="str">
        <f t="shared" si="268"/>
        <v>NA</v>
      </c>
    </row>
    <row r="350" spans="1:62" x14ac:dyDescent="0.3">
      <c r="A350">
        <v>619538</v>
      </c>
      <c r="K350" t="str">
        <f t="shared" si="230"/>
        <v>Pass</v>
      </c>
      <c r="L350" s="15">
        <f t="shared" si="234"/>
        <v>0</v>
      </c>
      <c r="M350" s="15">
        <f t="shared" si="235"/>
        <v>0</v>
      </c>
      <c r="Z350" s="15">
        <f t="shared" si="236"/>
        <v>1</v>
      </c>
      <c r="AA350" s="15">
        <f t="shared" si="237"/>
        <v>1</v>
      </c>
      <c r="AB350" s="15">
        <f t="shared" si="238"/>
        <v>1</v>
      </c>
      <c r="AC350" s="15">
        <f t="shared" si="239"/>
        <v>1</v>
      </c>
      <c r="AD350" s="15">
        <f t="shared" si="240"/>
        <v>1</v>
      </c>
      <c r="AE350" s="15">
        <f t="shared" si="241"/>
        <v>1</v>
      </c>
      <c r="AF350" s="15">
        <f t="shared" si="242"/>
        <v>1</v>
      </c>
      <c r="AG350" s="15">
        <f t="shared" si="243"/>
        <v>1</v>
      </c>
      <c r="AH350" s="15">
        <f t="shared" si="244"/>
        <v>1</v>
      </c>
      <c r="AI350" s="15">
        <f t="shared" si="245"/>
        <v>1</v>
      </c>
      <c r="AJ350" s="15">
        <f t="shared" si="246"/>
        <v>1</v>
      </c>
      <c r="AK350" s="15">
        <f t="shared" si="247"/>
        <v>1</v>
      </c>
      <c r="AL350" s="15">
        <f t="shared" si="248"/>
        <v>1</v>
      </c>
      <c r="AM350" s="15">
        <f t="shared" si="249"/>
        <v>1</v>
      </c>
      <c r="AN350" s="15">
        <f t="shared" si="250"/>
        <v>1</v>
      </c>
      <c r="AO350" s="15">
        <f t="shared" si="251"/>
        <v>1</v>
      </c>
      <c r="AP350" s="15">
        <f t="shared" si="252"/>
        <v>1</v>
      </c>
      <c r="AQ350" s="15">
        <f t="shared" si="253"/>
        <v>1</v>
      </c>
      <c r="AR350" s="15">
        <f t="shared" si="254"/>
        <v>1</v>
      </c>
      <c r="AS350" s="15">
        <f t="shared" si="255"/>
        <v>1</v>
      </c>
      <c r="AT350" s="15">
        <f t="shared" si="256"/>
        <v>1</v>
      </c>
      <c r="AU350" s="15">
        <f t="shared" si="257"/>
        <v>1</v>
      </c>
      <c r="AV350" s="15">
        <f t="shared" si="258"/>
        <v>1</v>
      </c>
      <c r="AW350" s="15">
        <f t="shared" si="259"/>
        <v>1</v>
      </c>
      <c r="AX350" s="15">
        <f t="shared" si="260"/>
        <v>1</v>
      </c>
      <c r="AY350" s="15">
        <f t="shared" si="261"/>
        <v>1</v>
      </c>
      <c r="AZ350" s="15">
        <f t="shared" si="262"/>
        <v>1</v>
      </c>
      <c r="BA350" s="15">
        <f t="shared" si="263"/>
        <v>1</v>
      </c>
      <c r="BB350" s="15">
        <f t="shared" si="231"/>
        <v>0</v>
      </c>
      <c r="BC350" s="15" t="str">
        <f t="shared" si="232"/>
        <v/>
      </c>
      <c r="BD350" s="15" t="str">
        <f t="shared" si="233"/>
        <v/>
      </c>
      <c r="BE350" s="11" t="e">
        <f t="shared" si="264"/>
        <v>#VALUE!</v>
      </c>
      <c r="BF350" s="11" t="e">
        <f t="shared" si="265"/>
        <v>#VALUE!</v>
      </c>
      <c r="BG350" s="11" t="e">
        <f t="shared" si="266"/>
        <v>#VALUE!</v>
      </c>
      <c r="BH350" t="str">
        <f t="shared" si="267"/>
        <v/>
      </c>
      <c r="BI350" t="str" cm="1">
        <f t="array" ref="BI350">_xlfn.IFS(
  L350&gt;0,"Critical Fail",
  M350&gt;0,"Important (Coaching)",
  TRUE,"Clean Pass"
)</f>
        <v>Clean Pass</v>
      </c>
      <c r="BJ350" t="str">
        <f t="shared" si="268"/>
        <v>NA</v>
      </c>
    </row>
    <row r="351" spans="1:62" x14ac:dyDescent="0.3">
      <c r="A351">
        <v>787684</v>
      </c>
      <c r="K351" t="str">
        <f t="shared" si="230"/>
        <v>Pass</v>
      </c>
      <c r="L351" s="15">
        <f t="shared" si="234"/>
        <v>0</v>
      </c>
      <c r="M351" s="15">
        <f t="shared" si="235"/>
        <v>0</v>
      </c>
      <c r="Z351" s="15">
        <f t="shared" si="236"/>
        <v>1</v>
      </c>
      <c r="AA351" s="15">
        <f t="shared" si="237"/>
        <v>1</v>
      </c>
      <c r="AB351" s="15">
        <f t="shared" si="238"/>
        <v>1</v>
      </c>
      <c r="AC351" s="15">
        <f t="shared" si="239"/>
        <v>1</v>
      </c>
      <c r="AD351" s="15">
        <f t="shared" si="240"/>
        <v>1</v>
      </c>
      <c r="AE351" s="15">
        <f t="shared" si="241"/>
        <v>1</v>
      </c>
      <c r="AF351" s="15">
        <f t="shared" si="242"/>
        <v>1</v>
      </c>
      <c r="AG351" s="15">
        <f t="shared" si="243"/>
        <v>1</v>
      </c>
      <c r="AH351" s="15">
        <f t="shared" si="244"/>
        <v>1</v>
      </c>
      <c r="AI351" s="15">
        <f t="shared" si="245"/>
        <v>1</v>
      </c>
      <c r="AJ351" s="15">
        <f t="shared" si="246"/>
        <v>1</v>
      </c>
      <c r="AK351" s="15">
        <f t="shared" si="247"/>
        <v>1</v>
      </c>
      <c r="AL351" s="15">
        <f t="shared" si="248"/>
        <v>1</v>
      </c>
      <c r="AM351" s="15">
        <f t="shared" si="249"/>
        <v>1</v>
      </c>
      <c r="AN351" s="15">
        <f t="shared" si="250"/>
        <v>1</v>
      </c>
      <c r="AO351" s="15">
        <f t="shared" si="251"/>
        <v>1</v>
      </c>
      <c r="AP351" s="15">
        <f t="shared" si="252"/>
        <v>1</v>
      </c>
      <c r="AQ351" s="15">
        <f t="shared" si="253"/>
        <v>1</v>
      </c>
      <c r="AR351" s="15">
        <f t="shared" si="254"/>
        <v>1</v>
      </c>
      <c r="AS351" s="15">
        <f t="shared" si="255"/>
        <v>1</v>
      </c>
      <c r="AT351" s="15">
        <f t="shared" si="256"/>
        <v>1</v>
      </c>
      <c r="AU351" s="15">
        <f t="shared" si="257"/>
        <v>1</v>
      </c>
      <c r="AV351" s="15">
        <f t="shared" si="258"/>
        <v>1</v>
      </c>
      <c r="AW351" s="15">
        <f t="shared" si="259"/>
        <v>1</v>
      </c>
      <c r="AX351" s="15">
        <f t="shared" si="260"/>
        <v>1</v>
      </c>
      <c r="AY351" s="15">
        <f t="shared" si="261"/>
        <v>1</v>
      </c>
      <c r="AZ351" s="15">
        <f t="shared" si="262"/>
        <v>1</v>
      </c>
      <c r="BA351" s="15">
        <f t="shared" si="263"/>
        <v>1</v>
      </c>
      <c r="BB351" s="15">
        <f t="shared" si="231"/>
        <v>0</v>
      </c>
      <c r="BC351" s="15" t="str">
        <f t="shared" si="232"/>
        <v/>
      </c>
      <c r="BD351" s="15" t="str">
        <f t="shared" si="233"/>
        <v/>
      </c>
      <c r="BE351" s="11" t="e">
        <f t="shared" si="264"/>
        <v>#VALUE!</v>
      </c>
      <c r="BF351" s="11" t="e">
        <f t="shared" si="265"/>
        <v>#VALUE!</v>
      </c>
      <c r="BG351" s="11" t="e">
        <f t="shared" si="266"/>
        <v>#VALUE!</v>
      </c>
      <c r="BH351" t="str">
        <f t="shared" si="267"/>
        <v/>
      </c>
      <c r="BI351" t="str" cm="1">
        <f t="array" ref="BI351">_xlfn.IFS(
  L351&gt;0,"Critical Fail",
  M351&gt;0,"Important (Coaching)",
  TRUE,"Clean Pass"
)</f>
        <v>Clean Pass</v>
      </c>
      <c r="BJ351" t="str">
        <f t="shared" si="268"/>
        <v>NA</v>
      </c>
    </row>
    <row r="352" spans="1:62" x14ac:dyDescent="0.3">
      <c r="A352">
        <v>210740</v>
      </c>
      <c r="K352" t="str">
        <f t="shared" si="230"/>
        <v>Pass</v>
      </c>
      <c r="L352" s="15">
        <f t="shared" si="234"/>
        <v>0</v>
      </c>
      <c r="M352" s="15">
        <f t="shared" si="235"/>
        <v>0</v>
      </c>
      <c r="Z352" s="15">
        <f t="shared" si="236"/>
        <v>1</v>
      </c>
      <c r="AA352" s="15">
        <f t="shared" si="237"/>
        <v>1</v>
      </c>
      <c r="AB352" s="15">
        <f t="shared" si="238"/>
        <v>1</v>
      </c>
      <c r="AC352" s="15">
        <f t="shared" si="239"/>
        <v>1</v>
      </c>
      <c r="AD352" s="15">
        <f t="shared" si="240"/>
        <v>1</v>
      </c>
      <c r="AE352" s="15">
        <f t="shared" si="241"/>
        <v>1</v>
      </c>
      <c r="AF352" s="15">
        <f t="shared" si="242"/>
        <v>1</v>
      </c>
      <c r="AG352" s="15">
        <f t="shared" si="243"/>
        <v>1</v>
      </c>
      <c r="AH352" s="15">
        <f t="shared" si="244"/>
        <v>1</v>
      </c>
      <c r="AI352" s="15">
        <f t="shared" si="245"/>
        <v>1</v>
      </c>
      <c r="AJ352" s="15">
        <f t="shared" si="246"/>
        <v>1</v>
      </c>
      <c r="AK352" s="15">
        <f t="shared" si="247"/>
        <v>1</v>
      </c>
      <c r="AL352" s="15">
        <f t="shared" si="248"/>
        <v>1</v>
      </c>
      <c r="AM352" s="15">
        <f t="shared" si="249"/>
        <v>1</v>
      </c>
      <c r="AN352" s="15">
        <f t="shared" si="250"/>
        <v>1</v>
      </c>
      <c r="AO352" s="15">
        <f t="shared" si="251"/>
        <v>1</v>
      </c>
      <c r="AP352" s="15">
        <f t="shared" si="252"/>
        <v>1</v>
      </c>
      <c r="AQ352" s="15">
        <f t="shared" si="253"/>
        <v>1</v>
      </c>
      <c r="AR352" s="15">
        <f t="shared" si="254"/>
        <v>1</v>
      </c>
      <c r="AS352" s="15">
        <f t="shared" si="255"/>
        <v>1</v>
      </c>
      <c r="AT352" s="15">
        <f t="shared" si="256"/>
        <v>1</v>
      </c>
      <c r="AU352" s="15">
        <f t="shared" si="257"/>
        <v>1</v>
      </c>
      <c r="AV352" s="15">
        <f t="shared" si="258"/>
        <v>1</v>
      </c>
      <c r="AW352" s="15">
        <f t="shared" si="259"/>
        <v>1</v>
      </c>
      <c r="AX352" s="15">
        <f t="shared" si="260"/>
        <v>1</v>
      </c>
      <c r="AY352" s="15">
        <f t="shared" si="261"/>
        <v>1</v>
      </c>
      <c r="AZ352" s="15">
        <f t="shared" si="262"/>
        <v>1</v>
      </c>
      <c r="BA352" s="15">
        <f t="shared" si="263"/>
        <v>1</v>
      </c>
      <c r="BB352" s="15">
        <f t="shared" si="231"/>
        <v>0</v>
      </c>
      <c r="BC352" s="15" t="str">
        <f t="shared" si="232"/>
        <v/>
      </c>
      <c r="BD352" s="15" t="str">
        <f t="shared" si="233"/>
        <v/>
      </c>
      <c r="BE352" s="11" t="e">
        <f t="shared" si="264"/>
        <v>#VALUE!</v>
      </c>
      <c r="BF352" s="11" t="e">
        <f t="shared" si="265"/>
        <v>#VALUE!</v>
      </c>
      <c r="BG352" s="11" t="e">
        <f t="shared" si="266"/>
        <v>#VALUE!</v>
      </c>
      <c r="BH352" t="str">
        <f t="shared" si="267"/>
        <v/>
      </c>
      <c r="BI352" t="str" cm="1">
        <f t="array" ref="BI352">_xlfn.IFS(
  L352&gt;0,"Critical Fail",
  M352&gt;0,"Important (Coaching)",
  TRUE,"Clean Pass"
)</f>
        <v>Clean Pass</v>
      </c>
      <c r="BJ352" t="str">
        <f t="shared" si="268"/>
        <v>NA</v>
      </c>
    </row>
    <row r="353" spans="1:62" x14ac:dyDescent="0.3">
      <c r="A353">
        <v>102150</v>
      </c>
      <c r="K353" t="str">
        <f t="shared" si="230"/>
        <v>Pass</v>
      </c>
      <c r="L353" s="15">
        <f t="shared" si="234"/>
        <v>0</v>
      </c>
      <c r="M353" s="15">
        <f t="shared" si="235"/>
        <v>0</v>
      </c>
      <c r="Z353" s="15">
        <f t="shared" si="236"/>
        <v>1</v>
      </c>
      <c r="AA353" s="15">
        <f t="shared" si="237"/>
        <v>1</v>
      </c>
      <c r="AB353" s="15">
        <f t="shared" si="238"/>
        <v>1</v>
      </c>
      <c r="AC353" s="15">
        <f t="shared" si="239"/>
        <v>1</v>
      </c>
      <c r="AD353" s="15">
        <f t="shared" si="240"/>
        <v>1</v>
      </c>
      <c r="AE353" s="15">
        <f t="shared" si="241"/>
        <v>1</v>
      </c>
      <c r="AF353" s="15">
        <f t="shared" si="242"/>
        <v>1</v>
      </c>
      <c r="AG353" s="15">
        <f t="shared" si="243"/>
        <v>1</v>
      </c>
      <c r="AH353" s="15">
        <f t="shared" si="244"/>
        <v>1</v>
      </c>
      <c r="AI353" s="15">
        <f t="shared" si="245"/>
        <v>1</v>
      </c>
      <c r="AJ353" s="15">
        <f t="shared" si="246"/>
        <v>1</v>
      </c>
      <c r="AK353" s="15">
        <f t="shared" si="247"/>
        <v>1</v>
      </c>
      <c r="AL353" s="15">
        <f t="shared" si="248"/>
        <v>1</v>
      </c>
      <c r="AM353" s="15">
        <f t="shared" si="249"/>
        <v>1</v>
      </c>
      <c r="AN353" s="15">
        <f t="shared" si="250"/>
        <v>1</v>
      </c>
      <c r="AO353" s="15">
        <f t="shared" si="251"/>
        <v>1</v>
      </c>
      <c r="AP353" s="15">
        <f t="shared" si="252"/>
        <v>1</v>
      </c>
      <c r="AQ353" s="15">
        <f t="shared" si="253"/>
        <v>1</v>
      </c>
      <c r="AR353" s="15">
        <f t="shared" si="254"/>
        <v>1</v>
      </c>
      <c r="AS353" s="15">
        <f t="shared" si="255"/>
        <v>1</v>
      </c>
      <c r="AT353" s="15">
        <f t="shared" si="256"/>
        <v>1</v>
      </c>
      <c r="AU353" s="15">
        <f t="shared" si="257"/>
        <v>1</v>
      </c>
      <c r="AV353" s="15">
        <f t="shared" si="258"/>
        <v>1</v>
      </c>
      <c r="AW353" s="15">
        <f t="shared" si="259"/>
        <v>1</v>
      </c>
      <c r="AX353" s="15">
        <f t="shared" si="260"/>
        <v>1</v>
      </c>
      <c r="AY353" s="15">
        <f t="shared" si="261"/>
        <v>1</v>
      </c>
      <c r="AZ353" s="15">
        <f t="shared" si="262"/>
        <v>1</v>
      </c>
      <c r="BA353" s="15">
        <f t="shared" si="263"/>
        <v>1</v>
      </c>
      <c r="BB353" s="15">
        <f t="shared" si="231"/>
        <v>0</v>
      </c>
      <c r="BC353" s="15" t="str">
        <f t="shared" si="232"/>
        <v/>
      </c>
      <c r="BD353" s="15" t="str">
        <f t="shared" si="233"/>
        <v/>
      </c>
      <c r="BE353" s="11" t="e">
        <f t="shared" si="264"/>
        <v>#VALUE!</v>
      </c>
      <c r="BF353" s="11" t="e">
        <f t="shared" si="265"/>
        <v>#VALUE!</v>
      </c>
      <c r="BG353" s="11" t="e">
        <f t="shared" si="266"/>
        <v>#VALUE!</v>
      </c>
      <c r="BH353" t="str">
        <f t="shared" si="267"/>
        <v/>
      </c>
      <c r="BI353" t="str" cm="1">
        <f t="array" ref="BI353">_xlfn.IFS(
  L353&gt;0,"Critical Fail",
  M353&gt;0,"Important (Coaching)",
  TRUE,"Clean Pass"
)</f>
        <v>Clean Pass</v>
      </c>
      <c r="BJ353" t="str">
        <f t="shared" si="268"/>
        <v>NA</v>
      </c>
    </row>
    <row r="354" spans="1:62" x14ac:dyDescent="0.3">
      <c r="A354">
        <v>907193</v>
      </c>
      <c r="K354" t="str">
        <f t="shared" si="230"/>
        <v>Pass</v>
      </c>
      <c r="L354" s="15">
        <f t="shared" si="234"/>
        <v>0</v>
      </c>
      <c r="M354" s="15">
        <f t="shared" si="235"/>
        <v>0</v>
      </c>
      <c r="Z354" s="15">
        <f t="shared" si="236"/>
        <v>1</v>
      </c>
      <c r="AA354" s="15">
        <f t="shared" si="237"/>
        <v>1</v>
      </c>
      <c r="AB354" s="15">
        <f t="shared" si="238"/>
        <v>1</v>
      </c>
      <c r="AC354" s="15">
        <f t="shared" si="239"/>
        <v>1</v>
      </c>
      <c r="AD354" s="15">
        <f t="shared" si="240"/>
        <v>1</v>
      </c>
      <c r="AE354" s="15">
        <f t="shared" si="241"/>
        <v>1</v>
      </c>
      <c r="AF354" s="15">
        <f t="shared" si="242"/>
        <v>1</v>
      </c>
      <c r="AG354" s="15">
        <f t="shared" si="243"/>
        <v>1</v>
      </c>
      <c r="AH354" s="15">
        <f t="shared" si="244"/>
        <v>1</v>
      </c>
      <c r="AI354" s="15">
        <f t="shared" si="245"/>
        <v>1</v>
      </c>
      <c r="AJ354" s="15">
        <f t="shared" si="246"/>
        <v>1</v>
      </c>
      <c r="AK354" s="15">
        <f t="shared" si="247"/>
        <v>1</v>
      </c>
      <c r="AL354" s="15">
        <f t="shared" si="248"/>
        <v>1</v>
      </c>
      <c r="AM354" s="15">
        <f t="shared" si="249"/>
        <v>1</v>
      </c>
      <c r="AN354" s="15">
        <f t="shared" si="250"/>
        <v>1</v>
      </c>
      <c r="AO354" s="15">
        <f t="shared" si="251"/>
        <v>1</v>
      </c>
      <c r="AP354" s="15">
        <f t="shared" si="252"/>
        <v>1</v>
      </c>
      <c r="AQ354" s="15">
        <f t="shared" si="253"/>
        <v>1</v>
      </c>
      <c r="AR354" s="15">
        <f t="shared" si="254"/>
        <v>1</v>
      </c>
      <c r="AS354" s="15">
        <f t="shared" si="255"/>
        <v>1</v>
      </c>
      <c r="AT354" s="15">
        <f t="shared" si="256"/>
        <v>1</v>
      </c>
      <c r="AU354" s="15">
        <f t="shared" si="257"/>
        <v>1</v>
      </c>
      <c r="AV354" s="15">
        <f t="shared" si="258"/>
        <v>1</v>
      </c>
      <c r="AW354" s="15">
        <f t="shared" si="259"/>
        <v>1</v>
      </c>
      <c r="AX354" s="15">
        <f t="shared" si="260"/>
        <v>1</v>
      </c>
      <c r="AY354" s="15">
        <f t="shared" si="261"/>
        <v>1</v>
      </c>
      <c r="AZ354" s="15">
        <f t="shared" si="262"/>
        <v>1</v>
      </c>
      <c r="BA354" s="15">
        <f t="shared" si="263"/>
        <v>1</v>
      </c>
      <c r="BB354" s="15">
        <f t="shared" si="231"/>
        <v>0</v>
      </c>
      <c r="BC354" s="15" t="str">
        <f t="shared" si="232"/>
        <v/>
      </c>
      <c r="BD354" s="15" t="str">
        <f t="shared" si="233"/>
        <v/>
      </c>
      <c r="BE354" s="11" t="e">
        <f t="shared" si="264"/>
        <v>#VALUE!</v>
      </c>
      <c r="BF354" s="11" t="e">
        <f t="shared" si="265"/>
        <v>#VALUE!</v>
      </c>
      <c r="BG354" s="11" t="e">
        <f t="shared" si="266"/>
        <v>#VALUE!</v>
      </c>
      <c r="BH354" t="str">
        <f t="shared" si="267"/>
        <v/>
      </c>
      <c r="BI354" t="str" cm="1">
        <f t="array" ref="BI354">_xlfn.IFS(
  L354&gt;0,"Critical Fail",
  M354&gt;0,"Important (Coaching)",
  TRUE,"Clean Pass"
)</f>
        <v>Clean Pass</v>
      </c>
      <c r="BJ354" t="str">
        <f t="shared" si="268"/>
        <v>NA</v>
      </c>
    </row>
    <row r="355" spans="1:62" x14ac:dyDescent="0.3">
      <c r="A355">
        <v>204663</v>
      </c>
      <c r="K355" t="str">
        <f t="shared" si="230"/>
        <v>Pass</v>
      </c>
      <c r="L355" s="15">
        <f t="shared" si="234"/>
        <v>0</v>
      </c>
      <c r="M355" s="15">
        <f t="shared" si="235"/>
        <v>0</v>
      </c>
      <c r="Z355" s="15">
        <f t="shared" si="236"/>
        <v>1</v>
      </c>
      <c r="AA355" s="15">
        <f t="shared" si="237"/>
        <v>1</v>
      </c>
      <c r="AB355" s="15">
        <f t="shared" si="238"/>
        <v>1</v>
      </c>
      <c r="AC355" s="15">
        <f t="shared" si="239"/>
        <v>1</v>
      </c>
      <c r="AD355" s="15">
        <f t="shared" si="240"/>
        <v>1</v>
      </c>
      <c r="AE355" s="15">
        <f t="shared" si="241"/>
        <v>1</v>
      </c>
      <c r="AF355" s="15">
        <f t="shared" si="242"/>
        <v>1</v>
      </c>
      <c r="AG355" s="15">
        <f t="shared" si="243"/>
        <v>1</v>
      </c>
      <c r="AH355" s="15">
        <f t="shared" si="244"/>
        <v>1</v>
      </c>
      <c r="AI355" s="15">
        <f t="shared" si="245"/>
        <v>1</v>
      </c>
      <c r="AJ355" s="15">
        <f t="shared" si="246"/>
        <v>1</v>
      </c>
      <c r="AK355" s="15">
        <f t="shared" si="247"/>
        <v>1</v>
      </c>
      <c r="AL355" s="15">
        <f t="shared" si="248"/>
        <v>1</v>
      </c>
      <c r="AM355" s="15">
        <f t="shared" si="249"/>
        <v>1</v>
      </c>
      <c r="AN355" s="15">
        <f t="shared" si="250"/>
        <v>1</v>
      </c>
      <c r="AO355" s="15">
        <f t="shared" si="251"/>
        <v>1</v>
      </c>
      <c r="AP355" s="15">
        <f t="shared" si="252"/>
        <v>1</v>
      </c>
      <c r="AQ355" s="15">
        <f t="shared" si="253"/>
        <v>1</v>
      </c>
      <c r="AR355" s="15">
        <f t="shared" si="254"/>
        <v>1</v>
      </c>
      <c r="AS355" s="15">
        <f t="shared" si="255"/>
        <v>1</v>
      </c>
      <c r="AT355" s="15">
        <f t="shared" si="256"/>
        <v>1</v>
      </c>
      <c r="AU355" s="15">
        <f t="shared" si="257"/>
        <v>1</v>
      </c>
      <c r="AV355" s="15">
        <f t="shared" si="258"/>
        <v>1</v>
      </c>
      <c r="AW355" s="15">
        <f t="shared" si="259"/>
        <v>1</v>
      </c>
      <c r="AX355" s="15">
        <f t="shared" si="260"/>
        <v>1</v>
      </c>
      <c r="AY355" s="15">
        <f t="shared" si="261"/>
        <v>1</v>
      </c>
      <c r="AZ355" s="15">
        <f t="shared" si="262"/>
        <v>1</v>
      </c>
      <c r="BA355" s="15">
        <f t="shared" si="263"/>
        <v>1</v>
      </c>
      <c r="BB355" s="15">
        <f t="shared" si="231"/>
        <v>0</v>
      </c>
      <c r="BC355" s="15" t="str">
        <f t="shared" si="232"/>
        <v/>
      </c>
      <c r="BD355" s="15" t="str">
        <f t="shared" si="233"/>
        <v/>
      </c>
      <c r="BE355" s="11" t="e">
        <f t="shared" si="264"/>
        <v>#VALUE!</v>
      </c>
      <c r="BF355" s="11" t="e">
        <f t="shared" si="265"/>
        <v>#VALUE!</v>
      </c>
      <c r="BG355" s="11" t="e">
        <f t="shared" si="266"/>
        <v>#VALUE!</v>
      </c>
      <c r="BH355" t="str">
        <f t="shared" si="267"/>
        <v/>
      </c>
      <c r="BI355" t="str" cm="1">
        <f t="array" ref="BI355">_xlfn.IFS(
  L355&gt;0,"Critical Fail",
  M355&gt;0,"Important (Coaching)",
  TRUE,"Clean Pass"
)</f>
        <v>Clean Pass</v>
      </c>
      <c r="BJ355" t="str">
        <f t="shared" si="268"/>
        <v>NA</v>
      </c>
    </row>
    <row r="356" spans="1:62" x14ac:dyDescent="0.3">
      <c r="A356">
        <v>277634</v>
      </c>
      <c r="K356" t="str">
        <f t="shared" si="230"/>
        <v>Pass</v>
      </c>
      <c r="L356" s="15">
        <f t="shared" si="234"/>
        <v>0</v>
      </c>
      <c r="M356" s="15">
        <f t="shared" si="235"/>
        <v>0</v>
      </c>
      <c r="Z356" s="15">
        <f t="shared" si="236"/>
        <v>1</v>
      </c>
      <c r="AA356" s="15">
        <f t="shared" si="237"/>
        <v>1</v>
      </c>
      <c r="AB356" s="15">
        <f t="shared" si="238"/>
        <v>1</v>
      </c>
      <c r="AC356" s="15">
        <f t="shared" si="239"/>
        <v>1</v>
      </c>
      <c r="AD356" s="15">
        <f t="shared" si="240"/>
        <v>1</v>
      </c>
      <c r="AE356" s="15">
        <f t="shared" si="241"/>
        <v>1</v>
      </c>
      <c r="AF356" s="15">
        <f t="shared" si="242"/>
        <v>1</v>
      </c>
      <c r="AG356" s="15">
        <f t="shared" si="243"/>
        <v>1</v>
      </c>
      <c r="AH356" s="15">
        <f t="shared" si="244"/>
        <v>1</v>
      </c>
      <c r="AI356" s="15">
        <f t="shared" si="245"/>
        <v>1</v>
      </c>
      <c r="AJ356" s="15">
        <f t="shared" si="246"/>
        <v>1</v>
      </c>
      <c r="AK356" s="15">
        <f t="shared" si="247"/>
        <v>1</v>
      </c>
      <c r="AL356" s="15">
        <f t="shared" si="248"/>
        <v>1</v>
      </c>
      <c r="AM356" s="15">
        <f t="shared" si="249"/>
        <v>1</v>
      </c>
      <c r="AN356" s="15">
        <f t="shared" si="250"/>
        <v>1</v>
      </c>
      <c r="AO356" s="15">
        <f t="shared" si="251"/>
        <v>1</v>
      </c>
      <c r="AP356" s="15">
        <f t="shared" si="252"/>
        <v>1</v>
      </c>
      <c r="AQ356" s="15">
        <f t="shared" si="253"/>
        <v>1</v>
      </c>
      <c r="AR356" s="15">
        <f t="shared" si="254"/>
        <v>1</v>
      </c>
      <c r="AS356" s="15">
        <f t="shared" si="255"/>
        <v>1</v>
      </c>
      <c r="AT356" s="15">
        <f t="shared" si="256"/>
        <v>1</v>
      </c>
      <c r="AU356" s="15">
        <f t="shared" si="257"/>
        <v>1</v>
      </c>
      <c r="AV356" s="15">
        <f t="shared" si="258"/>
        <v>1</v>
      </c>
      <c r="AW356" s="15">
        <f t="shared" si="259"/>
        <v>1</v>
      </c>
      <c r="AX356" s="15">
        <f t="shared" si="260"/>
        <v>1</v>
      </c>
      <c r="AY356" s="15">
        <f t="shared" si="261"/>
        <v>1</v>
      </c>
      <c r="AZ356" s="15">
        <f t="shared" si="262"/>
        <v>1</v>
      </c>
      <c r="BA356" s="15">
        <f t="shared" si="263"/>
        <v>1</v>
      </c>
      <c r="BB356" s="15">
        <f t="shared" si="231"/>
        <v>0</v>
      </c>
      <c r="BC356" s="15" t="str">
        <f t="shared" si="232"/>
        <v/>
      </c>
      <c r="BD356" s="15" t="str">
        <f t="shared" si="233"/>
        <v/>
      </c>
      <c r="BE356" s="11" t="e">
        <f t="shared" si="264"/>
        <v>#VALUE!</v>
      </c>
      <c r="BF356" s="11" t="e">
        <f t="shared" si="265"/>
        <v>#VALUE!</v>
      </c>
      <c r="BG356" s="11" t="e">
        <f t="shared" si="266"/>
        <v>#VALUE!</v>
      </c>
      <c r="BH356" t="str">
        <f t="shared" si="267"/>
        <v/>
      </c>
      <c r="BI356" t="str" cm="1">
        <f t="array" ref="BI356">_xlfn.IFS(
  L356&gt;0,"Critical Fail",
  M356&gt;0,"Important (Coaching)",
  TRUE,"Clean Pass"
)</f>
        <v>Clean Pass</v>
      </c>
      <c r="BJ356" t="str">
        <f t="shared" si="268"/>
        <v>NA</v>
      </c>
    </row>
    <row r="357" spans="1:62" x14ac:dyDescent="0.3">
      <c r="A357">
        <v>523430</v>
      </c>
      <c r="K357" t="str">
        <f t="shared" si="230"/>
        <v>Pass</v>
      </c>
      <c r="L357" s="15">
        <f t="shared" si="234"/>
        <v>0</v>
      </c>
      <c r="M357" s="15">
        <f t="shared" si="235"/>
        <v>0</v>
      </c>
      <c r="Z357" s="15">
        <f t="shared" si="236"/>
        <v>1</v>
      </c>
      <c r="AA357" s="15">
        <f t="shared" si="237"/>
        <v>1</v>
      </c>
      <c r="AB357" s="15">
        <f t="shared" si="238"/>
        <v>1</v>
      </c>
      <c r="AC357" s="15">
        <f t="shared" si="239"/>
        <v>1</v>
      </c>
      <c r="AD357" s="15">
        <f t="shared" si="240"/>
        <v>1</v>
      </c>
      <c r="AE357" s="15">
        <f t="shared" si="241"/>
        <v>1</v>
      </c>
      <c r="AF357" s="15">
        <f t="shared" si="242"/>
        <v>1</v>
      </c>
      <c r="AG357" s="15">
        <f t="shared" si="243"/>
        <v>1</v>
      </c>
      <c r="AH357" s="15">
        <f t="shared" si="244"/>
        <v>1</v>
      </c>
      <c r="AI357" s="15">
        <f t="shared" si="245"/>
        <v>1</v>
      </c>
      <c r="AJ357" s="15">
        <f t="shared" si="246"/>
        <v>1</v>
      </c>
      <c r="AK357" s="15">
        <f t="shared" si="247"/>
        <v>1</v>
      </c>
      <c r="AL357" s="15">
        <f t="shared" si="248"/>
        <v>1</v>
      </c>
      <c r="AM357" s="15">
        <f t="shared" si="249"/>
        <v>1</v>
      </c>
      <c r="AN357" s="15">
        <f t="shared" si="250"/>
        <v>1</v>
      </c>
      <c r="AO357" s="15">
        <f t="shared" si="251"/>
        <v>1</v>
      </c>
      <c r="AP357" s="15">
        <f t="shared" si="252"/>
        <v>1</v>
      </c>
      <c r="AQ357" s="15">
        <f t="shared" si="253"/>
        <v>1</v>
      </c>
      <c r="AR357" s="15">
        <f t="shared" si="254"/>
        <v>1</v>
      </c>
      <c r="AS357" s="15">
        <f t="shared" si="255"/>
        <v>1</v>
      </c>
      <c r="AT357" s="15">
        <f t="shared" si="256"/>
        <v>1</v>
      </c>
      <c r="AU357" s="15">
        <f t="shared" si="257"/>
        <v>1</v>
      </c>
      <c r="AV357" s="15">
        <f t="shared" si="258"/>
        <v>1</v>
      </c>
      <c r="AW357" s="15">
        <f t="shared" si="259"/>
        <v>1</v>
      </c>
      <c r="AX357" s="15">
        <f t="shared" si="260"/>
        <v>1</v>
      </c>
      <c r="AY357" s="15">
        <f t="shared" si="261"/>
        <v>1</v>
      </c>
      <c r="AZ357" s="15">
        <f t="shared" si="262"/>
        <v>1</v>
      </c>
      <c r="BA357" s="15">
        <f t="shared" si="263"/>
        <v>1</v>
      </c>
      <c r="BB357" s="15">
        <f t="shared" si="231"/>
        <v>0</v>
      </c>
      <c r="BC357" s="15" t="str">
        <f t="shared" si="232"/>
        <v/>
      </c>
      <c r="BD357" s="15" t="str">
        <f t="shared" si="233"/>
        <v/>
      </c>
      <c r="BE357" s="11" t="e">
        <f t="shared" si="264"/>
        <v>#VALUE!</v>
      </c>
      <c r="BF357" s="11" t="e">
        <f t="shared" si="265"/>
        <v>#VALUE!</v>
      </c>
      <c r="BG357" s="11" t="e">
        <f t="shared" si="266"/>
        <v>#VALUE!</v>
      </c>
      <c r="BH357" t="str">
        <f t="shared" si="267"/>
        <v/>
      </c>
      <c r="BI357" t="str" cm="1">
        <f t="array" ref="BI357">_xlfn.IFS(
  L357&gt;0,"Critical Fail",
  M357&gt;0,"Important (Coaching)",
  TRUE,"Clean Pass"
)</f>
        <v>Clean Pass</v>
      </c>
      <c r="BJ357" t="str">
        <f t="shared" si="268"/>
        <v>NA</v>
      </c>
    </row>
    <row r="358" spans="1:62" x14ac:dyDescent="0.3">
      <c r="A358">
        <v>880058</v>
      </c>
      <c r="K358" t="str">
        <f t="shared" si="230"/>
        <v>Pass</v>
      </c>
      <c r="L358" s="15">
        <f t="shared" si="234"/>
        <v>0</v>
      </c>
      <c r="M358" s="15">
        <f t="shared" si="235"/>
        <v>0</v>
      </c>
      <c r="Z358" s="15">
        <f t="shared" si="236"/>
        <v>1</v>
      </c>
      <c r="AA358" s="15">
        <f t="shared" si="237"/>
        <v>1</v>
      </c>
      <c r="AB358" s="15">
        <f t="shared" si="238"/>
        <v>1</v>
      </c>
      <c r="AC358" s="15">
        <f t="shared" si="239"/>
        <v>1</v>
      </c>
      <c r="AD358" s="15">
        <f t="shared" si="240"/>
        <v>1</v>
      </c>
      <c r="AE358" s="15">
        <f t="shared" si="241"/>
        <v>1</v>
      </c>
      <c r="AF358" s="15">
        <f t="shared" si="242"/>
        <v>1</v>
      </c>
      <c r="AG358" s="15">
        <f t="shared" si="243"/>
        <v>1</v>
      </c>
      <c r="AH358" s="15">
        <f t="shared" si="244"/>
        <v>1</v>
      </c>
      <c r="AI358" s="15">
        <f t="shared" si="245"/>
        <v>1</v>
      </c>
      <c r="AJ358" s="15">
        <f t="shared" si="246"/>
        <v>1</v>
      </c>
      <c r="AK358" s="15">
        <f t="shared" si="247"/>
        <v>1</v>
      </c>
      <c r="AL358" s="15">
        <f t="shared" si="248"/>
        <v>1</v>
      </c>
      <c r="AM358" s="15">
        <f t="shared" si="249"/>
        <v>1</v>
      </c>
      <c r="AN358" s="15">
        <f t="shared" si="250"/>
        <v>1</v>
      </c>
      <c r="AO358" s="15">
        <f t="shared" si="251"/>
        <v>1</v>
      </c>
      <c r="AP358" s="15">
        <f t="shared" si="252"/>
        <v>1</v>
      </c>
      <c r="AQ358" s="15">
        <f t="shared" si="253"/>
        <v>1</v>
      </c>
      <c r="AR358" s="15">
        <f t="shared" si="254"/>
        <v>1</v>
      </c>
      <c r="AS358" s="15">
        <f t="shared" si="255"/>
        <v>1</v>
      </c>
      <c r="AT358" s="15">
        <f t="shared" si="256"/>
        <v>1</v>
      </c>
      <c r="AU358" s="15">
        <f t="shared" si="257"/>
        <v>1</v>
      </c>
      <c r="AV358" s="15">
        <f t="shared" si="258"/>
        <v>1</v>
      </c>
      <c r="AW358" s="15">
        <f t="shared" si="259"/>
        <v>1</v>
      </c>
      <c r="AX358" s="15">
        <f t="shared" si="260"/>
        <v>1</v>
      </c>
      <c r="AY358" s="15">
        <f t="shared" si="261"/>
        <v>1</v>
      </c>
      <c r="AZ358" s="15">
        <f t="shared" si="262"/>
        <v>1</v>
      </c>
      <c r="BA358" s="15">
        <f t="shared" si="263"/>
        <v>1</v>
      </c>
      <c r="BB358" s="15">
        <f t="shared" si="231"/>
        <v>0</v>
      </c>
      <c r="BC358" s="15" t="str">
        <f t="shared" si="232"/>
        <v/>
      </c>
      <c r="BD358" s="15" t="str">
        <f t="shared" si="233"/>
        <v/>
      </c>
      <c r="BE358" s="11" t="e">
        <f t="shared" si="264"/>
        <v>#VALUE!</v>
      </c>
      <c r="BF358" s="11" t="e">
        <f t="shared" si="265"/>
        <v>#VALUE!</v>
      </c>
      <c r="BG358" s="11" t="e">
        <f t="shared" si="266"/>
        <v>#VALUE!</v>
      </c>
      <c r="BH358" t="str">
        <f t="shared" si="267"/>
        <v/>
      </c>
      <c r="BI358" t="str" cm="1">
        <f t="array" ref="BI358">_xlfn.IFS(
  L358&gt;0,"Critical Fail",
  M358&gt;0,"Important (Coaching)",
  TRUE,"Clean Pass"
)</f>
        <v>Clean Pass</v>
      </c>
      <c r="BJ358" t="str">
        <f t="shared" si="268"/>
        <v>NA</v>
      </c>
    </row>
    <row r="359" spans="1:62" x14ac:dyDescent="0.3">
      <c r="A359">
        <v>561475</v>
      </c>
      <c r="K359" t="str">
        <f t="shared" si="230"/>
        <v>Pass</v>
      </c>
      <c r="L359" s="15">
        <f t="shared" si="234"/>
        <v>0</v>
      </c>
      <c r="M359" s="15">
        <f t="shared" si="235"/>
        <v>0</v>
      </c>
      <c r="Z359" s="15">
        <f t="shared" si="236"/>
        <v>1</v>
      </c>
      <c r="AA359" s="15">
        <f t="shared" si="237"/>
        <v>1</v>
      </c>
      <c r="AB359" s="15">
        <f t="shared" si="238"/>
        <v>1</v>
      </c>
      <c r="AC359" s="15">
        <f t="shared" si="239"/>
        <v>1</v>
      </c>
      <c r="AD359" s="15">
        <f t="shared" si="240"/>
        <v>1</v>
      </c>
      <c r="AE359" s="15">
        <f t="shared" si="241"/>
        <v>1</v>
      </c>
      <c r="AF359" s="15">
        <f t="shared" si="242"/>
        <v>1</v>
      </c>
      <c r="AG359" s="15">
        <f t="shared" si="243"/>
        <v>1</v>
      </c>
      <c r="AH359" s="15">
        <f t="shared" si="244"/>
        <v>1</v>
      </c>
      <c r="AI359" s="15">
        <f t="shared" si="245"/>
        <v>1</v>
      </c>
      <c r="AJ359" s="15">
        <f t="shared" si="246"/>
        <v>1</v>
      </c>
      <c r="AK359" s="15">
        <f t="shared" si="247"/>
        <v>1</v>
      </c>
      <c r="AL359" s="15">
        <f t="shared" si="248"/>
        <v>1</v>
      </c>
      <c r="AM359" s="15">
        <f t="shared" si="249"/>
        <v>1</v>
      </c>
      <c r="AN359" s="15">
        <f t="shared" si="250"/>
        <v>1</v>
      </c>
      <c r="AO359" s="15">
        <f t="shared" si="251"/>
        <v>1</v>
      </c>
      <c r="AP359" s="15">
        <f t="shared" si="252"/>
        <v>1</v>
      </c>
      <c r="AQ359" s="15">
        <f t="shared" si="253"/>
        <v>1</v>
      </c>
      <c r="AR359" s="15">
        <f t="shared" si="254"/>
        <v>1</v>
      </c>
      <c r="AS359" s="15">
        <f t="shared" si="255"/>
        <v>1</v>
      </c>
      <c r="AT359" s="15">
        <f t="shared" si="256"/>
        <v>1</v>
      </c>
      <c r="AU359" s="15">
        <f t="shared" si="257"/>
        <v>1</v>
      </c>
      <c r="AV359" s="15">
        <f t="shared" si="258"/>
        <v>1</v>
      </c>
      <c r="AW359" s="15">
        <f t="shared" si="259"/>
        <v>1</v>
      </c>
      <c r="AX359" s="15">
        <f t="shared" si="260"/>
        <v>1</v>
      </c>
      <c r="AY359" s="15">
        <f t="shared" si="261"/>
        <v>1</v>
      </c>
      <c r="AZ359" s="15">
        <f t="shared" si="262"/>
        <v>1</v>
      </c>
      <c r="BA359" s="15">
        <f t="shared" si="263"/>
        <v>1</v>
      </c>
      <c r="BB359" s="15">
        <f t="shared" si="231"/>
        <v>0</v>
      </c>
      <c r="BC359" s="15" t="str">
        <f t="shared" si="232"/>
        <v/>
      </c>
      <c r="BD359" s="15" t="str">
        <f t="shared" si="233"/>
        <v/>
      </c>
      <c r="BE359" s="11" t="e">
        <f t="shared" si="264"/>
        <v>#VALUE!</v>
      </c>
      <c r="BF359" s="11" t="e">
        <f t="shared" si="265"/>
        <v>#VALUE!</v>
      </c>
      <c r="BG359" s="11" t="e">
        <f t="shared" si="266"/>
        <v>#VALUE!</v>
      </c>
      <c r="BH359" t="str">
        <f t="shared" si="267"/>
        <v/>
      </c>
      <c r="BI359" t="str" cm="1">
        <f t="array" ref="BI359">_xlfn.IFS(
  L359&gt;0,"Critical Fail",
  M359&gt;0,"Important (Coaching)",
  TRUE,"Clean Pass"
)</f>
        <v>Clean Pass</v>
      </c>
      <c r="BJ359" t="str">
        <f t="shared" si="268"/>
        <v>NA</v>
      </c>
    </row>
    <row r="360" spans="1:62" x14ac:dyDescent="0.3">
      <c r="A360">
        <v>156045</v>
      </c>
      <c r="K360" t="str">
        <f t="shared" si="230"/>
        <v>Pass</v>
      </c>
      <c r="L360" s="15">
        <f t="shared" si="234"/>
        <v>0</v>
      </c>
      <c r="M360" s="15">
        <f t="shared" si="235"/>
        <v>0</v>
      </c>
      <c r="Z360" s="15">
        <f t="shared" si="236"/>
        <v>1</v>
      </c>
      <c r="AA360" s="15">
        <f t="shared" si="237"/>
        <v>1</v>
      </c>
      <c r="AB360" s="15">
        <f t="shared" si="238"/>
        <v>1</v>
      </c>
      <c r="AC360" s="15">
        <f t="shared" si="239"/>
        <v>1</v>
      </c>
      <c r="AD360" s="15">
        <f t="shared" si="240"/>
        <v>1</v>
      </c>
      <c r="AE360" s="15">
        <f t="shared" si="241"/>
        <v>1</v>
      </c>
      <c r="AF360" s="15">
        <f t="shared" si="242"/>
        <v>1</v>
      </c>
      <c r="AG360" s="15">
        <f t="shared" si="243"/>
        <v>1</v>
      </c>
      <c r="AH360" s="15">
        <f t="shared" si="244"/>
        <v>1</v>
      </c>
      <c r="AI360" s="15">
        <f t="shared" si="245"/>
        <v>1</v>
      </c>
      <c r="AJ360" s="15">
        <f t="shared" si="246"/>
        <v>1</v>
      </c>
      <c r="AK360" s="15">
        <f t="shared" si="247"/>
        <v>1</v>
      </c>
      <c r="AL360" s="15">
        <f t="shared" si="248"/>
        <v>1</v>
      </c>
      <c r="AM360" s="15">
        <f t="shared" si="249"/>
        <v>1</v>
      </c>
      <c r="AN360" s="15">
        <f t="shared" si="250"/>
        <v>1</v>
      </c>
      <c r="AO360" s="15">
        <f t="shared" si="251"/>
        <v>1</v>
      </c>
      <c r="AP360" s="15">
        <f t="shared" si="252"/>
        <v>1</v>
      </c>
      <c r="AQ360" s="15">
        <f t="shared" si="253"/>
        <v>1</v>
      </c>
      <c r="AR360" s="15">
        <f t="shared" si="254"/>
        <v>1</v>
      </c>
      <c r="AS360" s="15">
        <f t="shared" si="255"/>
        <v>1</v>
      </c>
      <c r="AT360" s="15">
        <f t="shared" si="256"/>
        <v>1</v>
      </c>
      <c r="AU360" s="15">
        <f t="shared" si="257"/>
        <v>1</v>
      </c>
      <c r="AV360" s="15">
        <f t="shared" si="258"/>
        <v>1</v>
      </c>
      <c r="AW360" s="15">
        <f t="shared" si="259"/>
        <v>1</v>
      </c>
      <c r="AX360" s="15">
        <f t="shared" si="260"/>
        <v>1</v>
      </c>
      <c r="AY360" s="15">
        <f t="shared" si="261"/>
        <v>1</v>
      </c>
      <c r="AZ360" s="15">
        <f t="shared" si="262"/>
        <v>1</v>
      </c>
      <c r="BA360" s="15">
        <f t="shared" si="263"/>
        <v>1</v>
      </c>
      <c r="BB360" s="15">
        <f t="shared" si="231"/>
        <v>0</v>
      </c>
      <c r="BC360" s="15" t="str">
        <f t="shared" si="232"/>
        <v/>
      </c>
      <c r="BD360" s="15" t="str">
        <f t="shared" si="233"/>
        <v/>
      </c>
      <c r="BE360" s="11" t="e">
        <f t="shared" si="264"/>
        <v>#VALUE!</v>
      </c>
      <c r="BF360" s="11" t="e">
        <f t="shared" si="265"/>
        <v>#VALUE!</v>
      </c>
      <c r="BG360" s="11" t="e">
        <f t="shared" si="266"/>
        <v>#VALUE!</v>
      </c>
      <c r="BH360" t="str">
        <f t="shared" si="267"/>
        <v/>
      </c>
      <c r="BI360" t="str" cm="1">
        <f t="array" ref="BI360">_xlfn.IFS(
  L360&gt;0,"Critical Fail",
  M360&gt;0,"Important (Coaching)",
  TRUE,"Clean Pass"
)</f>
        <v>Clean Pass</v>
      </c>
      <c r="BJ360" t="str">
        <f t="shared" si="268"/>
        <v>NA</v>
      </c>
    </row>
    <row r="361" spans="1:62" x14ac:dyDescent="0.3">
      <c r="A361">
        <v>161809</v>
      </c>
      <c r="K361" t="str">
        <f t="shared" si="230"/>
        <v>Pass</v>
      </c>
      <c r="L361" s="15">
        <f t="shared" si="234"/>
        <v>0</v>
      </c>
      <c r="M361" s="15">
        <f t="shared" si="235"/>
        <v>0</v>
      </c>
      <c r="Z361" s="15">
        <f t="shared" si="236"/>
        <v>1</v>
      </c>
      <c r="AA361" s="15">
        <f t="shared" si="237"/>
        <v>1</v>
      </c>
      <c r="AB361" s="15">
        <f t="shared" si="238"/>
        <v>1</v>
      </c>
      <c r="AC361" s="15">
        <f t="shared" si="239"/>
        <v>1</v>
      </c>
      <c r="AD361" s="15">
        <f t="shared" si="240"/>
        <v>1</v>
      </c>
      <c r="AE361" s="15">
        <f t="shared" si="241"/>
        <v>1</v>
      </c>
      <c r="AF361" s="15">
        <f t="shared" si="242"/>
        <v>1</v>
      </c>
      <c r="AG361" s="15">
        <f t="shared" si="243"/>
        <v>1</v>
      </c>
      <c r="AH361" s="15">
        <f t="shared" si="244"/>
        <v>1</v>
      </c>
      <c r="AI361" s="15">
        <f t="shared" si="245"/>
        <v>1</v>
      </c>
      <c r="AJ361" s="15">
        <f t="shared" si="246"/>
        <v>1</v>
      </c>
      <c r="AK361" s="15">
        <f t="shared" si="247"/>
        <v>1</v>
      </c>
      <c r="AL361" s="15">
        <f t="shared" si="248"/>
        <v>1</v>
      </c>
      <c r="AM361" s="15">
        <f t="shared" si="249"/>
        <v>1</v>
      </c>
      <c r="AN361" s="15">
        <f t="shared" si="250"/>
        <v>1</v>
      </c>
      <c r="AO361" s="15">
        <f t="shared" si="251"/>
        <v>1</v>
      </c>
      <c r="AP361" s="15">
        <f t="shared" si="252"/>
        <v>1</v>
      </c>
      <c r="AQ361" s="15">
        <f t="shared" si="253"/>
        <v>1</v>
      </c>
      <c r="AR361" s="15">
        <f t="shared" si="254"/>
        <v>1</v>
      </c>
      <c r="AS361" s="15">
        <f t="shared" si="255"/>
        <v>1</v>
      </c>
      <c r="AT361" s="15">
        <f t="shared" si="256"/>
        <v>1</v>
      </c>
      <c r="AU361" s="15">
        <f t="shared" si="257"/>
        <v>1</v>
      </c>
      <c r="AV361" s="15">
        <f t="shared" si="258"/>
        <v>1</v>
      </c>
      <c r="AW361" s="15">
        <f t="shared" si="259"/>
        <v>1</v>
      </c>
      <c r="AX361" s="15">
        <f t="shared" si="260"/>
        <v>1</v>
      </c>
      <c r="AY361" s="15">
        <f t="shared" si="261"/>
        <v>1</v>
      </c>
      <c r="AZ361" s="15">
        <f t="shared" si="262"/>
        <v>1</v>
      </c>
      <c r="BA361" s="15">
        <f t="shared" si="263"/>
        <v>1</v>
      </c>
      <c r="BB361" s="15">
        <f t="shared" si="231"/>
        <v>0</v>
      </c>
      <c r="BC361" s="15" t="str">
        <f t="shared" si="232"/>
        <v/>
      </c>
      <c r="BD361" s="15" t="str">
        <f t="shared" si="233"/>
        <v/>
      </c>
      <c r="BE361" s="11" t="e">
        <f t="shared" si="264"/>
        <v>#VALUE!</v>
      </c>
      <c r="BF361" s="11" t="e">
        <f t="shared" si="265"/>
        <v>#VALUE!</v>
      </c>
      <c r="BG361" s="11" t="e">
        <f t="shared" si="266"/>
        <v>#VALUE!</v>
      </c>
      <c r="BH361" t="str">
        <f t="shared" si="267"/>
        <v/>
      </c>
      <c r="BI361" t="str" cm="1">
        <f t="array" ref="BI361">_xlfn.IFS(
  L361&gt;0,"Critical Fail",
  M361&gt;0,"Important (Coaching)",
  TRUE,"Clean Pass"
)</f>
        <v>Clean Pass</v>
      </c>
      <c r="BJ361" t="str">
        <f t="shared" si="268"/>
        <v>NA</v>
      </c>
    </row>
    <row r="362" spans="1:62" x14ac:dyDescent="0.3">
      <c r="A362">
        <v>853833</v>
      </c>
      <c r="K362" t="str">
        <f t="shared" si="230"/>
        <v>Pass</v>
      </c>
      <c r="L362" s="15">
        <f t="shared" si="234"/>
        <v>0</v>
      </c>
      <c r="M362" s="15">
        <f t="shared" si="235"/>
        <v>0</v>
      </c>
      <c r="Z362" s="15">
        <f t="shared" si="236"/>
        <v>1</v>
      </c>
      <c r="AA362" s="15">
        <f t="shared" si="237"/>
        <v>1</v>
      </c>
      <c r="AB362" s="15">
        <f t="shared" si="238"/>
        <v>1</v>
      </c>
      <c r="AC362" s="15">
        <f t="shared" si="239"/>
        <v>1</v>
      </c>
      <c r="AD362" s="15">
        <f t="shared" si="240"/>
        <v>1</v>
      </c>
      <c r="AE362" s="15">
        <f t="shared" si="241"/>
        <v>1</v>
      </c>
      <c r="AF362" s="15">
        <f t="shared" si="242"/>
        <v>1</v>
      </c>
      <c r="AG362" s="15">
        <f t="shared" si="243"/>
        <v>1</v>
      </c>
      <c r="AH362" s="15">
        <f t="shared" si="244"/>
        <v>1</v>
      </c>
      <c r="AI362" s="15">
        <f t="shared" si="245"/>
        <v>1</v>
      </c>
      <c r="AJ362" s="15">
        <f t="shared" si="246"/>
        <v>1</v>
      </c>
      <c r="AK362" s="15">
        <f t="shared" si="247"/>
        <v>1</v>
      </c>
      <c r="AL362" s="15">
        <f t="shared" si="248"/>
        <v>1</v>
      </c>
      <c r="AM362" s="15">
        <f t="shared" si="249"/>
        <v>1</v>
      </c>
      <c r="AN362" s="15">
        <f t="shared" si="250"/>
        <v>1</v>
      </c>
      <c r="AO362" s="15">
        <f t="shared" si="251"/>
        <v>1</v>
      </c>
      <c r="AP362" s="15">
        <f t="shared" si="252"/>
        <v>1</v>
      </c>
      <c r="AQ362" s="15">
        <f t="shared" si="253"/>
        <v>1</v>
      </c>
      <c r="AR362" s="15">
        <f t="shared" si="254"/>
        <v>1</v>
      </c>
      <c r="AS362" s="15">
        <f t="shared" si="255"/>
        <v>1</v>
      </c>
      <c r="AT362" s="15">
        <f t="shared" si="256"/>
        <v>1</v>
      </c>
      <c r="AU362" s="15">
        <f t="shared" si="257"/>
        <v>1</v>
      </c>
      <c r="AV362" s="15">
        <f t="shared" si="258"/>
        <v>1</v>
      </c>
      <c r="AW362" s="15">
        <f t="shared" si="259"/>
        <v>1</v>
      </c>
      <c r="AX362" s="15">
        <f t="shared" si="260"/>
        <v>1</v>
      </c>
      <c r="AY362" s="15">
        <f t="shared" si="261"/>
        <v>1</v>
      </c>
      <c r="AZ362" s="15">
        <f t="shared" si="262"/>
        <v>1</v>
      </c>
      <c r="BA362" s="15">
        <f t="shared" si="263"/>
        <v>1</v>
      </c>
      <c r="BB362" s="15">
        <f t="shared" si="231"/>
        <v>0</v>
      </c>
      <c r="BC362" s="15" t="str">
        <f t="shared" si="232"/>
        <v/>
      </c>
      <c r="BD362" s="15" t="str">
        <f t="shared" si="233"/>
        <v/>
      </c>
      <c r="BE362" s="11" t="e">
        <f t="shared" si="264"/>
        <v>#VALUE!</v>
      </c>
      <c r="BF362" s="11" t="e">
        <f t="shared" si="265"/>
        <v>#VALUE!</v>
      </c>
      <c r="BG362" s="11" t="e">
        <f t="shared" si="266"/>
        <v>#VALUE!</v>
      </c>
      <c r="BH362" t="str">
        <f t="shared" si="267"/>
        <v/>
      </c>
      <c r="BI362" t="str" cm="1">
        <f t="array" ref="BI362">_xlfn.IFS(
  L362&gt;0,"Critical Fail",
  M362&gt;0,"Important (Coaching)",
  TRUE,"Clean Pass"
)</f>
        <v>Clean Pass</v>
      </c>
      <c r="BJ362" t="str">
        <f t="shared" si="268"/>
        <v>NA</v>
      </c>
    </row>
    <row r="363" spans="1:62" x14ac:dyDescent="0.3">
      <c r="A363">
        <v>660898</v>
      </c>
      <c r="K363" t="str">
        <f t="shared" si="230"/>
        <v>Pass</v>
      </c>
      <c r="L363" s="15">
        <f t="shared" si="234"/>
        <v>0</v>
      </c>
      <c r="M363" s="15">
        <f t="shared" si="235"/>
        <v>0</v>
      </c>
      <c r="Z363" s="15">
        <f t="shared" si="236"/>
        <v>1</v>
      </c>
      <c r="AA363" s="15">
        <f t="shared" si="237"/>
        <v>1</v>
      </c>
      <c r="AB363" s="15">
        <f t="shared" si="238"/>
        <v>1</v>
      </c>
      <c r="AC363" s="15">
        <f t="shared" si="239"/>
        <v>1</v>
      </c>
      <c r="AD363" s="15">
        <f t="shared" si="240"/>
        <v>1</v>
      </c>
      <c r="AE363" s="15">
        <f t="shared" si="241"/>
        <v>1</v>
      </c>
      <c r="AF363" s="15">
        <f t="shared" si="242"/>
        <v>1</v>
      </c>
      <c r="AG363" s="15">
        <f t="shared" si="243"/>
        <v>1</v>
      </c>
      <c r="AH363" s="15">
        <f t="shared" si="244"/>
        <v>1</v>
      </c>
      <c r="AI363" s="15">
        <f t="shared" si="245"/>
        <v>1</v>
      </c>
      <c r="AJ363" s="15">
        <f t="shared" si="246"/>
        <v>1</v>
      </c>
      <c r="AK363" s="15">
        <f t="shared" si="247"/>
        <v>1</v>
      </c>
      <c r="AL363" s="15">
        <f t="shared" si="248"/>
        <v>1</v>
      </c>
      <c r="AM363" s="15">
        <f t="shared" si="249"/>
        <v>1</v>
      </c>
      <c r="AN363" s="15">
        <f t="shared" si="250"/>
        <v>1</v>
      </c>
      <c r="AO363" s="15">
        <f t="shared" si="251"/>
        <v>1</v>
      </c>
      <c r="AP363" s="15">
        <f t="shared" si="252"/>
        <v>1</v>
      </c>
      <c r="AQ363" s="15">
        <f t="shared" si="253"/>
        <v>1</v>
      </c>
      <c r="AR363" s="15">
        <f t="shared" si="254"/>
        <v>1</v>
      </c>
      <c r="AS363" s="15">
        <f t="shared" si="255"/>
        <v>1</v>
      </c>
      <c r="AT363" s="15">
        <f t="shared" si="256"/>
        <v>1</v>
      </c>
      <c r="AU363" s="15">
        <f t="shared" si="257"/>
        <v>1</v>
      </c>
      <c r="AV363" s="15">
        <f t="shared" si="258"/>
        <v>1</v>
      </c>
      <c r="AW363" s="15">
        <f t="shared" si="259"/>
        <v>1</v>
      </c>
      <c r="AX363" s="15">
        <f t="shared" si="260"/>
        <v>1</v>
      </c>
      <c r="AY363" s="15">
        <f t="shared" si="261"/>
        <v>1</v>
      </c>
      <c r="AZ363" s="15">
        <f t="shared" si="262"/>
        <v>1</v>
      </c>
      <c r="BA363" s="15">
        <f t="shared" si="263"/>
        <v>1</v>
      </c>
      <c r="BB363" s="15">
        <f t="shared" si="231"/>
        <v>0</v>
      </c>
      <c r="BC363" s="15" t="str">
        <f t="shared" si="232"/>
        <v/>
      </c>
      <c r="BD363" s="15" t="str">
        <f t="shared" si="233"/>
        <v/>
      </c>
      <c r="BE363" s="11" t="e">
        <f t="shared" si="264"/>
        <v>#VALUE!</v>
      </c>
      <c r="BF363" s="11" t="e">
        <f t="shared" si="265"/>
        <v>#VALUE!</v>
      </c>
      <c r="BG363" s="11" t="e">
        <f t="shared" si="266"/>
        <v>#VALUE!</v>
      </c>
      <c r="BH363" t="str">
        <f t="shared" si="267"/>
        <v/>
      </c>
      <c r="BI363" t="str" cm="1">
        <f t="array" ref="BI363">_xlfn.IFS(
  L363&gt;0,"Critical Fail",
  M363&gt;0,"Important (Coaching)",
  TRUE,"Clean Pass"
)</f>
        <v>Clean Pass</v>
      </c>
      <c r="BJ363" t="str">
        <f t="shared" si="268"/>
        <v>NA</v>
      </c>
    </row>
    <row r="364" spans="1:62" x14ac:dyDescent="0.3">
      <c r="A364">
        <v>287606</v>
      </c>
      <c r="K364" t="str">
        <f t="shared" si="230"/>
        <v>Pass</v>
      </c>
      <c r="L364" s="15">
        <f t="shared" si="234"/>
        <v>0</v>
      </c>
      <c r="M364" s="15">
        <f t="shared" si="235"/>
        <v>0</v>
      </c>
      <c r="Z364" s="15">
        <f t="shared" si="236"/>
        <v>1</v>
      </c>
      <c r="AA364" s="15">
        <f t="shared" si="237"/>
        <v>1</v>
      </c>
      <c r="AB364" s="15">
        <f t="shared" si="238"/>
        <v>1</v>
      </c>
      <c r="AC364" s="15">
        <f t="shared" si="239"/>
        <v>1</v>
      </c>
      <c r="AD364" s="15">
        <f t="shared" si="240"/>
        <v>1</v>
      </c>
      <c r="AE364" s="15">
        <f t="shared" si="241"/>
        <v>1</v>
      </c>
      <c r="AF364" s="15">
        <f t="shared" si="242"/>
        <v>1</v>
      </c>
      <c r="AG364" s="15">
        <f t="shared" si="243"/>
        <v>1</v>
      </c>
      <c r="AH364" s="15">
        <f t="shared" si="244"/>
        <v>1</v>
      </c>
      <c r="AI364" s="15">
        <f t="shared" si="245"/>
        <v>1</v>
      </c>
      <c r="AJ364" s="15">
        <f t="shared" si="246"/>
        <v>1</v>
      </c>
      <c r="AK364" s="15">
        <f t="shared" si="247"/>
        <v>1</v>
      </c>
      <c r="AL364" s="15">
        <f t="shared" si="248"/>
        <v>1</v>
      </c>
      <c r="AM364" s="15">
        <f t="shared" si="249"/>
        <v>1</v>
      </c>
      <c r="AN364" s="15">
        <f t="shared" si="250"/>
        <v>1</v>
      </c>
      <c r="AO364" s="15">
        <f t="shared" si="251"/>
        <v>1</v>
      </c>
      <c r="AP364" s="15">
        <f t="shared" si="252"/>
        <v>1</v>
      </c>
      <c r="AQ364" s="15">
        <f t="shared" si="253"/>
        <v>1</v>
      </c>
      <c r="AR364" s="15">
        <f t="shared" si="254"/>
        <v>1</v>
      </c>
      <c r="AS364" s="15">
        <f t="shared" si="255"/>
        <v>1</v>
      </c>
      <c r="AT364" s="15">
        <f t="shared" si="256"/>
        <v>1</v>
      </c>
      <c r="AU364" s="15">
        <f t="shared" si="257"/>
        <v>1</v>
      </c>
      <c r="AV364" s="15">
        <f t="shared" si="258"/>
        <v>1</v>
      </c>
      <c r="AW364" s="15">
        <f t="shared" si="259"/>
        <v>1</v>
      </c>
      <c r="AX364" s="15">
        <f t="shared" si="260"/>
        <v>1</v>
      </c>
      <c r="AY364" s="15">
        <f t="shared" si="261"/>
        <v>1</v>
      </c>
      <c r="AZ364" s="15">
        <f t="shared" si="262"/>
        <v>1</v>
      </c>
      <c r="BA364" s="15">
        <f t="shared" si="263"/>
        <v>1</v>
      </c>
      <c r="BB364" s="15">
        <f t="shared" si="231"/>
        <v>0</v>
      </c>
      <c r="BC364" s="15" t="str">
        <f t="shared" si="232"/>
        <v/>
      </c>
      <c r="BD364" s="15" t="str">
        <f t="shared" si="233"/>
        <v/>
      </c>
      <c r="BE364" s="11" t="e">
        <f t="shared" si="264"/>
        <v>#VALUE!</v>
      </c>
      <c r="BF364" s="11" t="e">
        <f t="shared" si="265"/>
        <v>#VALUE!</v>
      </c>
      <c r="BG364" s="11" t="e">
        <f t="shared" si="266"/>
        <v>#VALUE!</v>
      </c>
      <c r="BH364" t="str">
        <f t="shared" si="267"/>
        <v/>
      </c>
      <c r="BI364" t="str" cm="1">
        <f t="array" ref="BI364">_xlfn.IFS(
  L364&gt;0,"Critical Fail",
  M364&gt;0,"Important (Coaching)",
  TRUE,"Clean Pass"
)</f>
        <v>Clean Pass</v>
      </c>
      <c r="BJ364" t="str">
        <f t="shared" si="268"/>
        <v>NA</v>
      </c>
    </row>
    <row r="365" spans="1:62" x14ac:dyDescent="0.3">
      <c r="A365">
        <v>334150</v>
      </c>
      <c r="K365" t="str">
        <f t="shared" si="230"/>
        <v>Pass</v>
      </c>
      <c r="L365" s="15">
        <f t="shared" si="234"/>
        <v>0</v>
      </c>
      <c r="M365" s="15">
        <f t="shared" si="235"/>
        <v>0</v>
      </c>
      <c r="Z365" s="15">
        <f t="shared" si="236"/>
        <v>1</v>
      </c>
      <c r="AA365" s="15">
        <f t="shared" si="237"/>
        <v>1</v>
      </c>
      <c r="AB365" s="15">
        <f t="shared" si="238"/>
        <v>1</v>
      </c>
      <c r="AC365" s="15">
        <f t="shared" si="239"/>
        <v>1</v>
      </c>
      <c r="AD365" s="15">
        <f t="shared" si="240"/>
        <v>1</v>
      </c>
      <c r="AE365" s="15">
        <f t="shared" si="241"/>
        <v>1</v>
      </c>
      <c r="AF365" s="15">
        <f t="shared" si="242"/>
        <v>1</v>
      </c>
      <c r="AG365" s="15">
        <f t="shared" si="243"/>
        <v>1</v>
      </c>
      <c r="AH365" s="15">
        <f t="shared" si="244"/>
        <v>1</v>
      </c>
      <c r="AI365" s="15">
        <f t="shared" si="245"/>
        <v>1</v>
      </c>
      <c r="AJ365" s="15">
        <f t="shared" si="246"/>
        <v>1</v>
      </c>
      <c r="AK365" s="15">
        <f t="shared" si="247"/>
        <v>1</v>
      </c>
      <c r="AL365" s="15">
        <f t="shared" si="248"/>
        <v>1</v>
      </c>
      <c r="AM365" s="15">
        <f t="shared" si="249"/>
        <v>1</v>
      </c>
      <c r="AN365" s="15">
        <f t="shared" si="250"/>
        <v>1</v>
      </c>
      <c r="AO365" s="15">
        <f t="shared" si="251"/>
        <v>1</v>
      </c>
      <c r="AP365" s="15">
        <f t="shared" si="252"/>
        <v>1</v>
      </c>
      <c r="AQ365" s="15">
        <f t="shared" si="253"/>
        <v>1</v>
      </c>
      <c r="AR365" s="15">
        <f t="shared" si="254"/>
        <v>1</v>
      </c>
      <c r="AS365" s="15">
        <f t="shared" si="255"/>
        <v>1</v>
      </c>
      <c r="AT365" s="15">
        <f t="shared" si="256"/>
        <v>1</v>
      </c>
      <c r="AU365" s="15">
        <f t="shared" si="257"/>
        <v>1</v>
      </c>
      <c r="AV365" s="15">
        <f t="shared" si="258"/>
        <v>1</v>
      </c>
      <c r="AW365" s="15">
        <f t="shared" si="259"/>
        <v>1</v>
      </c>
      <c r="AX365" s="15">
        <f t="shared" si="260"/>
        <v>1</v>
      </c>
      <c r="AY365" s="15">
        <f t="shared" si="261"/>
        <v>1</v>
      </c>
      <c r="AZ365" s="15">
        <f t="shared" si="262"/>
        <v>1</v>
      </c>
      <c r="BA365" s="15">
        <f t="shared" si="263"/>
        <v>1</v>
      </c>
      <c r="BB365" s="15">
        <f t="shared" si="231"/>
        <v>0</v>
      </c>
      <c r="BC365" s="15" t="str">
        <f t="shared" si="232"/>
        <v/>
      </c>
      <c r="BD365" s="15" t="str">
        <f t="shared" si="233"/>
        <v/>
      </c>
      <c r="BE365" s="11" t="e">
        <f t="shared" si="264"/>
        <v>#VALUE!</v>
      </c>
      <c r="BF365" s="11" t="e">
        <f t="shared" si="265"/>
        <v>#VALUE!</v>
      </c>
      <c r="BG365" s="11" t="e">
        <f t="shared" si="266"/>
        <v>#VALUE!</v>
      </c>
      <c r="BH365" t="str">
        <f t="shared" si="267"/>
        <v/>
      </c>
      <c r="BI365" t="str" cm="1">
        <f t="array" ref="BI365">_xlfn.IFS(
  L365&gt;0,"Critical Fail",
  M365&gt;0,"Important (Coaching)",
  TRUE,"Clean Pass"
)</f>
        <v>Clean Pass</v>
      </c>
      <c r="BJ365" t="str">
        <f t="shared" si="268"/>
        <v>NA</v>
      </c>
    </row>
    <row r="366" spans="1:62" x14ac:dyDescent="0.3">
      <c r="A366">
        <v>132456</v>
      </c>
      <c r="K366" t="str">
        <f t="shared" si="230"/>
        <v>Pass</v>
      </c>
      <c r="L366" s="15">
        <f t="shared" si="234"/>
        <v>0</v>
      </c>
      <c r="M366" s="15">
        <f t="shared" si="235"/>
        <v>0</v>
      </c>
      <c r="Z366" s="15">
        <f t="shared" si="236"/>
        <v>1</v>
      </c>
      <c r="AA366" s="15">
        <f t="shared" si="237"/>
        <v>1</v>
      </c>
      <c r="AB366" s="15">
        <f t="shared" si="238"/>
        <v>1</v>
      </c>
      <c r="AC366" s="15">
        <f t="shared" si="239"/>
        <v>1</v>
      </c>
      <c r="AD366" s="15">
        <f t="shared" si="240"/>
        <v>1</v>
      </c>
      <c r="AE366" s="15">
        <f t="shared" si="241"/>
        <v>1</v>
      </c>
      <c r="AF366" s="15">
        <f t="shared" si="242"/>
        <v>1</v>
      </c>
      <c r="AG366" s="15">
        <f t="shared" si="243"/>
        <v>1</v>
      </c>
      <c r="AH366" s="15">
        <f t="shared" si="244"/>
        <v>1</v>
      </c>
      <c r="AI366" s="15">
        <f t="shared" si="245"/>
        <v>1</v>
      </c>
      <c r="AJ366" s="15">
        <f t="shared" si="246"/>
        <v>1</v>
      </c>
      <c r="AK366" s="15">
        <f t="shared" si="247"/>
        <v>1</v>
      </c>
      <c r="AL366" s="15">
        <f t="shared" si="248"/>
        <v>1</v>
      </c>
      <c r="AM366" s="15">
        <f t="shared" si="249"/>
        <v>1</v>
      </c>
      <c r="AN366" s="15">
        <f t="shared" si="250"/>
        <v>1</v>
      </c>
      <c r="AO366" s="15">
        <f t="shared" si="251"/>
        <v>1</v>
      </c>
      <c r="AP366" s="15">
        <f t="shared" si="252"/>
        <v>1</v>
      </c>
      <c r="AQ366" s="15">
        <f t="shared" si="253"/>
        <v>1</v>
      </c>
      <c r="AR366" s="15">
        <f t="shared" si="254"/>
        <v>1</v>
      </c>
      <c r="AS366" s="15">
        <f t="shared" si="255"/>
        <v>1</v>
      </c>
      <c r="AT366" s="15">
        <f t="shared" si="256"/>
        <v>1</v>
      </c>
      <c r="AU366" s="15">
        <f t="shared" si="257"/>
        <v>1</v>
      </c>
      <c r="AV366" s="15">
        <f t="shared" si="258"/>
        <v>1</v>
      </c>
      <c r="AW366" s="15">
        <f t="shared" si="259"/>
        <v>1</v>
      </c>
      <c r="AX366" s="15">
        <f t="shared" si="260"/>
        <v>1</v>
      </c>
      <c r="AY366" s="15">
        <f t="shared" si="261"/>
        <v>1</v>
      </c>
      <c r="AZ366" s="15">
        <f t="shared" si="262"/>
        <v>1</v>
      </c>
      <c r="BA366" s="15">
        <f t="shared" si="263"/>
        <v>1</v>
      </c>
      <c r="BB366" s="15">
        <f t="shared" si="231"/>
        <v>0</v>
      </c>
      <c r="BC366" s="15" t="str">
        <f t="shared" si="232"/>
        <v/>
      </c>
      <c r="BD366" s="15" t="str">
        <f t="shared" si="233"/>
        <v/>
      </c>
      <c r="BE366" s="11" t="e">
        <f t="shared" si="264"/>
        <v>#VALUE!</v>
      </c>
      <c r="BF366" s="11" t="e">
        <f t="shared" si="265"/>
        <v>#VALUE!</v>
      </c>
      <c r="BG366" s="11" t="e">
        <f t="shared" si="266"/>
        <v>#VALUE!</v>
      </c>
      <c r="BH366" t="str">
        <f t="shared" si="267"/>
        <v/>
      </c>
      <c r="BI366" t="str" cm="1">
        <f t="array" ref="BI366">_xlfn.IFS(
  L366&gt;0,"Critical Fail",
  M366&gt;0,"Important (Coaching)",
  TRUE,"Clean Pass"
)</f>
        <v>Clean Pass</v>
      </c>
      <c r="BJ366" t="str">
        <f t="shared" si="268"/>
        <v>NA</v>
      </c>
    </row>
    <row r="367" spans="1:62" x14ac:dyDescent="0.3">
      <c r="A367">
        <v>236369</v>
      </c>
      <c r="K367" t="str">
        <f t="shared" si="230"/>
        <v>Pass</v>
      </c>
      <c r="L367" s="15">
        <f t="shared" si="234"/>
        <v>0</v>
      </c>
      <c r="M367" s="15">
        <f t="shared" si="235"/>
        <v>0</v>
      </c>
      <c r="Z367" s="15">
        <f t="shared" si="236"/>
        <v>1</v>
      </c>
      <c r="AA367" s="15">
        <f t="shared" si="237"/>
        <v>1</v>
      </c>
      <c r="AB367" s="15">
        <f t="shared" si="238"/>
        <v>1</v>
      </c>
      <c r="AC367" s="15">
        <f t="shared" si="239"/>
        <v>1</v>
      </c>
      <c r="AD367" s="15">
        <f t="shared" si="240"/>
        <v>1</v>
      </c>
      <c r="AE367" s="15">
        <f t="shared" si="241"/>
        <v>1</v>
      </c>
      <c r="AF367" s="15">
        <f t="shared" si="242"/>
        <v>1</v>
      </c>
      <c r="AG367" s="15">
        <f t="shared" si="243"/>
        <v>1</v>
      </c>
      <c r="AH367" s="15">
        <f t="shared" si="244"/>
        <v>1</v>
      </c>
      <c r="AI367" s="15">
        <f t="shared" si="245"/>
        <v>1</v>
      </c>
      <c r="AJ367" s="15">
        <f t="shared" si="246"/>
        <v>1</v>
      </c>
      <c r="AK367" s="15">
        <f t="shared" si="247"/>
        <v>1</v>
      </c>
      <c r="AL367" s="15">
        <f t="shared" si="248"/>
        <v>1</v>
      </c>
      <c r="AM367" s="15">
        <f t="shared" si="249"/>
        <v>1</v>
      </c>
      <c r="AN367" s="15">
        <f t="shared" si="250"/>
        <v>1</v>
      </c>
      <c r="AO367" s="15">
        <f t="shared" si="251"/>
        <v>1</v>
      </c>
      <c r="AP367" s="15">
        <f t="shared" si="252"/>
        <v>1</v>
      </c>
      <c r="AQ367" s="15">
        <f t="shared" si="253"/>
        <v>1</v>
      </c>
      <c r="AR367" s="15">
        <f t="shared" si="254"/>
        <v>1</v>
      </c>
      <c r="AS367" s="15">
        <f t="shared" si="255"/>
        <v>1</v>
      </c>
      <c r="AT367" s="15">
        <f t="shared" si="256"/>
        <v>1</v>
      </c>
      <c r="AU367" s="15">
        <f t="shared" si="257"/>
        <v>1</v>
      </c>
      <c r="AV367" s="15">
        <f t="shared" si="258"/>
        <v>1</v>
      </c>
      <c r="AW367" s="15">
        <f t="shared" si="259"/>
        <v>1</v>
      </c>
      <c r="AX367" s="15">
        <f t="shared" si="260"/>
        <v>1</v>
      </c>
      <c r="AY367" s="15">
        <f t="shared" si="261"/>
        <v>1</v>
      </c>
      <c r="AZ367" s="15">
        <f t="shared" si="262"/>
        <v>1</v>
      </c>
      <c r="BA367" s="15">
        <f t="shared" si="263"/>
        <v>1</v>
      </c>
      <c r="BB367" s="15">
        <f t="shared" si="231"/>
        <v>0</v>
      </c>
      <c r="BC367" s="15" t="str">
        <f t="shared" si="232"/>
        <v/>
      </c>
      <c r="BD367" s="15" t="str">
        <f t="shared" si="233"/>
        <v/>
      </c>
      <c r="BE367" s="11" t="e">
        <f t="shared" si="264"/>
        <v>#VALUE!</v>
      </c>
      <c r="BF367" s="11" t="e">
        <f t="shared" si="265"/>
        <v>#VALUE!</v>
      </c>
      <c r="BG367" s="11" t="e">
        <f t="shared" si="266"/>
        <v>#VALUE!</v>
      </c>
      <c r="BH367" t="str">
        <f t="shared" si="267"/>
        <v/>
      </c>
      <c r="BI367" t="str" cm="1">
        <f t="array" ref="BI367">_xlfn.IFS(
  L367&gt;0,"Critical Fail",
  M367&gt;0,"Important (Coaching)",
  TRUE,"Clean Pass"
)</f>
        <v>Clean Pass</v>
      </c>
      <c r="BJ367" t="str">
        <f t="shared" si="268"/>
        <v>NA</v>
      </c>
    </row>
    <row r="368" spans="1:62" x14ac:dyDescent="0.3">
      <c r="A368">
        <v>534181</v>
      </c>
      <c r="K368" t="str">
        <f t="shared" si="230"/>
        <v>Pass</v>
      </c>
      <c r="L368" s="15">
        <f t="shared" si="234"/>
        <v>0</v>
      </c>
      <c r="M368" s="15">
        <f t="shared" si="235"/>
        <v>0</v>
      </c>
      <c r="Z368" s="15">
        <f t="shared" si="236"/>
        <v>1</v>
      </c>
      <c r="AA368" s="15">
        <f t="shared" si="237"/>
        <v>1</v>
      </c>
      <c r="AB368" s="15">
        <f t="shared" si="238"/>
        <v>1</v>
      </c>
      <c r="AC368" s="15">
        <f t="shared" si="239"/>
        <v>1</v>
      </c>
      <c r="AD368" s="15">
        <f t="shared" si="240"/>
        <v>1</v>
      </c>
      <c r="AE368" s="15">
        <f t="shared" si="241"/>
        <v>1</v>
      </c>
      <c r="AF368" s="15">
        <f t="shared" si="242"/>
        <v>1</v>
      </c>
      <c r="AG368" s="15">
        <f t="shared" si="243"/>
        <v>1</v>
      </c>
      <c r="AH368" s="15">
        <f t="shared" si="244"/>
        <v>1</v>
      </c>
      <c r="AI368" s="15">
        <f t="shared" si="245"/>
        <v>1</v>
      </c>
      <c r="AJ368" s="15">
        <f t="shared" si="246"/>
        <v>1</v>
      </c>
      <c r="AK368" s="15">
        <f t="shared" si="247"/>
        <v>1</v>
      </c>
      <c r="AL368" s="15">
        <f t="shared" si="248"/>
        <v>1</v>
      </c>
      <c r="AM368" s="15">
        <f t="shared" si="249"/>
        <v>1</v>
      </c>
      <c r="AN368" s="15">
        <f t="shared" si="250"/>
        <v>1</v>
      </c>
      <c r="AO368" s="15">
        <f t="shared" si="251"/>
        <v>1</v>
      </c>
      <c r="AP368" s="15">
        <f t="shared" si="252"/>
        <v>1</v>
      </c>
      <c r="AQ368" s="15">
        <f t="shared" si="253"/>
        <v>1</v>
      </c>
      <c r="AR368" s="15">
        <f t="shared" si="254"/>
        <v>1</v>
      </c>
      <c r="AS368" s="15">
        <f t="shared" si="255"/>
        <v>1</v>
      </c>
      <c r="AT368" s="15">
        <f t="shared" si="256"/>
        <v>1</v>
      </c>
      <c r="AU368" s="15">
        <f t="shared" si="257"/>
        <v>1</v>
      </c>
      <c r="AV368" s="15">
        <f t="shared" si="258"/>
        <v>1</v>
      </c>
      <c r="AW368" s="15">
        <f t="shared" si="259"/>
        <v>1</v>
      </c>
      <c r="AX368" s="15">
        <f t="shared" si="260"/>
        <v>1</v>
      </c>
      <c r="AY368" s="15">
        <f t="shared" si="261"/>
        <v>1</v>
      </c>
      <c r="AZ368" s="15">
        <f t="shared" si="262"/>
        <v>1</v>
      </c>
      <c r="BA368" s="15">
        <f t="shared" si="263"/>
        <v>1</v>
      </c>
      <c r="BB368" s="15">
        <f t="shared" si="231"/>
        <v>0</v>
      </c>
      <c r="BC368" s="15" t="str">
        <f t="shared" si="232"/>
        <v/>
      </c>
      <c r="BD368" s="15" t="str">
        <f t="shared" si="233"/>
        <v/>
      </c>
      <c r="BE368" s="11" t="e">
        <f t="shared" si="264"/>
        <v>#VALUE!</v>
      </c>
      <c r="BF368" s="11" t="e">
        <f t="shared" si="265"/>
        <v>#VALUE!</v>
      </c>
      <c r="BG368" s="11" t="e">
        <f t="shared" si="266"/>
        <v>#VALUE!</v>
      </c>
      <c r="BH368" t="str">
        <f t="shared" si="267"/>
        <v/>
      </c>
      <c r="BI368" t="str" cm="1">
        <f t="array" ref="BI368">_xlfn.IFS(
  L368&gt;0,"Critical Fail",
  M368&gt;0,"Important (Coaching)",
  TRUE,"Clean Pass"
)</f>
        <v>Clean Pass</v>
      </c>
      <c r="BJ368" t="str">
        <f t="shared" si="268"/>
        <v>NA</v>
      </c>
    </row>
    <row r="369" spans="1:62" x14ac:dyDescent="0.3">
      <c r="A369">
        <v>130231</v>
      </c>
      <c r="K369" t="str">
        <f t="shared" si="230"/>
        <v>Pass</v>
      </c>
      <c r="L369" s="15">
        <f t="shared" si="234"/>
        <v>0</v>
      </c>
      <c r="M369" s="15">
        <f t="shared" si="235"/>
        <v>0</v>
      </c>
      <c r="Z369" s="15">
        <f t="shared" si="236"/>
        <v>1</v>
      </c>
      <c r="AA369" s="15">
        <f t="shared" si="237"/>
        <v>1</v>
      </c>
      <c r="AB369" s="15">
        <f t="shared" si="238"/>
        <v>1</v>
      </c>
      <c r="AC369" s="15">
        <f t="shared" si="239"/>
        <v>1</v>
      </c>
      <c r="AD369" s="15">
        <f t="shared" si="240"/>
        <v>1</v>
      </c>
      <c r="AE369" s="15">
        <f t="shared" si="241"/>
        <v>1</v>
      </c>
      <c r="AF369" s="15">
        <f t="shared" si="242"/>
        <v>1</v>
      </c>
      <c r="AG369" s="15">
        <f t="shared" si="243"/>
        <v>1</v>
      </c>
      <c r="AH369" s="15">
        <f t="shared" si="244"/>
        <v>1</v>
      </c>
      <c r="AI369" s="15">
        <f t="shared" si="245"/>
        <v>1</v>
      </c>
      <c r="AJ369" s="15">
        <f t="shared" si="246"/>
        <v>1</v>
      </c>
      <c r="AK369" s="15">
        <f t="shared" si="247"/>
        <v>1</v>
      </c>
      <c r="AL369" s="15">
        <f t="shared" si="248"/>
        <v>1</v>
      </c>
      <c r="AM369" s="15">
        <f t="shared" si="249"/>
        <v>1</v>
      </c>
      <c r="AN369" s="15">
        <f t="shared" si="250"/>
        <v>1</v>
      </c>
      <c r="AO369" s="15">
        <f t="shared" si="251"/>
        <v>1</v>
      </c>
      <c r="AP369" s="15">
        <f t="shared" si="252"/>
        <v>1</v>
      </c>
      <c r="AQ369" s="15">
        <f t="shared" si="253"/>
        <v>1</v>
      </c>
      <c r="AR369" s="15">
        <f t="shared" si="254"/>
        <v>1</v>
      </c>
      <c r="AS369" s="15">
        <f t="shared" si="255"/>
        <v>1</v>
      </c>
      <c r="AT369" s="15">
        <f t="shared" si="256"/>
        <v>1</v>
      </c>
      <c r="AU369" s="15">
        <f t="shared" si="257"/>
        <v>1</v>
      </c>
      <c r="AV369" s="15">
        <f t="shared" si="258"/>
        <v>1</v>
      </c>
      <c r="AW369" s="15">
        <f t="shared" si="259"/>
        <v>1</v>
      </c>
      <c r="AX369" s="15">
        <f t="shared" si="260"/>
        <v>1</v>
      </c>
      <c r="AY369" s="15">
        <f t="shared" si="261"/>
        <v>1</v>
      </c>
      <c r="AZ369" s="15">
        <f t="shared" si="262"/>
        <v>1</v>
      </c>
      <c r="BA369" s="15">
        <f t="shared" si="263"/>
        <v>1</v>
      </c>
      <c r="BB369" s="15">
        <f t="shared" si="231"/>
        <v>0</v>
      </c>
      <c r="BC369" s="15" t="str">
        <f t="shared" si="232"/>
        <v/>
      </c>
      <c r="BD369" s="15" t="str">
        <f t="shared" si="233"/>
        <v/>
      </c>
      <c r="BE369" s="11" t="e">
        <f t="shared" si="264"/>
        <v>#VALUE!</v>
      </c>
      <c r="BF369" s="11" t="e">
        <f t="shared" si="265"/>
        <v>#VALUE!</v>
      </c>
      <c r="BG369" s="11" t="e">
        <f t="shared" si="266"/>
        <v>#VALUE!</v>
      </c>
      <c r="BH369" t="str">
        <f t="shared" si="267"/>
        <v/>
      </c>
      <c r="BI369" t="str" cm="1">
        <f t="array" ref="BI369">_xlfn.IFS(
  L369&gt;0,"Critical Fail",
  M369&gt;0,"Important (Coaching)",
  TRUE,"Clean Pass"
)</f>
        <v>Clean Pass</v>
      </c>
      <c r="BJ369" t="str">
        <f t="shared" si="268"/>
        <v>NA</v>
      </c>
    </row>
    <row r="370" spans="1:62" x14ac:dyDescent="0.3">
      <c r="A370">
        <v>625293</v>
      </c>
      <c r="K370" t="str">
        <f t="shared" si="230"/>
        <v>Pass</v>
      </c>
      <c r="L370" s="15">
        <f t="shared" si="234"/>
        <v>0</v>
      </c>
      <c r="M370" s="15">
        <f t="shared" si="235"/>
        <v>0</v>
      </c>
      <c r="Z370" s="15">
        <f t="shared" si="236"/>
        <v>1</v>
      </c>
      <c r="AA370" s="15">
        <f t="shared" si="237"/>
        <v>1</v>
      </c>
      <c r="AB370" s="15">
        <f t="shared" si="238"/>
        <v>1</v>
      </c>
      <c r="AC370" s="15">
        <f t="shared" si="239"/>
        <v>1</v>
      </c>
      <c r="AD370" s="15">
        <f t="shared" si="240"/>
        <v>1</v>
      </c>
      <c r="AE370" s="15">
        <f t="shared" si="241"/>
        <v>1</v>
      </c>
      <c r="AF370" s="15">
        <f t="shared" si="242"/>
        <v>1</v>
      </c>
      <c r="AG370" s="15">
        <f t="shared" si="243"/>
        <v>1</v>
      </c>
      <c r="AH370" s="15">
        <f t="shared" si="244"/>
        <v>1</v>
      </c>
      <c r="AI370" s="15">
        <f t="shared" si="245"/>
        <v>1</v>
      </c>
      <c r="AJ370" s="15">
        <f t="shared" si="246"/>
        <v>1</v>
      </c>
      <c r="AK370" s="15">
        <f t="shared" si="247"/>
        <v>1</v>
      </c>
      <c r="AL370" s="15">
        <f t="shared" si="248"/>
        <v>1</v>
      </c>
      <c r="AM370" s="15">
        <f t="shared" si="249"/>
        <v>1</v>
      </c>
      <c r="AN370" s="15">
        <f t="shared" si="250"/>
        <v>1</v>
      </c>
      <c r="AO370" s="15">
        <f t="shared" si="251"/>
        <v>1</v>
      </c>
      <c r="AP370" s="15">
        <f t="shared" si="252"/>
        <v>1</v>
      </c>
      <c r="AQ370" s="15">
        <f t="shared" si="253"/>
        <v>1</v>
      </c>
      <c r="AR370" s="15">
        <f t="shared" si="254"/>
        <v>1</v>
      </c>
      <c r="AS370" s="15">
        <f t="shared" si="255"/>
        <v>1</v>
      </c>
      <c r="AT370" s="15">
        <f t="shared" si="256"/>
        <v>1</v>
      </c>
      <c r="AU370" s="15">
        <f t="shared" si="257"/>
        <v>1</v>
      </c>
      <c r="AV370" s="15">
        <f t="shared" si="258"/>
        <v>1</v>
      </c>
      <c r="AW370" s="15">
        <f t="shared" si="259"/>
        <v>1</v>
      </c>
      <c r="AX370" s="15">
        <f t="shared" si="260"/>
        <v>1</v>
      </c>
      <c r="AY370" s="15">
        <f t="shared" si="261"/>
        <v>1</v>
      </c>
      <c r="AZ370" s="15">
        <f t="shared" si="262"/>
        <v>1</v>
      </c>
      <c r="BA370" s="15">
        <f t="shared" si="263"/>
        <v>1</v>
      </c>
      <c r="BB370" s="15">
        <f t="shared" si="231"/>
        <v>0</v>
      </c>
      <c r="BC370" s="15" t="str">
        <f t="shared" si="232"/>
        <v/>
      </c>
      <c r="BD370" s="15" t="str">
        <f t="shared" si="233"/>
        <v/>
      </c>
      <c r="BE370" s="11" t="e">
        <f t="shared" si="264"/>
        <v>#VALUE!</v>
      </c>
      <c r="BF370" s="11" t="e">
        <f t="shared" si="265"/>
        <v>#VALUE!</v>
      </c>
      <c r="BG370" s="11" t="e">
        <f t="shared" si="266"/>
        <v>#VALUE!</v>
      </c>
      <c r="BH370" t="str">
        <f t="shared" si="267"/>
        <v/>
      </c>
      <c r="BI370" t="str" cm="1">
        <f t="array" ref="BI370">_xlfn.IFS(
  L370&gt;0,"Critical Fail",
  M370&gt;0,"Important (Coaching)",
  TRUE,"Clean Pass"
)</f>
        <v>Clean Pass</v>
      </c>
      <c r="BJ370" t="str">
        <f t="shared" si="268"/>
        <v>NA</v>
      </c>
    </row>
    <row r="371" spans="1:62" x14ac:dyDescent="0.3">
      <c r="A371">
        <v>860034</v>
      </c>
      <c r="K371" t="str">
        <f t="shared" si="230"/>
        <v>Pass</v>
      </c>
      <c r="L371" s="15">
        <f t="shared" si="234"/>
        <v>0</v>
      </c>
      <c r="M371" s="15">
        <f t="shared" si="235"/>
        <v>0</v>
      </c>
      <c r="Z371" s="15">
        <f t="shared" si="236"/>
        <v>1</v>
      </c>
      <c r="AA371" s="15">
        <f t="shared" si="237"/>
        <v>1</v>
      </c>
      <c r="AB371" s="15">
        <f t="shared" si="238"/>
        <v>1</v>
      </c>
      <c r="AC371" s="15">
        <f t="shared" si="239"/>
        <v>1</v>
      </c>
      <c r="AD371" s="15">
        <f t="shared" si="240"/>
        <v>1</v>
      </c>
      <c r="AE371" s="15">
        <f t="shared" si="241"/>
        <v>1</v>
      </c>
      <c r="AF371" s="15">
        <f t="shared" si="242"/>
        <v>1</v>
      </c>
      <c r="AG371" s="15">
        <f t="shared" si="243"/>
        <v>1</v>
      </c>
      <c r="AH371" s="15">
        <f t="shared" si="244"/>
        <v>1</v>
      </c>
      <c r="AI371" s="15">
        <f t="shared" si="245"/>
        <v>1</v>
      </c>
      <c r="AJ371" s="15">
        <f t="shared" si="246"/>
        <v>1</v>
      </c>
      <c r="AK371" s="15">
        <f t="shared" si="247"/>
        <v>1</v>
      </c>
      <c r="AL371" s="15">
        <f t="shared" si="248"/>
        <v>1</v>
      </c>
      <c r="AM371" s="15">
        <f t="shared" si="249"/>
        <v>1</v>
      </c>
      <c r="AN371" s="15">
        <f t="shared" si="250"/>
        <v>1</v>
      </c>
      <c r="AO371" s="15">
        <f t="shared" si="251"/>
        <v>1</v>
      </c>
      <c r="AP371" s="15">
        <f t="shared" si="252"/>
        <v>1</v>
      </c>
      <c r="AQ371" s="15">
        <f t="shared" si="253"/>
        <v>1</v>
      </c>
      <c r="AR371" s="15">
        <f t="shared" si="254"/>
        <v>1</v>
      </c>
      <c r="AS371" s="15">
        <f t="shared" si="255"/>
        <v>1</v>
      </c>
      <c r="AT371" s="15">
        <f t="shared" si="256"/>
        <v>1</v>
      </c>
      <c r="AU371" s="15">
        <f t="shared" si="257"/>
        <v>1</v>
      </c>
      <c r="AV371" s="15">
        <f t="shared" si="258"/>
        <v>1</v>
      </c>
      <c r="AW371" s="15">
        <f t="shared" si="259"/>
        <v>1</v>
      </c>
      <c r="AX371" s="15">
        <f t="shared" si="260"/>
        <v>1</v>
      </c>
      <c r="AY371" s="15">
        <f t="shared" si="261"/>
        <v>1</v>
      </c>
      <c r="AZ371" s="15">
        <f t="shared" si="262"/>
        <v>1</v>
      </c>
      <c r="BA371" s="15">
        <f t="shared" si="263"/>
        <v>1</v>
      </c>
      <c r="BB371" s="15">
        <f t="shared" si="231"/>
        <v>0</v>
      </c>
      <c r="BC371" s="15" t="str">
        <f t="shared" si="232"/>
        <v/>
      </c>
      <c r="BD371" s="15" t="str">
        <f t="shared" si="233"/>
        <v/>
      </c>
      <c r="BE371" s="11" t="e">
        <f t="shared" si="264"/>
        <v>#VALUE!</v>
      </c>
      <c r="BF371" s="11" t="e">
        <f t="shared" si="265"/>
        <v>#VALUE!</v>
      </c>
      <c r="BG371" s="11" t="e">
        <f t="shared" si="266"/>
        <v>#VALUE!</v>
      </c>
      <c r="BH371" t="str">
        <f t="shared" si="267"/>
        <v/>
      </c>
      <c r="BI371" t="str" cm="1">
        <f t="array" ref="BI371">_xlfn.IFS(
  L371&gt;0,"Critical Fail",
  M371&gt;0,"Important (Coaching)",
  TRUE,"Clean Pass"
)</f>
        <v>Clean Pass</v>
      </c>
      <c r="BJ371" t="str">
        <f t="shared" si="268"/>
        <v>NA</v>
      </c>
    </row>
    <row r="372" spans="1:62" x14ac:dyDescent="0.3">
      <c r="A372">
        <v>577201</v>
      </c>
      <c r="K372" t="str">
        <f t="shared" si="230"/>
        <v>Pass</v>
      </c>
      <c r="L372" s="15">
        <f t="shared" si="234"/>
        <v>0</v>
      </c>
      <c r="M372" s="15">
        <f t="shared" si="235"/>
        <v>0</v>
      </c>
      <c r="Z372" s="15">
        <f t="shared" si="236"/>
        <v>1</v>
      </c>
      <c r="AA372" s="15">
        <f t="shared" si="237"/>
        <v>1</v>
      </c>
      <c r="AB372" s="15">
        <f t="shared" si="238"/>
        <v>1</v>
      </c>
      <c r="AC372" s="15">
        <f t="shared" si="239"/>
        <v>1</v>
      </c>
      <c r="AD372" s="15">
        <f t="shared" si="240"/>
        <v>1</v>
      </c>
      <c r="AE372" s="15">
        <f t="shared" si="241"/>
        <v>1</v>
      </c>
      <c r="AF372" s="15">
        <f t="shared" si="242"/>
        <v>1</v>
      </c>
      <c r="AG372" s="15">
        <f t="shared" si="243"/>
        <v>1</v>
      </c>
      <c r="AH372" s="15">
        <f t="shared" si="244"/>
        <v>1</v>
      </c>
      <c r="AI372" s="15">
        <f t="shared" si="245"/>
        <v>1</v>
      </c>
      <c r="AJ372" s="15">
        <f t="shared" si="246"/>
        <v>1</v>
      </c>
      <c r="AK372" s="15">
        <f t="shared" si="247"/>
        <v>1</v>
      </c>
      <c r="AL372" s="15">
        <f t="shared" si="248"/>
        <v>1</v>
      </c>
      <c r="AM372" s="15">
        <f t="shared" si="249"/>
        <v>1</v>
      </c>
      <c r="AN372" s="15">
        <f t="shared" si="250"/>
        <v>1</v>
      </c>
      <c r="AO372" s="15">
        <f t="shared" si="251"/>
        <v>1</v>
      </c>
      <c r="AP372" s="15">
        <f t="shared" si="252"/>
        <v>1</v>
      </c>
      <c r="AQ372" s="15">
        <f t="shared" si="253"/>
        <v>1</v>
      </c>
      <c r="AR372" s="15">
        <f t="shared" si="254"/>
        <v>1</v>
      </c>
      <c r="AS372" s="15">
        <f t="shared" si="255"/>
        <v>1</v>
      </c>
      <c r="AT372" s="15">
        <f t="shared" si="256"/>
        <v>1</v>
      </c>
      <c r="AU372" s="15">
        <f t="shared" si="257"/>
        <v>1</v>
      </c>
      <c r="AV372" s="15">
        <f t="shared" si="258"/>
        <v>1</v>
      </c>
      <c r="AW372" s="15">
        <f t="shared" si="259"/>
        <v>1</v>
      </c>
      <c r="AX372" s="15">
        <f t="shared" si="260"/>
        <v>1</v>
      </c>
      <c r="AY372" s="15">
        <f t="shared" si="261"/>
        <v>1</v>
      </c>
      <c r="AZ372" s="15">
        <f t="shared" si="262"/>
        <v>1</v>
      </c>
      <c r="BA372" s="15">
        <f t="shared" si="263"/>
        <v>1</v>
      </c>
      <c r="BB372" s="15">
        <f t="shared" si="231"/>
        <v>0</v>
      </c>
      <c r="BC372" s="15" t="str">
        <f t="shared" si="232"/>
        <v/>
      </c>
      <c r="BD372" s="15" t="str">
        <f t="shared" si="233"/>
        <v/>
      </c>
      <c r="BE372" s="11" t="e">
        <f t="shared" si="264"/>
        <v>#VALUE!</v>
      </c>
      <c r="BF372" s="11" t="e">
        <f t="shared" si="265"/>
        <v>#VALUE!</v>
      </c>
      <c r="BG372" s="11" t="e">
        <f t="shared" si="266"/>
        <v>#VALUE!</v>
      </c>
      <c r="BH372" t="str">
        <f t="shared" si="267"/>
        <v/>
      </c>
      <c r="BI372" t="str" cm="1">
        <f t="array" ref="BI372">_xlfn.IFS(
  L372&gt;0,"Critical Fail",
  M372&gt;0,"Important (Coaching)",
  TRUE,"Clean Pass"
)</f>
        <v>Clean Pass</v>
      </c>
      <c r="BJ372" t="str">
        <f t="shared" si="268"/>
        <v>NA</v>
      </c>
    </row>
    <row r="373" spans="1:62" x14ac:dyDescent="0.3">
      <c r="A373">
        <v>837210</v>
      </c>
      <c r="K373" t="str">
        <f t="shared" si="230"/>
        <v>Pass</v>
      </c>
      <c r="L373" s="15">
        <f t="shared" si="234"/>
        <v>0</v>
      </c>
      <c r="M373" s="15">
        <f t="shared" si="235"/>
        <v>0</v>
      </c>
      <c r="Z373" s="15">
        <f t="shared" si="236"/>
        <v>1</v>
      </c>
      <c r="AA373" s="15">
        <f t="shared" si="237"/>
        <v>1</v>
      </c>
      <c r="AB373" s="15">
        <f t="shared" si="238"/>
        <v>1</v>
      </c>
      <c r="AC373" s="15">
        <f t="shared" si="239"/>
        <v>1</v>
      </c>
      <c r="AD373" s="15">
        <f t="shared" si="240"/>
        <v>1</v>
      </c>
      <c r="AE373" s="15">
        <f t="shared" si="241"/>
        <v>1</v>
      </c>
      <c r="AF373" s="15">
        <f t="shared" si="242"/>
        <v>1</v>
      </c>
      <c r="AG373" s="15">
        <f t="shared" si="243"/>
        <v>1</v>
      </c>
      <c r="AH373" s="15">
        <f t="shared" si="244"/>
        <v>1</v>
      </c>
      <c r="AI373" s="15">
        <f t="shared" si="245"/>
        <v>1</v>
      </c>
      <c r="AJ373" s="15">
        <f t="shared" si="246"/>
        <v>1</v>
      </c>
      <c r="AK373" s="15">
        <f t="shared" si="247"/>
        <v>1</v>
      </c>
      <c r="AL373" s="15">
        <f t="shared" si="248"/>
        <v>1</v>
      </c>
      <c r="AM373" s="15">
        <f t="shared" si="249"/>
        <v>1</v>
      </c>
      <c r="AN373" s="15">
        <f t="shared" si="250"/>
        <v>1</v>
      </c>
      <c r="AO373" s="15">
        <f t="shared" si="251"/>
        <v>1</v>
      </c>
      <c r="AP373" s="15">
        <f t="shared" si="252"/>
        <v>1</v>
      </c>
      <c r="AQ373" s="15">
        <f t="shared" si="253"/>
        <v>1</v>
      </c>
      <c r="AR373" s="15">
        <f t="shared" si="254"/>
        <v>1</v>
      </c>
      <c r="AS373" s="15">
        <f t="shared" si="255"/>
        <v>1</v>
      </c>
      <c r="AT373" s="15">
        <f t="shared" si="256"/>
        <v>1</v>
      </c>
      <c r="AU373" s="15">
        <f t="shared" si="257"/>
        <v>1</v>
      </c>
      <c r="AV373" s="15">
        <f t="shared" si="258"/>
        <v>1</v>
      </c>
      <c r="AW373" s="15">
        <f t="shared" si="259"/>
        <v>1</v>
      </c>
      <c r="AX373" s="15">
        <f t="shared" si="260"/>
        <v>1</v>
      </c>
      <c r="AY373" s="15">
        <f t="shared" si="261"/>
        <v>1</v>
      </c>
      <c r="AZ373" s="15">
        <f t="shared" si="262"/>
        <v>1</v>
      </c>
      <c r="BA373" s="15">
        <f t="shared" si="263"/>
        <v>1</v>
      </c>
      <c r="BB373" s="15">
        <f t="shared" si="231"/>
        <v>0</v>
      </c>
      <c r="BC373" s="15" t="str">
        <f t="shared" si="232"/>
        <v/>
      </c>
      <c r="BD373" s="15" t="str">
        <f t="shared" si="233"/>
        <v/>
      </c>
      <c r="BE373" s="11" t="e">
        <f t="shared" si="264"/>
        <v>#VALUE!</v>
      </c>
      <c r="BF373" s="11" t="e">
        <f t="shared" si="265"/>
        <v>#VALUE!</v>
      </c>
      <c r="BG373" s="11" t="e">
        <f t="shared" si="266"/>
        <v>#VALUE!</v>
      </c>
      <c r="BH373" t="str">
        <f t="shared" si="267"/>
        <v/>
      </c>
      <c r="BI373" t="str" cm="1">
        <f t="array" ref="BI373">_xlfn.IFS(
  L373&gt;0,"Critical Fail",
  M373&gt;0,"Important (Coaching)",
  TRUE,"Clean Pass"
)</f>
        <v>Clean Pass</v>
      </c>
      <c r="BJ373" t="str">
        <f t="shared" si="268"/>
        <v>NA</v>
      </c>
    </row>
    <row r="374" spans="1:62" x14ac:dyDescent="0.3">
      <c r="A374">
        <v>183508</v>
      </c>
      <c r="K374" t="str">
        <f t="shared" si="230"/>
        <v>Pass</v>
      </c>
      <c r="L374" s="15">
        <f t="shared" si="234"/>
        <v>0</v>
      </c>
      <c r="M374" s="15">
        <f t="shared" si="235"/>
        <v>0</v>
      </c>
      <c r="Z374" s="15">
        <f t="shared" si="236"/>
        <v>1</v>
      </c>
      <c r="AA374" s="15">
        <f t="shared" si="237"/>
        <v>1</v>
      </c>
      <c r="AB374" s="15">
        <f t="shared" si="238"/>
        <v>1</v>
      </c>
      <c r="AC374" s="15">
        <f t="shared" si="239"/>
        <v>1</v>
      </c>
      <c r="AD374" s="15">
        <f t="shared" si="240"/>
        <v>1</v>
      </c>
      <c r="AE374" s="15">
        <f t="shared" si="241"/>
        <v>1</v>
      </c>
      <c r="AF374" s="15">
        <f t="shared" si="242"/>
        <v>1</v>
      </c>
      <c r="AG374" s="15">
        <f t="shared" si="243"/>
        <v>1</v>
      </c>
      <c r="AH374" s="15">
        <f t="shared" si="244"/>
        <v>1</v>
      </c>
      <c r="AI374" s="15">
        <f t="shared" si="245"/>
        <v>1</v>
      </c>
      <c r="AJ374" s="15">
        <f t="shared" si="246"/>
        <v>1</v>
      </c>
      <c r="AK374" s="15">
        <f t="shared" si="247"/>
        <v>1</v>
      </c>
      <c r="AL374" s="15">
        <f t="shared" si="248"/>
        <v>1</v>
      </c>
      <c r="AM374" s="15">
        <f t="shared" si="249"/>
        <v>1</v>
      </c>
      <c r="AN374" s="15">
        <f t="shared" si="250"/>
        <v>1</v>
      </c>
      <c r="AO374" s="15">
        <f t="shared" si="251"/>
        <v>1</v>
      </c>
      <c r="AP374" s="15">
        <f t="shared" si="252"/>
        <v>1</v>
      </c>
      <c r="AQ374" s="15">
        <f t="shared" si="253"/>
        <v>1</v>
      </c>
      <c r="AR374" s="15">
        <f t="shared" si="254"/>
        <v>1</v>
      </c>
      <c r="AS374" s="15">
        <f t="shared" si="255"/>
        <v>1</v>
      </c>
      <c r="AT374" s="15">
        <f t="shared" si="256"/>
        <v>1</v>
      </c>
      <c r="AU374" s="15">
        <f t="shared" si="257"/>
        <v>1</v>
      </c>
      <c r="AV374" s="15">
        <f t="shared" si="258"/>
        <v>1</v>
      </c>
      <c r="AW374" s="15">
        <f t="shared" si="259"/>
        <v>1</v>
      </c>
      <c r="AX374" s="15">
        <f t="shared" si="260"/>
        <v>1</v>
      </c>
      <c r="AY374" s="15">
        <f t="shared" si="261"/>
        <v>1</v>
      </c>
      <c r="AZ374" s="15">
        <f t="shared" si="262"/>
        <v>1</v>
      </c>
      <c r="BA374" s="15">
        <f t="shared" si="263"/>
        <v>1</v>
      </c>
      <c r="BB374" s="15">
        <f t="shared" si="231"/>
        <v>0</v>
      </c>
      <c r="BC374" s="15" t="str">
        <f t="shared" si="232"/>
        <v/>
      </c>
      <c r="BD374" s="15" t="str">
        <f t="shared" si="233"/>
        <v/>
      </c>
      <c r="BE374" s="11" t="e">
        <f t="shared" si="264"/>
        <v>#VALUE!</v>
      </c>
      <c r="BF374" s="11" t="e">
        <f t="shared" si="265"/>
        <v>#VALUE!</v>
      </c>
      <c r="BG374" s="11" t="e">
        <f t="shared" si="266"/>
        <v>#VALUE!</v>
      </c>
      <c r="BH374" t="str">
        <f t="shared" si="267"/>
        <v/>
      </c>
      <c r="BI374" t="str" cm="1">
        <f t="array" ref="BI374">_xlfn.IFS(
  L374&gt;0,"Critical Fail",
  M374&gt;0,"Important (Coaching)",
  TRUE,"Clean Pass"
)</f>
        <v>Clean Pass</v>
      </c>
      <c r="BJ374" t="str">
        <f t="shared" si="268"/>
        <v>NA</v>
      </c>
    </row>
    <row r="375" spans="1:62" x14ac:dyDescent="0.3">
      <c r="A375">
        <v>830830</v>
      </c>
      <c r="K375" t="str">
        <f t="shared" si="230"/>
        <v>Pass</v>
      </c>
      <c r="L375" s="15">
        <f t="shared" si="234"/>
        <v>0</v>
      </c>
      <c r="M375" s="15">
        <f t="shared" si="235"/>
        <v>0</v>
      </c>
      <c r="Z375" s="15">
        <f t="shared" si="236"/>
        <v>1</v>
      </c>
      <c r="AA375" s="15">
        <f t="shared" si="237"/>
        <v>1</v>
      </c>
      <c r="AB375" s="15">
        <f t="shared" si="238"/>
        <v>1</v>
      </c>
      <c r="AC375" s="15">
        <f t="shared" si="239"/>
        <v>1</v>
      </c>
      <c r="AD375" s="15">
        <f t="shared" si="240"/>
        <v>1</v>
      </c>
      <c r="AE375" s="15">
        <f t="shared" si="241"/>
        <v>1</v>
      </c>
      <c r="AF375" s="15">
        <f t="shared" si="242"/>
        <v>1</v>
      </c>
      <c r="AG375" s="15">
        <f t="shared" si="243"/>
        <v>1</v>
      </c>
      <c r="AH375" s="15">
        <f t="shared" si="244"/>
        <v>1</v>
      </c>
      <c r="AI375" s="15">
        <f t="shared" si="245"/>
        <v>1</v>
      </c>
      <c r="AJ375" s="15">
        <f t="shared" si="246"/>
        <v>1</v>
      </c>
      <c r="AK375" s="15">
        <f t="shared" si="247"/>
        <v>1</v>
      </c>
      <c r="AL375" s="15">
        <f t="shared" si="248"/>
        <v>1</v>
      </c>
      <c r="AM375" s="15">
        <f t="shared" si="249"/>
        <v>1</v>
      </c>
      <c r="AN375" s="15">
        <f t="shared" si="250"/>
        <v>1</v>
      </c>
      <c r="AO375" s="15">
        <f t="shared" si="251"/>
        <v>1</v>
      </c>
      <c r="AP375" s="15">
        <f t="shared" si="252"/>
        <v>1</v>
      </c>
      <c r="AQ375" s="15">
        <f t="shared" si="253"/>
        <v>1</v>
      </c>
      <c r="AR375" s="15">
        <f t="shared" si="254"/>
        <v>1</v>
      </c>
      <c r="AS375" s="15">
        <f t="shared" si="255"/>
        <v>1</v>
      </c>
      <c r="AT375" s="15">
        <f t="shared" si="256"/>
        <v>1</v>
      </c>
      <c r="AU375" s="15">
        <f t="shared" si="257"/>
        <v>1</v>
      </c>
      <c r="AV375" s="15">
        <f t="shared" si="258"/>
        <v>1</v>
      </c>
      <c r="AW375" s="15">
        <f t="shared" si="259"/>
        <v>1</v>
      </c>
      <c r="AX375" s="15">
        <f t="shared" si="260"/>
        <v>1</v>
      </c>
      <c r="AY375" s="15">
        <f t="shared" si="261"/>
        <v>1</v>
      </c>
      <c r="AZ375" s="15">
        <f t="shared" si="262"/>
        <v>1</v>
      </c>
      <c r="BA375" s="15">
        <f t="shared" si="263"/>
        <v>1</v>
      </c>
      <c r="BB375" s="15">
        <f t="shared" si="231"/>
        <v>0</v>
      </c>
      <c r="BC375" s="15" t="str">
        <f t="shared" si="232"/>
        <v/>
      </c>
      <c r="BD375" s="15" t="str">
        <f t="shared" si="233"/>
        <v/>
      </c>
      <c r="BE375" s="11" t="e">
        <f t="shared" si="264"/>
        <v>#VALUE!</v>
      </c>
      <c r="BF375" s="11" t="e">
        <f t="shared" si="265"/>
        <v>#VALUE!</v>
      </c>
      <c r="BG375" s="11" t="e">
        <f t="shared" si="266"/>
        <v>#VALUE!</v>
      </c>
      <c r="BH375" t="str">
        <f t="shared" si="267"/>
        <v/>
      </c>
      <c r="BI375" t="str" cm="1">
        <f t="array" ref="BI375">_xlfn.IFS(
  L375&gt;0,"Critical Fail",
  M375&gt;0,"Important (Coaching)",
  TRUE,"Clean Pass"
)</f>
        <v>Clean Pass</v>
      </c>
      <c r="BJ375" t="str">
        <f t="shared" si="268"/>
        <v>NA</v>
      </c>
    </row>
    <row r="376" spans="1:62" x14ac:dyDescent="0.3">
      <c r="A376">
        <v>939837</v>
      </c>
      <c r="K376" t="str">
        <f t="shared" si="230"/>
        <v>Pass</v>
      </c>
      <c r="L376" s="15">
        <f t="shared" si="234"/>
        <v>0</v>
      </c>
      <c r="M376" s="15">
        <f t="shared" si="235"/>
        <v>0</v>
      </c>
      <c r="Z376" s="15">
        <f t="shared" si="236"/>
        <v>1</v>
      </c>
      <c r="AA376" s="15">
        <f t="shared" si="237"/>
        <v>1</v>
      </c>
      <c r="AB376" s="15">
        <f t="shared" si="238"/>
        <v>1</v>
      </c>
      <c r="AC376" s="15">
        <f t="shared" si="239"/>
        <v>1</v>
      </c>
      <c r="AD376" s="15">
        <f t="shared" si="240"/>
        <v>1</v>
      </c>
      <c r="AE376" s="15">
        <f t="shared" si="241"/>
        <v>1</v>
      </c>
      <c r="AF376" s="15">
        <f t="shared" si="242"/>
        <v>1</v>
      </c>
      <c r="AG376" s="15">
        <f t="shared" si="243"/>
        <v>1</v>
      </c>
      <c r="AH376" s="15">
        <f t="shared" si="244"/>
        <v>1</v>
      </c>
      <c r="AI376" s="15">
        <f t="shared" si="245"/>
        <v>1</v>
      </c>
      <c r="AJ376" s="15">
        <f t="shared" si="246"/>
        <v>1</v>
      </c>
      <c r="AK376" s="15">
        <f t="shared" si="247"/>
        <v>1</v>
      </c>
      <c r="AL376" s="15">
        <f t="shared" si="248"/>
        <v>1</v>
      </c>
      <c r="AM376" s="15">
        <f t="shared" si="249"/>
        <v>1</v>
      </c>
      <c r="AN376" s="15">
        <f t="shared" si="250"/>
        <v>1</v>
      </c>
      <c r="AO376" s="15">
        <f t="shared" si="251"/>
        <v>1</v>
      </c>
      <c r="AP376" s="15">
        <f t="shared" si="252"/>
        <v>1</v>
      </c>
      <c r="AQ376" s="15">
        <f t="shared" si="253"/>
        <v>1</v>
      </c>
      <c r="AR376" s="15">
        <f t="shared" si="254"/>
        <v>1</v>
      </c>
      <c r="AS376" s="15">
        <f t="shared" si="255"/>
        <v>1</v>
      </c>
      <c r="AT376" s="15">
        <f t="shared" si="256"/>
        <v>1</v>
      </c>
      <c r="AU376" s="15">
        <f t="shared" si="257"/>
        <v>1</v>
      </c>
      <c r="AV376" s="15">
        <f t="shared" si="258"/>
        <v>1</v>
      </c>
      <c r="AW376" s="15">
        <f t="shared" si="259"/>
        <v>1</v>
      </c>
      <c r="AX376" s="15">
        <f t="shared" si="260"/>
        <v>1</v>
      </c>
      <c r="AY376" s="15">
        <f t="shared" si="261"/>
        <v>1</v>
      </c>
      <c r="AZ376" s="15">
        <f t="shared" si="262"/>
        <v>1</v>
      </c>
      <c r="BA376" s="15">
        <f t="shared" si="263"/>
        <v>1</v>
      </c>
      <c r="BB376" s="15">
        <f t="shared" si="231"/>
        <v>0</v>
      </c>
      <c r="BC376" s="15" t="str">
        <f t="shared" si="232"/>
        <v/>
      </c>
      <c r="BD376" s="15" t="str">
        <f t="shared" si="233"/>
        <v/>
      </c>
      <c r="BE376" s="11" t="e">
        <f t="shared" si="264"/>
        <v>#VALUE!</v>
      </c>
      <c r="BF376" s="11" t="e">
        <f t="shared" si="265"/>
        <v>#VALUE!</v>
      </c>
      <c r="BG376" s="11" t="e">
        <f t="shared" si="266"/>
        <v>#VALUE!</v>
      </c>
      <c r="BH376" t="str">
        <f t="shared" si="267"/>
        <v/>
      </c>
      <c r="BI376" t="str" cm="1">
        <f t="array" ref="BI376">_xlfn.IFS(
  L376&gt;0,"Critical Fail",
  M376&gt;0,"Important (Coaching)",
  TRUE,"Clean Pass"
)</f>
        <v>Clean Pass</v>
      </c>
      <c r="BJ376" t="str">
        <f t="shared" si="268"/>
        <v>NA</v>
      </c>
    </row>
    <row r="377" spans="1:62" x14ac:dyDescent="0.3">
      <c r="A377">
        <v>238343</v>
      </c>
      <c r="K377" t="str">
        <f t="shared" si="230"/>
        <v>Pass</v>
      </c>
      <c r="L377" s="15">
        <f t="shared" si="234"/>
        <v>0</v>
      </c>
      <c r="M377" s="15">
        <f t="shared" si="235"/>
        <v>0</v>
      </c>
      <c r="Z377" s="15">
        <f t="shared" si="236"/>
        <v>1</v>
      </c>
      <c r="AA377" s="15">
        <f t="shared" si="237"/>
        <v>1</v>
      </c>
      <c r="AB377" s="15">
        <f t="shared" si="238"/>
        <v>1</v>
      </c>
      <c r="AC377" s="15">
        <f t="shared" si="239"/>
        <v>1</v>
      </c>
      <c r="AD377" s="15">
        <f t="shared" si="240"/>
        <v>1</v>
      </c>
      <c r="AE377" s="15">
        <f t="shared" si="241"/>
        <v>1</v>
      </c>
      <c r="AF377" s="15">
        <f t="shared" si="242"/>
        <v>1</v>
      </c>
      <c r="AG377" s="15">
        <f t="shared" si="243"/>
        <v>1</v>
      </c>
      <c r="AH377" s="15">
        <f t="shared" si="244"/>
        <v>1</v>
      </c>
      <c r="AI377" s="15">
        <f t="shared" si="245"/>
        <v>1</v>
      </c>
      <c r="AJ377" s="15">
        <f t="shared" si="246"/>
        <v>1</v>
      </c>
      <c r="AK377" s="15">
        <f t="shared" si="247"/>
        <v>1</v>
      </c>
      <c r="AL377" s="15">
        <f t="shared" si="248"/>
        <v>1</v>
      </c>
      <c r="AM377" s="15">
        <f t="shared" si="249"/>
        <v>1</v>
      </c>
      <c r="AN377" s="15">
        <f t="shared" si="250"/>
        <v>1</v>
      </c>
      <c r="AO377" s="15">
        <f t="shared" si="251"/>
        <v>1</v>
      </c>
      <c r="AP377" s="15">
        <f t="shared" si="252"/>
        <v>1</v>
      </c>
      <c r="AQ377" s="15">
        <f t="shared" si="253"/>
        <v>1</v>
      </c>
      <c r="AR377" s="15">
        <f t="shared" si="254"/>
        <v>1</v>
      </c>
      <c r="AS377" s="15">
        <f t="shared" si="255"/>
        <v>1</v>
      </c>
      <c r="AT377" s="15">
        <f t="shared" si="256"/>
        <v>1</v>
      </c>
      <c r="AU377" s="15">
        <f t="shared" si="257"/>
        <v>1</v>
      </c>
      <c r="AV377" s="15">
        <f t="shared" si="258"/>
        <v>1</v>
      </c>
      <c r="AW377" s="15">
        <f t="shared" si="259"/>
        <v>1</v>
      </c>
      <c r="AX377" s="15">
        <f t="shared" si="260"/>
        <v>1</v>
      </c>
      <c r="AY377" s="15">
        <f t="shared" si="261"/>
        <v>1</v>
      </c>
      <c r="AZ377" s="15">
        <f t="shared" si="262"/>
        <v>1</v>
      </c>
      <c r="BA377" s="15">
        <f t="shared" si="263"/>
        <v>1</v>
      </c>
      <c r="BB377" s="15">
        <f t="shared" si="231"/>
        <v>0</v>
      </c>
      <c r="BC377" s="15" t="str">
        <f t="shared" si="232"/>
        <v/>
      </c>
      <c r="BD377" s="15" t="str">
        <f t="shared" si="233"/>
        <v/>
      </c>
      <c r="BE377" s="11" t="e">
        <f t="shared" si="264"/>
        <v>#VALUE!</v>
      </c>
      <c r="BF377" s="11" t="e">
        <f t="shared" si="265"/>
        <v>#VALUE!</v>
      </c>
      <c r="BG377" s="11" t="e">
        <f t="shared" si="266"/>
        <v>#VALUE!</v>
      </c>
      <c r="BH377" t="str">
        <f t="shared" si="267"/>
        <v/>
      </c>
      <c r="BI377" t="str" cm="1">
        <f t="array" ref="BI377">_xlfn.IFS(
  L377&gt;0,"Critical Fail",
  M377&gt;0,"Important (Coaching)",
  TRUE,"Clean Pass"
)</f>
        <v>Clean Pass</v>
      </c>
      <c r="BJ377" t="str">
        <f t="shared" si="268"/>
        <v>NA</v>
      </c>
    </row>
    <row r="378" spans="1:62" x14ac:dyDescent="0.3">
      <c r="A378">
        <v>692756</v>
      </c>
      <c r="K378" t="str">
        <f t="shared" si="230"/>
        <v>Pass</v>
      </c>
      <c r="L378" s="15">
        <f t="shared" si="234"/>
        <v>0</v>
      </c>
      <c r="M378" s="15">
        <f t="shared" si="235"/>
        <v>0</v>
      </c>
      <c r="Z378" s="15">
        <f t="shared" si="236"/>
        <v>1</v>
      </c>
      <c r="AA378" s="15">
        <f t="shared" si="237"/>
        <v>1</v>
      </c>
      <c r="AB378" s="15">
        <f t="shared" si="238"/>
        <v>1</v>
      </c>
      <c r="AC378" s="15">
        <f t="shared" si="239"/>
        <v>1</v>
      </c>
      <c r="AD378" s="15">
        <f t="shared" si="240"/>
        <v>1</v>
      </c>
      <c r="AE378" s="15">
        <f t="shared" si="241"/>
        <v>1</v>
      </c>
      <c r="AF378" s="15">
        <f t="shared" si="242"/>
        <v>1</v>
      </c>
      <c r="AG378" s="15">
        <f t="shared" si="243"/>
        <v>1</v>
      </c>
      <c r="AH378" s="15">
        <f t="shared" si="244"/>
        <v>1</v>
      </c>
      <c r="AI378" s="15">
        <f t="shared" si="245"/>
        <v>1</v>
      </c>
      <c r="AJ378" s="15">
        <f t="shared" si="246"/>
        <v>1</v>
      </c>
      <c r="AK378" s="15">
        <f t="shared" si="247"/>
        <v>1</v>
      </c>
      <c r="AL378" s="15">
        <f t="shared" si="248"/>
        <v>1</v>
      </c>
      <c r="AM378" s="15">
        <f t="shared" si="249"/>
        <v>1</v>
      </c>
      <c r="AN378" s="15">
        <f t="shared" si="250"/>
        <v>1</v>
      </c>
      <c r="AO378" s="15">
        <f t="shared" si="251"/>
        <v>1</v>
      </c>
      <c r="AP378" s="15">
        <f t="shared" si="252"/>
        <v>1</v>
      </c>
      <c r="AQ378" s="15">
        <f t="shared" si="253"/>
        <v>1</v>
      </c>
      <c r="AR378" s="15">
        <f t="shared" si="254"/>
        <v>1</v>
      </c>
      <c r="AS378" s="15">
        <f t="shared" si="255"/>
        <v>1</v>
      </c>
      <c r="AT378" s="15">
        <f t="shared" si="256"/>
        <v>1</v>
      </c>
      <c r="AU378" s="15">
        <f t="shared" si="257"/>
        <v>1</v>
      </c>
      <c r="AV378" s="15">
        <f t="shared" si="258"/>
        <v>1</v>
      </c>
      <c r="AW378" s="15">
        <f t="shared" si="259"/>
        <v>1</v>
      </c>
      <c r="AX378" s="15">
        <f t="shared" si="260"/>
        <v>1</v>
      </c>
      <c r="AY378" s="15">
        <f t="shared" si="261"/>
        <v>1</v>
      </c>
      <c r="AZ378" s="15">
        <f t="shared" si="262"/>
        <v>1</v>
      </c>
      <c r="BA378" s="15">
        <f t="shared" si="263"/>
        <v>1</v>
      </c>
      <c r="BB378" s="15">
        <f t="shared" si="231"/>
        <v>0</v>
      </c>
      <c r="BC378" s="15" t="str">
        <f t="shared" si="232"/>
        <v/>
      </c>
      <c r="BD378" s="15" t="str">
        <f t="shared" si="233"/>
        <v/>
      </c>
      <c r="BE378" s="11" t="e">
        <f t="shared" si="264"/>
        <v>#VALUE!</v>
      </c>
      <c r="BF378" s="11" t="e">
        <f t="shared" si="265"/>
        <v>#VALUE!</v>
      </c>
      <c r="BG378" s="11" t="e">
        <f t="shared" si="266"/>
        <v>#VALUE!</v>
      </c>
      <c r="BH378" t="str">
        <f t="shared" si="267"/>
        <v/>
      </c>
      <c r="BI378" t="str" cm="1">
        <f t="array" ref="BI378">_xlfn.IFS(
  L378&gt;0,"Critical Fail",
  M378&gt;0,"Important (Coaching)",
  TRUE,"Clean Pass"
)</f>
        <v>Clean Pass</v>
      </c>
      <c r="BJ378" t="str">
        <f t="shared" si="268"/>
        <v>NA</v>
      </c>
    </row>
    <row r="379" spans="1:62" x14ac:dyDescent="0.3">
      <c r="A379">
        <v>799822</v>
      </c>
      <c r="K379" t="str">
        <f t="shared" si="230"/>
        <v>Pass</v>
      </c>
      <c r="L379" s="15">
        <f t="shared" si="234"/>
        <v>0</v>
      </c>
      <c r="M379" s="15">
        <f t="shared" si="235"/>
        <v>0</v>
      </c>
      <c r="Z379" s="15">
        <f t="shared" si="236"/>
        <v>1</v>
      </c>
      <c r="AA379" s="15">
        <f t="shared" si="237"/>
        <v>1</v>
      </c>
      <c r="AB379" s="15">
        <f t="shared" si="238"/>
        <v>1</v>
      </c>
      <c r="AC379" s="15">
        <f t="shared" si="239"/>
        <v>1</v>
      </c>
      <c r="AD379" s="15">
        <f t="shared" si="240"/>
        <v>1</v>
      </c>
      <c r="AE379" s="15">
        <f t="shared" si="241"/>
        <v>1</v>
      </c>
      <c r="AF379" s="15">
        <f t="shared" si="242"/>
        <v>1</v>
      </c>
      <c r="AG379" s="15">
        <f t="shared" si="243"/>
        <v>1</v>
      </c>
      <c r="AH379" s="15">
        <f t="shared" si="244"/>
        <v>1</v>
      </c>
      <c r="AI379" s="15">
        <f t="shared" si="245"/>
        <v>1</v>
      </c>
      <c r="AJ379" s="15">
        <f t="shared" si="246"/>
        <v>1</v>
      </c>
      <c r="AK379" s="15">
        <f t="shared" si="247"/>
        <v>1</v>
      </c>
      <c r="AL379" s="15">
        <f t="shared" si="248"/>
        <v>1</v>
      </c>
      <c r="AM379" s="15">
        <f t="shared" si="249"/>
        <v>1</v>
      </c>
      <c r="AN379" s="15">
        <f t="shared" si="250"/>
        <v>1</v>
      </c>
      <c r="AO379" s="15">
        <f t="shared" si="251"/>
        <v>1</v>
      </c>
      <c r="AP379" s="15">
        <f t="shared" si="252"/>
        <v>1</v>
      </c>
      <c r="AQ379" s="15">
        <f t="shared" si="253"/>
        <v>1</v>
      </c>
      <c r="AR379" s="15">
        <f t="shared" si="254"/>
        <v>1</v>
      </c>
      <c r="AS379" s="15">
        <f t="shared" si="255"/>
        <v>1</v>
      </c>
      <c r="AT379" s="15">
        <f t="shared" si="256"/>
        <v>1</v>
      </c>
      <c r="AU379" s="15">
        <f t="shared" si="257"/>
        <v>1</v>
      </c>
      <c r="AV379" s="15">
        <f t="shared" si="258"/>
        <v>1</v>
      </c>
      <c r="AW379" s="15">
        <f t="shared" si="259"/>
        <v>1</v>
      </c>
      <c r="AX379" s="15">
        <f t="shared" si="260"/>
        <v>1</v>
      </c>
      <c r="AY379" s="15">
        <f t="shared" si="261"/>
        <v>1</v>
      </c>
      <c r="AZ379" s="15">
        <f t="shared" si="262"/>
        <v>1</v>
      </c>
      <c r="BA379" s="15">
        <f t="shared" si="263"/>
        <v>1</v>
      </c>
      <c r="BB379" s="15">
        <f t="shared" si="231"/>
        <v>0</v>
      </c>
      <c r="BC379" s="15" t="str">
        <f t="shared" si="232"/>
        <v/>
      </c>
      <c r="BD379" s="15" t="str">
        <f t="shared" si="233"/>
        <v/>
      </c>
      <c r="BE379" s="11" t="e">
        <f t="shared" si="264"/>
        <v>#VALUE!</v>
      </c>
      <c r="BF379" s="11" t="e">
        <f t="shared" si="265"/>
        <v>#VALUE!</v>
      </c>
      <c r="BG379" s="11" t="e">
        <f t="shared" si="266"/>
        <v>#VALUE!</v>
      </c>
      <c r="BH379" t="str">
        <f t="shared" si="267"/>
        <v/>
      </c>
      <c r="BI379" t="str" cm="1">
        <f t="array" ref="BI379">_xlfn.IFS(
  L379&gt;0,"Critical Fail",
  M379&gt;0,"Important (Coaching)",
  TRUE,"Clean Pass"
)</f>
        <v>Clean Pass</v>
      </c>
      <c r="BJ379" t="str">
        <f t="shared" si="268"/>
        <v>NA</v>
      </c>
    </row>
    <row r="380" spans="1:62" x14ac:dyDescent="0.3">
      <c r="A380">
        <v>254108</v>
      </c>
      <c r="K380" t="str">
        <f t="shared" si="230"/>
        <v>Pass</v>
      </c>
      <c r="L380" s="15">
        <f t="shared" si="234"/>
        <v>0</v>
      </c>
      <c r="M380" s="15">
        <f t="shared" si="235"/>
        <v>0</v>
      </c>
      <c r="Z380" s="15">
        <f t="shared" si="236"/>
        <v>1</v>
      </c>
      <c r="AA380" s="15">
        <f t="shared" si="237"/>
        <v>1</v>
      </c>
      <c r="AB380" s="15">
        <f t="shared" si="238"/>
        <v>1</v>
      </c>
      <c r="AC380" s="15">
        <f t="shared" si="239"/>
        <v>1</v>
      </c>
      <c r="AD380" s="15">
        <f t="shared" si="240"/>
        <v>1</v>
      </c>
      <c r="AE380" s="15">
        <f t="shared" si="241"/>
        <v>1</v>
      </c>
      <c r="AF380" s="15">
        <f t="shared" si="242"/>
        <v>1</v>
      </c>
      <c r="AG380" s="15">
        <f t="shared" si="243"/>
        <v>1</v>
      </c>
      <c r="AH380" s="15">
        <f t="shared" si="244"/>
        <v>1</v>
      </c>
      <c r="AI380" s="15">
        <f t="shared" si="245"/>
        <v>1</v>
      </c>
      <c r="AJ380" s="15">
        <f t="shared" si="246"/>
        <v>1</v>
      </c>
      <c r="AK380" s="15">
        <f t="shared" si="247"/>
        <v>1</v>
      </c>
      <c r="AL380" s="15">
        <f t="shared" si="248"/>
        <v>1</v>
      </c>
      <c r="AM380" s="15">
        <f t="shared" si="249"/>
        <v>1</v>
      </c>
      <c r="AN380" s="15">
        <f t="shared" si="250"/>
        <v>1</v>
      </c>
      <c r="AO380" s="15">
        <f t="shared" si="251"/>
        <v>1</v>
      </c>
      <c r="AP380" s="15">
        <f t="shared" si="252"/>
        <v>1</v>
      </c>
      <c r="AQ380" s="15">
        <f t="shared" si="253"/>
        <v>1</v>
      </c>
      <c r="AR380" s="15">
        <f t="shared" si="254"/>
        <v>1</v>
      </c>
      <c r="AS380" s="15">
        <f t="shared" si="255"/>
        <v>1</v>
      </c>
      <c r="AT380" s="15">
        <f t="shared" si="256"/>
        <v>1</v>
      </c>
      <c r="AU380" s="15">
        <f t="shared" si="257"/>
        <v>1</v>
      </c>
      <c r="AV380" s="15">
        <f t="shared" si="258"/>
        <v>1</v>
      </c>
      <c r="AW380" s="15">
        <f t="shared" si="259"/>
        <v>1</v>
      </c>
      <c r="AX380" s="15">
        <f t="shared" si="260"/>
        <v>1</v>
      </c>
      <c r="AY380" s="15">
        <f t="shared" si="261"/>
        <v>1</v>
      </c>
      <c r="AZ380" s="15">
        <f t="shared" si="262"/>
        <v>1</v>
      </c>
      <c r="BA380" s="15">
        <f t="shared" si="263"/>
        <v>1</v>
      </c>
      <c r="BB380" s="15">
        <f t="shared" si="231"/>
        <v>0</v>
      </c>
      <c r="BC380" s="15" t="str">
        <f t="shared" si="232"/>
        <v/>
      </c>
      <c r="BD380" s="15" t="str">
        <f t="shared" si="233"/>
        <v/>
      </c>
      <c r="BE380" s="11" t="e">
        <f t="shared" si="264"/>
        <v>#VALUE!</v>
      </c>
      <c r="BF380" s="11" t="e">
        <f t="shared" si="265"/>
        <v>#VALUE!</v>
      </c>
      <c r="BG380" s="11" t="e">
        <f t="shared" si="266"/>
        <v>#VALUE!</v>
      </c>
      <c r="BH380" t="str">
        <f t="shared" si="267"/>
        <v/>
      </c>
      <c r="BI380" t="str" cm="1">
        <f t="array" ref="BI380">_xlfn.IFS(
  L380&gt;0,"Critical Fail",
  M380&gt;0,"Important (Coaching)",
  TRUE,"Clean Pass"
)</f>
        <v>Clean Pass</v>
      </c>
      <c r="BJ380" t="str">
        <f t="shared" si="268"/>
        <v>NA</v>
      </c>
    </row>
    <row r="381" spans="1:62" x14ac:dyDescent="0.3">
      <c r="A381">
        <v>892833</v>
      </c>
      <c r="K381" t="str">
        <f t="shared" si="230"/>
        <v>Pass</v>
      </c>
      <c r="L381" s="15">
        <f t="shared" si="234"/>
        <v>0</v>
      </c>
      <c r="M381" s="15">
        <f t="shared" si="235"/>
        <v>0</v>
      </c>
      <c r="Z381" s="15">
        <f t="shared" si="236"/>
        <v>1</v>
      </c>
      <c r="AA381" s="15">
        <f t="shared" si="237"/>
        <v>1</v>
      </c>
      <c r="AB381" s="15">
        <f t="shared" si="238"/>
        <v>1</v>
      </c>
      <c r="AC381" s="15">
        <f t="shared" si="239"/>
        <v>1</v>
      </c>
      <c r="AD381" s="15">
        <f t="shared" si="240"/>
        <v>1</v>
      </c>
      <c r="AE381" s="15">
        <f t="shared" si="241"/>
        <v>1</v>
      </c>
      <c r="AF381" s="15">
        <f t="shared" si="242"/>
        <v>1</v>
      </c>
      <c r="AG381" s="15">
        <f t="shared" si="243"/>
        <v>1</v>
      </c>
      <c r="AH381" s="15">
        <f t="shared" si="244"/>
        <v>1</v>
      </c>
      <c r="AI381" s="15">
        <f t="shared" si="245"/>
        <v>1</v>
      </c>
      <c r="AJ381" s="15">
        <f t="shared" si="246"/>
        <v>1</v>
      </c>
      <c r="AK381" s="15">
        <f t="shared" si="247"/>
        <v>1</v>
      </c>
      <c r="AL381" s="15">
        <f t="shared" si="248"/>
        <v>1</v>
      </c>
      <c r="AM381" s="15">
        <f t="shared" si="249"/>
        <v>1</v>
      </c>
      <c r="AN381" s="15">
        <f t="shared" si="250"/>
        <v>1</v>
      </c>
      <c r="AO381" s="15">
        <f t="shared" si="251"/>
        <v>1</v>
      </c>
      <c r="AP381" s="15">
        <f t="shared" si="252"/>
        <v>1</v>
      </c>
      <c r="AQ381" s="15">
        <f t="shared" si="253"/>
        <v>1</v>
      </c>
      <c r="AR381" s="15">
        <f t="shared" si="254"/>
        <v>1</v>
      </c>
      <c r="AS381" s="15">
        <f t="shared" si="255"/>
        <v>1</v>
      </c>
      <c r="AT381" s="15">
        <f t="shared" si="256"/>
        <v>1</v>
      </c>
      <c r="AU381" s="15">
        <f t="shared" si="257"/>
        <v>1</v>
      </c>
      <c r="AV381" s="15">
        <f t="shared" si="258"/>
        <v>1</v>
      </c>
      <c r="AW381" s="15">
        <f t="shared" si="259"/>
        <v>1</v>
      </c>
      <c r="AX381" s="15">
        <f t="shared" si="260"/>
        <v>1</v>
      </c>
      <c r="AY381" s="15">
        <f t="shared" si="261"/>
        <v>1</v>
      </c>
      <c r="AZ381" s="15">
        <f t="shared" si="262"/>
        <v>1</v>
      </c>
      <c r="BA381" s="15">
        <f t="shared" si="263"/>
        <v>1</v>
      </c>
      <c r="BB381" s="15">
        <f t="shared" si="231"/>
        <v>0</v>
      </c>
      <c r="BC381" s="15" t="str">
        <f t="shared" si="232"/>
        <v/>
      </c>
      <c r="BD381" s="15" t="str">
        <f t="shared" si="233"/>
        <v/>
      </c>
      <c r="BE381" s="11" t="e">
        <f t="shared" si="264"/>
        <v>#VALUE!</v>
      </c>
      <c r="BF381" s="11" t="e">
        <f t="shared" si="265"/>
        <v>#VALUE!</v>
      </c>
      <c r="BG381" s="11" t="e">
        <f t="shared" si="266"/>
        <v>#VALUE!</v>
      </c>
      <c r="BH381" t="str">
        <f t="shared" si="267"/>
        <v/>
      </c>
      <c r="BI381" t="str" cm="1">
        <f t="array" ref="BI381">_xlfn.IFS(
  L381&gt;0,"Critical Fail",
  M381&gt;0,"Important (Coaching)",
  TRUE,"Clean Pass"
)</f>
        <v>Clean Pass</v>
      </c>
      <c r="BJ381" t="str">
        <f t="shared" si="268"/>
        <v>NA</v>
      </c>
    </row>
    <row r="382" spans="1:62" x14ac:dyDescent="0.3">
      <c r="A382">
        <v>502437</v>
      </c>
      <c r="K382" t="str">
        <f t="shared" si="230"/>
        <v>Pass</v>
      </c>
      <c r="L382" s="15">
        <f t="shared" si="234"/>
        <v>0</v>
      </c>
      <c r="M382" s="15">
        <f t="shared" si="235"/>
        <v>0</v>
      </c>
      <c r="Z382" s="15">
        <f t="shared" si="236"/>
        <v>1</v>
      </c>
      <c r="AA382" s="15">
        <f t="shared" si="237"/>
        <v>1</v>
      </c>
      <c r="AB382" s="15">
        <f t="shared" si="238"/>
        <v>1</v>
      </c>
      <c r="AC382" s="15">
        <f t="shared" si="239"/>
        <v>1</v>
      </c>
      <c r="AD382" s="15">
        <f t="shared" si="240"/>
        <v>1</v>
      </c>
      <c r="AE382" s="15">
        <f t="shared" si="241"/>
        <v>1</v>
      </c>
      <c r="AF382" s="15">
        <f t="shared" si="242"/>
        <v>1</v>
      </c>
      <c r="AG382" s="15">
        <f t="shared" si="243"/>
        <v>1</v>
      </c>
      <c r="AH382" s="15">
        <f t="shared" si="244"/>
        <v>1</v>
      </c>
      <c r="AI382" s="15">
        <f t="shared" si="245"/>
        <v>1</v>
      </c>
      <c r="AJ382" s="15">
        <f t="shared" si="246"/>
        <v>1</v>
      </c>
      <c r="AK382" s="15">
        <f t="shared" si="247"/>
        <v>1</v>
      </c>
      <c r="AL382" s="15">
        <f t="shared" si="248"/>
        <v>1</v>
      </c>
      <c r="AM382" s="15">
        <f t="shared" si="249"/>
        <v>1</v>
      </c>
      <c r="AN382" s="15">
        <f t="shared" si="250"/>
        <v>1</v>
      </c>
      <c r="AO382" s="15">
        <f t="shared" si="251"/>
        <v>1</v>
      </c>
      <c r="AP382" s="15">
        <f t="shared" si="252"/>
        <v>1</v>
      </c>
      <c r="AQ382" s="15">
        <f t="shared" si="253"/>
        <v>1</v>
      </c>
      <c r="AR382" s="15">
        <f t="shared" si="254"/>
        <v>1</v>
      </c>
      <c r="AS382" s="15">
        <f t="shared" si="255"/>
        <v>1</v>
      </c>
      <c r="AT382" s="15">
        <f t="shared" si="256"/>
        <v>1</v>
      </c>
      <c r="AU382" s="15">
        <f t="shared" si="257"/>
        <v>1</v>
      </c>
      <c r="AV382" s="15">
        <f t="shared" si="258"/>
        <v>1</v>
      </c>
      <c r="AW382" s="15">
        <f t="shared" si="259"/>
        <v>1</v>
      </c>
      <c r="AX382" s="15">
        <f t="shared" si="260"/>
        <v>1</v>
      </c>
      <c r="AY382" s="15">
        <f t="shared" si="261"/>
        <v>1</v>
      </c>
      <c r="AZ382" s="15">
        <f t="shared" si="262"/>
        <v>1</v>
      </c>
      <c r="BA382" s="15">
        <f t="shared" si="263"/>
        <v>1</v>
      </c>
      <c r="BB382" s="15">
        <f t="shared" si="231"/>
        <v>0</v>
      </c>
      <c r="BC382" s="15" t="str">
        <f t="shared" si="232"/>
        <v/>
      </c>
      <c r="BD382" s="15" t="str">
        <f t="shared" si="233"/>
        <v/>
      </c>
      <c r="BE382" s="11" t="e">
        <f t="shared" si="264"/>
        <v>#VALUE!</v>
      </c>
      <c r="BF382" s="11" t="e">
        <f t="shared" si="265"/>
        <v>#VALUE!</v>
      </c>
      <c r="BG382" s="11" t="e">
        <f t="shared" si="266"/>
        <v>#VALUE!</v>
      </c>
      <c r="BH382" t="str">
        <f t="shared" si="267"/>
        <v/>
      </c>
      <c r="BI382" t="str" cm="1">
        <f t="array" ref="BI382">_xlfn.IFS(
  L382&gt;0,"Critical Fail",
  M382&gt;0,"Important (Coaching)",
  TRUE,"Clean Pass"
)</f>
        <v>Clean Pass</v>
      </c>
      <c r="BJ382" t="str">
        <f t="shared" si="268"/>
        <v>NA</v>
      </c>
    </row>
    <row r="383" spans="1:62" x14ac:dyDescent="0.3">
      <c r="A383">
        <v>541088</v>
      </c>
      <c r="K383" t="str">
        <f t="shared" si="230"/>
        <v>Pass</v>
      </c>
      <c r="L383" s="15">
        <f t="shared" si="234"/>
        <v>0</v>
      </c>
      <c r="M383" s="15">
        <f t="shared" si="235"/>
        <v>0</v>
      </c>
      <c r="Z383" s="15">
        <f t="shared" si="236"/>
        <v>1</v>
      </c>
      <c r="AA383" s="15">
        <f t="shared" si="237"/>
        <v>1</v>
      </c>
      <c r="AB383" s="15">
        <f t="shared" si="238"/>
        <v>1</v>
      </c>
      <c r="AC383" s="15">
        <f t="shared" si="239"/>
        <v>1</v>
      </c>
      <c r="AD383" s="15">
        <f t="shared" si="240"/>
        <v>1</v>
      </c>
      <c r="AE383" s="15">
        <f t="shared" si="241"/>
        <v>1</v>
      </c>
      <c r="AF383" s="15">
        <f t="shared" si="242"/>
        <v>1</v>
      </c>
      <c r="AG383" s="15">
        <f t="shared" si="243"/>
        <v>1</v>
      </c>
      <c r="AH383" s="15">
        <f t="shared" si="244"/>
        <v>1</v>
      </c>
      <c r="AI383" s="15">
        <f t="shared" si="245"/>
        <v>1</v>
      </c>
      <c r="AJ383" s="15">
        <f t="shared" si="246"/>
        <v>1</v>
      </c>
      <c r="AK383" s="15">
        <f t="shared" si="247"/>
        <v>1</v>
      </c>
      <c r="AL383" s="15">
        <f t="shared" si="248"/>
        <v>1</v>
      </c>
      <c r="AM383" s="15">
        <f t="shared" si="249"/>
        <v>1</v>
      </c>
      <c r="AN383" s="15">
        <f t="shared" si="250"/>
        <v>1</v>
      </c>
      <c r="AO383" s="15">
        <f t="shared" si="251"/>
        <v>1</v>
      </c>
      <c r="AP383" s="15">
        <f t="shared" si="252"/>
        <v>1</v>
      </c>
      <c r="AQ383" s="15">
        <f t="shared" si="253"/>
        <v>1</v>
      </c>
      <c r="AR383" s="15">
        <f t="shared" si="254"/>
        <v>1</v>
      </c>
      <c r="AS383" s="15">
        <f t="shared" si="255"/>
        <v>1</v>
      </c>
      <c r="AT383" s="15">
        <f t="shared" si="256"/>
        <v>1</v>
      </c>
      <c r="AU383" s="15">
        <f t="shared" si="257"/>
        <v>1</v>
      </c>
      <c r="AV383" s="15">
        <f t="shared" si="258"/>
        <v>1</v>
      </c>
      <c r="AW383" s="15">
        <f t="shared" si="259"/>
        <v>1</v>
      </c>
      <c r="AX383" s="15">
        <f t="shared" si="260"/>
        <v>1</v>
      </c>
      <c r="AY383" s="15">
        <f t="shared" si="261"/>
        <v>1</v>
      </c>
      <c r="AZ383" s="15">
        <f t="shared" si="262"/>
        <v>1</v>
      </c>
      <c r="BA383" s="15">
        <f t="shared" si="263"/>
        <v>1</v>
      </c>
      <c r="BB383" s="15">
        <f t="shared" si="231"/>
        <v>0</v>
      </c>
      <c r="BC383" s="15" t="str">
        <f t="shared" si="232"/>
        <v/>
      </c>
      <c r="BD383" s="15" t="str">
        <f t="shared" si="233"/>
        <v/>
      </c>
      <c r="BE383" s="11" t="e">
        <f t="shared" si="264"/>
        <v>#VALUE!</v>
      </c>
      <c r="BF383" s="11" t="e">
        <f t="shared" si="265"/>
        <v>#VALUE!</v>
      </c>
      <c r="BG383" s="11" t="e">
        <f t="shared" si="266"/>
        <v>#VALUE!</v>
      </c>
      <c r="BH383" t="str">
        <f t="shared" si="267"/>
        <v/>
      </c>
      <c r="BI383" t="str" cm="1">
        <f t="array" ref="BI383">_xlfn.IFS(
  L383&gt;0,"Critical Fail",
  M383&gt;0,"Important (Coaching)",
  TRUE,"Clean Pass"
)</f>
        <v>Clean Pass</v>
      </c>
      <c r="BJ383" t="str">
        <f t="shared" si="268"/>
        <v>NA</v>
      </c>
    </row>
    <row r="384" spans="1:62" x14ac:dyDescent="0.3">
      <c r="A384">
        <v>712299</v>
      </c>
      <c r="K384" t="str">
        <f t="shared" si="230"/>
        <v>Pass</v>
      </c>
      <c r="L384" s="15">
        <f t="shared" si="234"/>
        <v>0</v>
      </c>
      <c r="M384" s="15">
        <f t="shared" si="235"/>
        <v>0</v>
      </c>
      <c r="Z384" s="15">
        <f t="shared" si="236"/>
        <v>1</v>
      </c>
      <c r="AA384" s="15">
        <f t="shared" si="237"/>
        <v>1</v>
      </c>
      <c r="AB384" s="15">
        <f t="shared" si="238"/>
        <v>1</v>
      </c>
      <c r="AC384" s="15">
        <f t="shared" si="239"/>
        <v>1</v>
      </c>
      <c r="AD384" s="15">
        <f t="shared" si="240"/>
        <v>1</v>
      </c>
      <c r="AE384" s="15">
        <f t="shared" si="241"/>
        <v>1</v>
      </c>
      <c r="AF384" s="15">
        <f t="shared" si="242"/>
        <v>1</v>
      </c>
      <c r="AG384" s="15">
        <f t="shared" si="243"/>
        <v>1</v>
      </c>
      <c r="AH384" s="15">
        <f t="shared" si="244"/>
        <v>1</v>
      </c>
      <c r="AI384" s="15">
        <f t="shared" si="245"/>
        <v>1</v>
      </c>
      <c r="AJ384" s="15">
        <f t="shared" si="246"/>
        <v>1</v>
      </c>
      <c r="AK384" s="15">
        <f t="shared" si="247"/>
        <v>1</v>
      </c>
      <c r="AL384" s="15">
        <f t="shared" si="248"/>
        <v>1</v>
      </c>
      <c r="AM384" s="15">
        <f t="shared" si="249"/>
        <v>1</v>
      </c>
      <c r="AN384" s="15">
        <f t="shared" si="250"/>
        <v>1</v>
      </c>
      <c r="AO384" s="15">
        <f t="shared" si="251"/>
        <v>1</v>
      </c>
      <c r="AP384" s="15">
        <f t="shared" si="252"/>
        <v>1</v>
      </c>
      <c r="AQ384" s="15">
        <f t="shared" si="253"/>
        <v>1</v>
      </c>
      <c r="AR384" s="15">
        <f t="shared" si="254"/>
        <v>1</v>
      </c>
      <c r="AS384" s="15">
        <f t="shared" si="255"/>
        <v>1</v>
      </c>
      <c r="AT384" s="15">
        <f t="shared" si="256"/>
        <v>1</v>
      </c>
      <c r="AU384" s="15">
        <f t="shared" si="257"/>
        <v>1</v>
      </c>
      <c r="AV384" s="15">
        <f t="shared" si="258"/>
        <v>1</v>
      </c>
      <c r="AW384" s="15">
        <f t="shared" si="259"/>
        <v>1</v>
      </c>
      <c r="AX384" s="15">
        <f t="shared" si="260"/>
        <v>1</v>
      </c>
      <c r="AY384" s="15">
        <f t="shared" si="261"/>
        <v>1</v>
      </c>
      <c r="AZ384" s="15">
        <f t="shared" si="262"/>
        <v>1</v>
      </c>
      <c r="BA384" s="15">
        <f t="shared" si="263"/>
        <v>1</v>
      </c>
      <c r="BB384" s="15">
        <f t="shared" si="231"/>
        <v>0</v>
      </c>
      <c r="BC384" s="15" t="str">
        <f t="shared" si="232"/>
        <v/>
      </c>
      <c r="BD384" s="15" t="str">
        <f t="shared" si="233"/>
        <v/>
      </c>
      <c r="BE384" s="11" t="e">
        <f t="shared" si="264"/>
        <v>#VALUE!</v>
      </c>
      <c r="BF384" s="11" t="e">
        <f t="shared" si="265"/>
        <v>#VALUE!</v>
      </c>
      <c r="BG384" s="11" t="e">
        <f t="shared" si="266"/>
        <v>#VALUE!</v>
      </c>
      <c r="BH384" t="str">
        <f t="shared" si="267"/>
        <v/>
      </c>
      <c r="BI384" t="str" cm="1">
        <f t="array" ref="BI384">_xlfn.IFS(
  L384&gt;0,"Critical Fail",
  M384&gt;0,"Important (Coaching)",
  TRUE,"Clean Pass"
)</f>
        <v>Clean Pass</v>
      </c>
      <c r="BJ384" t="str">
        <f t="shared" si="268"/>
        <v>NA</v>
      </c>
    </row>
    <row r="385" spans="1:62" x14ac:dyDescent="0.3">
      <c r="A385">
        <v>162227</v>
      </c>
      <c r="K385" t="str">
        <f t="shared" si="230"/>
        <v>Pass</v>
      </c>
      <c r="L385" s="15">
        <f t="shared" si="234"/>
        <v>0</v>
      </c>
      <c r="M385" s="15">
        <f t="shared" si="235"/>
        <v>0</v>
      </c>
      <c r="Z385" s="15">
        <f t="shared" si="236"/>
        <v>1</v>
      </c>
      <c r="AA385" s="15">
        <f t="shared" si="237"/>
        <v>1</v>
      </c>
      <c r="AB385" s="15">
        <f t="shared" si="238"/>
        <v>1</v>
      </c>
      <c r="AC385" s="15">
        <f t="shared" si="239"/>
        <v>1</v>
      </c>
      <c r="AD385" s="15">
        <f t="shared" si="240"/>
        <v>1</v>
      </c>
      <c r="AE385" s="15">
        <f t="shared" si="241"/>
        <v>1</v>
      </c>
      <c r="AF385" s="15">
        <f t="shared" si="242"/>
        <v>1</v>
      </c>
      <c r="AG385" s="15">
        <f t="shared" si="243"/>
        <v>1</v>
      </c>
      <c r="AH385" s="15">
        <f t="shared" si="244"/>
        <v>1</v>
      </c>
      <c r="AI385" s="15">
        <f t="shared" si="245"/>
        <v>1</v>
      </c>
      <c r="AJ385" s="15">
        <f t="shared" si="246"/>
        <v>1</v>
      </c>
      <c r="AK385" s="15">
        <f t="shared" si="247"/>
        <v>1</v>
      </c>
      <c r="AL385" s="15">
        <f t="shared" si="248"/>
        <v>1</v>
      </c>
      <c r="AM385" s="15">
        <f t="shared" si="249"/>
        <v>1</v>
      </c>
      <c r="AN385" s="15">
        <f t="shared" si="250"/>
        <v>1</v>
      </c>
      <c r="AO385" s="15">
        <f t="shared" si="251"/>
        <v>1</v>
      </c>
      <c r="AP385" s="15">
        <f t="shared" si="252"/>
        <v>1</v>
      </c>
      <c r="AQ385" s="15">
        <f t="shared" si="253"/>
        <v>1</v>
      </c>
      <c r="AR385" s="15">
        <f t="shared" si="254"/>
        <v>1</v>
      </c>
      <c r="AS385" s="15">
        <f t="shared" si="255"/>
        <v>1</v>
      </c>
      <c r="AT385" s="15">
        <f t="shared" si="256"/>
        <v>1</v>
      </c>
      <c r="AU385" s="15">
        <f t="shared" si="257"/>
        <v>1</v>
      </c>
      <c r="AV385" s="15">
        <f t="shared" si="258"/>
        <v>1</v>
      </c>
      <c r="AW385" s="15">
        <f t="shared" si="259"/>
        <v>1</v>
      </c>
      <c r="AX385" s="15">
        <f t="shared" si="260"/>
        <v>1</v>
      </c>
      <c r="AY385" s="15">
        <f t="shared" si="261"/>
        <v>1</v>
      </c>
      <c r="AZ385" s="15">
        <f t="shared" si="262"/>
        <v>1</v>
      </c>
      <c r="BA385" s="15">
        <f t="shared" si="263"/>
        <v>1</v>
      </c>
      <c r="BB385" s="15">
        <f t="shared" si="231"/>
        <v>0</v>
      </c>
      <c r="BC385" s="15" t="str">
        <f t="shared" si="232"/>
        <v/>
      </c>
      <c r="BD385" s="15" t="str">
        <f t="shared" si="233"/>
        <v/>
      </c>
      <c r="BE385" s="11" t="e">
        <f t="shared" si="264"/>
        <v>#VALUE!</v>
      </c>
      <c r="BF385" s="11" t="e">
        <f t="shared" si="265"/>
        <v>#VALUE!</v>
      </c>
      <c r="BG385" s="11" t="e">
        <f t="shared" si="266"/>
        <v>#VALUE!</v>
      </c>
      <c r="BH385" t="str">
        <f t="shared" si="267"/>
        <v/>
      </c>
      <c r="BI385" t="str" cm="1">
        <f t="array" ref="BI385">_xlfn.IFS(
  L385&gt;0,"Critical Fail",
  M385&gt;0,"Important (Coaching)",
  TRUE,"Clean Pass"
)</f>
        <v>Clean Pass</v>
      </c>
      <c r="BJ385" t="str">
        <f t="shared" si="268"/>
        <v>NA</v>
      </c>
    </row>
    <row r="386" spans="1:62" x14ac:dyDescent="0.3">
      <c r="A386">
        <v>851140</v>
      </c>
      <c r="K386" t="str">
        <f t="shared" ref="K386:K449" si="269">IF(L386="","",IF(L386&gt;0,"Fail","Pass"))</f>
        <v>Pass</v>
      </c>
      <c r="L386" s="15">
        <f t="shared" si="234"/>
        <v>0</v>
      </c>
      <c r="M386" s="15">
        <f t="shared" si="235"/>
        <v>0</v>
      </c>
      <c r="Z386" s="15">
        <f t="shared" si="236"/>
        <v>1</v>
      </c>
      <c r="AA386" s="15">
        <f t="shared" si="237"/>
        <v>1</v>
      </c>
      <c r="AB386" s="15">
        <f t="shared" si="238"/>
        <v>1</v>
      </c>
      <c r="AC386" s="15">
        <f t="shared" si="239"/>
        <v>1</v>
      </c>
      <c r="AD386" s="15">
        <f t="shared" si="240"/>
        <v>1</v>
      </c>
      <c r="AE386" s="15">
        <f t="shared" si="241"/>
        <v>1</v>
      </c>
      <c r="AF386" s="15">
        <f t="shared" si="242"/>
        <v>1</v>
      </c>
      <c r="AG386" s="15">
        <f t="shared" si="243"/>
        <v>1</v>
      </c>
      <c r="AH386" s="15">
        <f t="shared" si="244"/>
        <v>1</v>
      </c>
      <c r="AI386" s="15">
        <f t="shared" si="245"/>
        <v>1</v>
      </c>
      <c r="AJ386" s="15">
        <f t="shared" si="246"/>
        <v>1</v>
      </c>
      <c r="AK386" s="15">
        <f t="shared" si="247"/>
        <v>1</v>
      </c>
      <c r="AL386" s="15">
        <f t="shared" si="248"/>
        <v>1</v>
      </c>
      <c r="AM386" s="15">
        <f t="shared" si="249"/>
        <v>1</v>
      </c>
      <c r="AN386" s="15">
        <f t="shared" si="250"/>
        <v>1</v>
      </c>
      <c r="AO386" s="15">
        <f t="shared" si="251"/>
        <v>1</v>
      </c>
      <c r="AP386" s="15">
        <f t="shared" si="252"/>
        <v>1</v>
      </c>
      <c r="AQ386" s="15">
        <f t="shared" si="253"/>
        <v>1</v>
      </c>
      <c r="AR386" s="15">
        <f t="shared" si="254"/>
        <v>1</v>
      </c>
      <c r="AS386" s="15">
        <f t="shared" si="255"/>
        <v>1</v>
      </c>
      <c r="AT386" s="15">
        <f t="shared" si="256"/>
        <v>1</v>
      </c>
      <c r="AU386" s="15">
        <f t="shared" si="257"/>
        <v>1</v>
      </c>
      <c r="AV386" s="15">
        <f t="shared" si="258"/>
        <v>1</v>
      </c>
      <c r="AW386" s="15">
        <f t="shared" si="259"/>
        <v>1</v>
      </c>
      <c r="AX386" s="15">
        <f t="shared" si="260"/>
        <v>1</v>
      </c>
      <c r="AY386" s="15">
        <f t="shared" si="261"/>
        <v>1</v>
      </c>
      <c r="AZ386" s="15">
        <f t="shared" si="262"/>
        <v>1</v>
      </c>
      <c r="BA386" s="15">
        <f t="shared" si="263"/>
        <v>1</v>
      </c>
      <c r="BB386" s="15">
        <f t="shared" ref="BB386:BB449" si="270">IF(L386&gt;0,1,0)</f>
        <v>0</v>
      </c>
      <c r="BC386" s="15" t="str">
        <f t="shared" ref="BC386:BC449" si="271">IF(G386="DV",9,IF(G386="AL",13,""))</f>
        <v/>
      </c>
      <c r="BD386" s="15" t="str">
        <f t="shared" ref="BD386:BD449" si="272">IF(G386="DV",3,IF(G386="AL",3,""))</f>
        <v/>
      </c>
      <c r="BE386" s="11" t="e">
        <f t="shared" si="264"/>
        <v>#VALUE!</v>
      </c>
      <c r="BF386" s="11" t="e">
        <f t="shared" si="265"/>
        <v>#VALUE!</v>
      </c>
      <c r="BG386" s="11" t="e">
        <f t="shared" si="266"/>
        <v>#VALUE!</v>
      </c>
      <c r="BH386" t="str">
        <f t="shared" si="267"/>
        <v/>
      </c>
      <c r="BI386" t="str" cm="1">
        <f t="array" ref="BI386">_xlfn.IFS(
  L386&gt;0,"Critical Fail",
  M386&gt;0,"Important (Coaching)",
  TRUE,"Clean Pass"
)</f>
        <v>Clean Pass</v>
      </c>
      <c r="BJ386" t="str">
        <f t="shared" si="268"/>
        <v>NA</v>
      </c>
    </row>
    <row r="387" spans="1:62" x14ac:dyDescent="0.3">
      <c r="A387">
        <v>521690</v>
      </c>
      <c r="K387" t="str">
        <f t="shared" si="269"/>
        <v>Pass</v>
      </c>
      <c r="L387" s="15">
        <f t="shared" si="234"/>
        <v>0</v>
      </c>
      <c r="M387" s="15">
        <f t="shared" si="235"/>
        <v>0</v>
      </c>
      <c r="Z387" s="15">
        <f t="shared" si="236"/>
        <v>1</v>
      </c>
      <c r="AA387" s="15">
        <f t="shared" si="237"/>
        <v>1</v>
      </c>
      <c r="AB387" s="15">
        <f t="shared" si="238"/>
        <v>1</v>
      </c>
      <c r="AC387" s="15">
        <f t="shared" si="239"/>
        <v>1</v>
      </c>
      <c r="AD387" s="15">
        <f t="shared" si="240"/>
        <v>1</v>
      </c>
      <c r="AE387" s="15">
        <f t="shared" si="241"/>
        <v>1</v>
      </c>
      <c r="AF387" s="15">
        <f t="shared" si="242"/>
        <v>1</v>
      </c>
      <c r="AG387" s="15">
        <f t="shared" si="243"/>
        <v>1</v>
      </c>
      <c r="AH387" s="15">
        <f t="shared" si="244"/>
        <v>1</v>
      </c>
      <c r="AI387" s="15">
        <f t="shared" si="245"/>
        <v>1</v>
      </c>
      <c r="AJ387" s="15">
        <f t="shared" si="246"/>
        <v>1</v>
      </c>
      <c r="AK387" s="15">
        <f t="shared" si="247"/>
        <v>1</v>
      </c>
      <c r="AL387" s="15">
        <f t="shared" si="248"/>
        <v>1</v>
      </c>
      <c r="AM387" s="15">
        <f t="shared" si="249"/>
        <v>1</v>
      </c>
      <c r="AN387" s="15">
        <f t="shared" si="250"/>
        <v>1</v>
      </c>
      <c r="AO387" s="15">
        <f t="shared" si="251"/>
        <v>1</v>
      </c>
      <c r="AP387" s="15">
        <f t="shared" si="252"/>
        <v>1</v>
      </c>
      <c r="AQ387" s="15">
        <f t="shared" si="253"/>
        <v>1</v>
      </c>
      <c r="AR387" s="15">
        <f t="shared" si="254"/>
        <v>1</v>
      </c>
      <c r="AS387" s="15">
        <f t="shared" si="255"/>
        <v>1</v>
      </c>
      <c r="AT387" s="15">
        <f t="shared" si="256"/>
        <v>1</v>
      </c>
      <c r="AU387" s="15">
        <f t="shared" si="257"/>
        <v>1</v>
      </c>
      <c r="AV387" s="15">
        <f t="shared" si="258"/>
        <v>1</v>
      </c>
      <c r="AW387" s="15">
        <f t="shared" si="259"/>
        <v>1</v>
      </c>
      <c r="AX387" s="15">
        <f t="shared" si="260"/>
        <v>1</v>
      </c>
      <c r="AY387" s="15">
        <f t="shared" si="261"/>
        <v>1</v>
      </c>
      <c r="AZ387" s="15">
        <f t="shared" si="262"/>
        <v>1</v>
      </c>
      <c r="BA387" s="15">
        <f t="shared" si="263"/>
        <v>1</v>
      </c>
      <c r="BB387" s="15">
        <f t="shared" si="270"/>
        <v>0</v>
      </c>
      <c r="BC387" s="15" t="str">
        <f t="shared" si="271"/>
        <v/>
      </c>
      <c r="BD387" s="15" t="str">
        <f t="shared" si="272"/>
        <v/>
      </c>
      <c r="BE387" s="11" t="e">
        <f t="shared" si="264"/>
        <v>#VALUE!</v>
      </c>
      <c r="BF387" s="11" t="e">
        <f t="shared" si="265"/>
        <v>#VALUE!</v>
      </c>
      <c r="BG387" s="11" t="e">
        <f t="shared" si="266"/>
        <v>#VALUE!</v>
      </c>
      <c r="BH387" t="str">
        <f t="shared" si="267"/>
        <v/>
      </c>
      <c r="BI387" t="str" cm="1">
        <f t="array" ref="BI387">_xlfn.IFS(
  L387&gt;0,"Critical Fail",
  M387&gt;0,"Important (Coaching)",
  TRUE,"Clean Pass"
)</f>
        <v>Clean Pass</v>
      </c>
      <c r="BJ387" t="str">
        <f t="shared" si="268"/>
        <v>NA</v>
      </c>
    </row>
    <row r="388" spans="1:62" x14ac:dyDescent="0.3">
      <c r="A388">
        <v>341372</v>
      </c>
      <c r="K388" t="str">
        <f t="shared" si="269"/>
        <v>Pass</v>
      </c>
      <c r="L388" s="15">
        <f t="shared" si="234"/>
        <v>0</v>
      </c>
      <c r="M388" s="15">
        <f t="shared" si="235"/>
        <v>0</v>
      </c>
      <c r="Z388" s="15">
        <f t="shared" si="236"/>
        <v>1</v>
      </c>
      <c r="AA388" s="15">
        <f t="shared" si="237"/>
        <v>1</v>
      </c>
      <c r="AB388" s="15">
        <f t="shared" si="238"/>
        <v>1</v>
      </c>
      <c r="AC388" s="15">
        <f t="shared" si="239"/>
        <v>1</v>
      </c>
      <c r="AD388" s="15">
        <f t="shared" si="240"/>
        <v>1</v>
      </c>
      <c r="AE388" s="15">
        <f t="shared" si="241"/>
        <v>1</v>
      </c>
      <c r="AF388" s="15">
        <f t="shared" si="242"/>
        <v>1</v>
      </c>
      <c r="AG388" s="15">
        <f t="shared" si="243"/>
        <v>1</v>
      </c>
      <c r="AH388" s="15">
        <f t="shared" si="244"/>
        <v>1</v>
      </c>
      <c r="AI388" s="15">
        <f t="shared" si="245"/>
        <v>1</v>
      </c>
      <c r="AJ388" s="15">
        <f t="shared" si="246"/>
        <v>1</v>
      </c>
      <c r="AK388" s="15">
        <f t="shared" si="247"/>
        <v>1</v>
      </c>
      <c r="AL388" s="15">
        <f t="shared" si="248"/>
        <v>1</v>
      </c>
      <c r="AM388" s="15">
        <f t="shared" si="249"/>
        <v>1</v>
      </c>
      <c r="AN388" s="15">
        <f t="shared" si="250"/>
        <v>1</v>
      </c>
      <c r="AO388" s="15">
        <f t="shared" si="251"/>
        <v>1</v>
      </c>
      <c r="AP388" s="15">
        <f t="shared" si="252"/>
        <v>1</v>
      </c>
      <c r="AQ388" s="15">
        <f t="shared" si="253"/>
        <v>1</v>
      </c>
      <c r="AR388" s="15">
        <f t="shared" si="254"/>
        <v>1</v>
      </c>
      <c r="AS388" s="15">
        <f t="shared" si="255"/>
        <v>1</v>
      </c>
      <c r="AT388" s="15">
        <f t="shared" si="256"/>
        <v>1</v>
      </c>
      <c r="AU388" s="15">
        <f t="shared" si="257"/>
        <v>1</v>
      </c>
      <c r="AV388" s="15">
        <f t="shared" si="258"/>
        <v>1</v>
      </c>
      <c r="AW388" s="15">
        <f t="shared" si="259"/>
        <v>1</v>
      </c>
      <c r="AX388" s="15">
        <f t="shared" si="260"/>
        <v>1</v>
      </c>
      <c r="AY388" s="15">
        <f t="shared" si="261"/>
        <v>1</v>
      </c>
      <c r="AZ388" s="15">
        <f t="shared" si="262"/>
        <v>1</v>
      </c>
      <c r="BA388" s="15">
        <f t="shared" si="263"/>
        <v>1</v>
      </c>
      <c r="BB388" s="15">
        <f t="shared" si="270"/>
        <v>0</v>
      </c>
      <c r="BC388" s="15" t="str">
        <f t="shared" si="271"/>
        <v/>
      </c>
      <c r="BD388" s="15" t="str">
        <f t="shared" si="272"/>
        <v/>
      </c>
      <c r="BE388" s="11" t="e">
        <f t="shared" si="264"/>
        <v>#VALUE!</v>
      </c>
      <c r="BF388" s="11" t="e">
        <f t="shared" si="265"/>
        <v>#VALUE!</v>
      </c>
      <c r="BG388" s="11" t="e">
        <f t="shared" si="266"/>
        <v>#VALUE!</v>
      </c>
      <c r="BH388" t="str">
        <f t="shared" si="267"/>
        <v/>
      </c>
      <c r="BI388" t="str" cm="1">
        <f t="array" ref="BI388">_xlfn.IFS(
  L388&gt;0,"Critical Fail",
  M388&gt;0,"Important (Coaching)",
  TRUE,"Clean Pass"
)</f>
        <v>Clean Pass</v>
      </c>
      <c r="BJ388" t="str">
        <f t="shared" si="268"/>
        <v>NA</v>
      </c>
    </row>
    <row r="389" spans="1:62" x14ac:dyDescent="0.3">
      <c r="A389">
        <v>386355</v>
      </c>
      <c r="K389" t="str">
        <f t="shared" si="269"/>
        <v>Pass</v>
      </c>
      <c r="L389" s="15">
        <f t="shared" si="234"/>
        <v>0</v>
      </c>
      <c r="M389" s="15">
        <f t="shared" si="235"/>
        <v>0</v>
      </c>
      <c r="Z389" s="15">
        <f t="shared" si="236"/>
        <v>1</v>
      </c>
      <c r="AA389" s="15">
        <f t="shared" si="237"/>
        <v>1</v>
      </c>
      <c r="AB389" s="15">
        <f t="shared" si="238"/>
        <v>1</v>
      </c>
      <c r="AC389" s="15">
        <f t="shared" si="239"/>
        <v>1</v>
      </c>
      <c r="AD389" s="15">
        <f t="shared" si="240"/>
        <v>1</v>
      </c>
      <c r="AE389" s="15">
        <f t="shared" si="241"/>
        <v>1</v>
      </c>
      <c r="AF389" s="15">
        <f t="shared" si="242"/>
        <v>1</v>
      </c>
      <c r="AG389" s="15">
        <f t="shared" si="243"/>
        <v>1</v>
      </c>
      <c r="AH389" s="15">
        <f t="shared" si="244"/>
        <v>1</v>
      </c>
      <c r="AI389" s="15">
        <f t="shared" si="245"/>
        <v>1</v>
      </c>
      <c r="AJ389" s="15">
        <f t="shared" si="246"/>
        <v>1</v>
      </c>
      <c r="AK389" s="15">
        <f t="shared" si="247"/>
        <v>1</v>
      </c>
      <c r="AL389" s="15">
        <f t="shared" si="248"/>
        <v>1</v>
      </c>
      <c r="AM389" s="15">
        <f t="shared" si="249"/>
        <v>1</v>
      </c>
      <c r="AN389" s="15">
        <f t="shared" si="250"/>
        <v>1</v>
      </c>
      <c r="AO389" s="15">
        <f t="shared" si="251"/>
        <v>1</v>
      </c>
      <c r="AP389" s="15">
        <f t="shared" si="252"/>
        <v>1</v>
      </c>
      <c r="AQ389" s="15">
        <f t="shared" si="253"/>
        <v>1</v>
      </c>
      <c r="AR389" s="15">
        <f t="shared" si="254"/>
        <v>1</v>
      </c>
      <c r="AS389" s="15">
        <f t="shared" si="255"/>
        <v>1</v>
      </c>
      <c r="AT389" s="15">
        <f t="shared" si="256"/>
        <v>1</v>
      </c>
      <c r="AU389" s="15">
        <f t="shared" si="257"/>
        <v>1</v>
      </c>
      <c r="AV389" s="15">
        <f t="shared" si="258"/>
        <v>1</v>
      </c>
      <c r="AW389" s="15">
        <f t="shared" si="259"/>
        <v>1</v>
      </c>
      <c r="AX389" s="15">
        <f t="shared" si="260"/>
        <v>1</v>
      </c>
      <c r="AY389" s="15">
        <f t="shared" si="261"/>
        <v>1</v>
      </c>
      <c r="AZ389" s="15">
        <f t="shared" si="262"/>
        <v>1</v>
      </c>
      <c r="BA389" s="15">
        <f t="shared" si="263"/>
        <v>1</v>
      </c>
      <c r="BB389" s="15">
        <f t="shared" si="270"/>
        <v>0</v>
      </c>
      <c r="BC389" s="15" t="str">
        <f t="shared" si="271"/>
        <v/>
      </c>
      <c r="BD389" s="15" t="str">
        <f t="shared" si="272"/>
        <v/>
      </c>
      <c r="BE389" s="11" t="e">
        <f t="shared" si="264"/>
        <v>#VALUE!</v>
      </c>
      <c r="BF389" s="11" t="e">
        <f t="shared" si="265"/>
        <v>#VALUE!</v>
      </c>
      <c r="BG389" s="11" t="e">
        <f t="shared" si="266"/>
        <v>#VALUE!</v>
      </c>
      <c r="BH389" t="str">
        <f t="shared" si="267"/>
        <v/>
      </c>
      <c r="BI389" t="str" cm="1">
        <f t="array" ref="BI389">_xlfn.IFS(
  L389&gt;0,"Critical Fail",
  M389&gt;0,"Important (Coaching)",
  TRUE,"Clean Pass"
)</f>
        <v>Clean Pass</v>
      </c>
      <c r="BJ389" t="str">
        <f t="shared" si="268"/>
        <v>NA</v>
      </c>
    </row>
    <row r="390" spans="1:62" x14ac:dyDescent="0.3">
      <c r="A390">
        <v>390096</v>
      </c>
      <c r="K390" t="str">
        <f t="shared" si="269"/>
        <v>Pass</v>
      </c>
      <c r="L390" s="15">
        <f t="shared" si="234"/>
        <v>0</v>
      </c>
      <c r="M390" s="15">
        <f t="shared" si="235"/>
        <v>0</v>
      </c>
      <c r="Z390" s="15">
        <f t="shared" si="236"/>
        <v>1</v>
      </c>
      <c r="AA390" s="15">
        <f t="shared" si="237"/>
        <v>1</v>
      </c>
      <c r="AB390" s="15">
        <f t="shared" si="238"/>
        <v>1</v>
      </c>
      <c r="AC390" s="15">
        <f t="shared" si="239"/>
        <v>1</v>
      </c>
      <c r="AD390" s="15">
        <f t="shared" si="240"/>
        <v>1</v>
      </c>
      <c r="AE390" s="15">
        <f t="shared" si="241"/>
        <v>1</v>
      </c>
      <c r="AF390" s="15">
        <f t="shared" si="242"/>
        <v>1</v>
      </c>
      <c r="AG390" s="15">
        <f t="shared" si="243"/>
        <v>1</v>
      </c>
      <c r="AH390" s="15">
        <f t="shared" si="244"/>
        <v>1</v>
      </c>
      <c r="AI390" s="15">
        <f t="shared" si="245"/>
        <v>1</v>
      </c>
      <c r="AJ390" s="15">
        <f t="shared" si="246"/>
        <v>1</v>
      </c>
      <c r="AK390" s="15">
        <f t="shared" si="247"/>
        <v>1</v>
      </c>
      <c r="AL390" s="15">
        <f t="shared" si="248"/>
        <v>1</v>
      </c>
      <c r="AM390" s="15">
        <f t="shared" si="249"/>
        <v>1</v>
      </c>
      <c r="AN390" s="15">
        <f t="shared" si="250"/>
        <v>1</v>
      </c>
      <c r="AO390" s="15">
        <f t="shared" si="251"/>
        <v>1</v>
      </c>
      <c r="AP390" s="15">
        <f t="shared" si="252"/>
        <v>1</v>
      </c>
      <c r="AQ390" s="15">
        <f t="shared" si="253"/>
        <v>1</v>
      </c>
      <c r="AR390" s="15">
        <f t="shared" si="254"/>
        <v>1</v>
      </c>
      <c r="AS390" s="15">
        <f t="shared" si="255"/>
        <v>1</v>
      </c>
      <c r="AT390" s="15">
        <f t="shared" si="256"/>
        <v>1</v>
      </c>
      <c r="AU390" s="15">
        <f t="shared" si="257"/>
        <v>1</v>
      </c>
      <c r="AV390" s="15">
        <f t="shared" si="258"/>
        <v>1</v>
      </c>
      <c r="AW390" s="15">
        <f t="shared" si="259"/>
        <v>1</v>
      </c>
      <c r="AX390" s="15">
        <f t="shared" si="260"/>
        <v>1</v>
      </c>
      <c r="AY390" s="15">
        <f t="shared" si="261"/>
        <v>1</v>
      </c>
      <c r="AZ390" s="15">
        <f t="shared" si="262"/>
        <v>1</v>
      </c>
      <c r="BA390" s="15">
        <f t="shared" si="263"/>
        <v>1</v>
      </c>
      <c r="BB390" s="15">
        <f t="shared" si="270"/>
        <v>0</v>
      </c>
      <c r="BC390" s="15" t="str">
        <f t="shared" si="271"/>
        <v/>
      </c>
      <c r="BD390" s="15" t="str">
        <f t="shared" si="272"/>
        <v/>
      </c>
      <c r="BE390" s="11" t="e">
        <f t="shared" si="264"/>
        <v>#VALUE!</v>
      </c>
      <c r="BF390" s="11" t="e">
        <f t="shared" si="265"/>
        <v>#VALUE!</v>
      </c>
      <c r="BG390" s="11" t="e">
        <f t="shared" si="266"/>
        <v>#VALUE!</v>
      </c>
      <c r="BH390" t="str">
        <f t="shared" si="267"/>
        <v/>
      </c>
      <c r="BI390" t="str" cm="1">
        <f t="array" ref="BI390">_xlfn.IFS(
  L390&gt;0,"Critical Fail",
  M390&gt;0,"Important (Coaching)",
  TRUE,"Clean Pass"
)</f>
        <v>Clean Pass</v>
      </c>
      <c r="BJ390" t="str">
        <f t="shared" si="268"/>
        <v>NA</v>
      </c>
    </row>
    <row r="391" spans="1:62" x14ac:dyDescent="0.3">
      <c r="A391">
        <v>314651</v>
      </c>
      <c r="K391" t="str">
        <f t="shared" si="269"/>
        <v>Pass</v>
      </c>
      <c r="L391" s="15">
        <f t="shared" si="234"/>
        <v>0</v>
      </c>
      <c r="M391" s="15">
        <f t="shared" si="235"/>
        <v>0</v>
      </c>
      <c r="Z391" s="15">
        <f t="shared" si="236"/>
        <v>1</v>
      </c>
      <c r="AA391" s="15">
        <f t="shared" si="237"/>
        <v>1</v>
      </c>
      <c r="AB391" s="15">
        <f t="shared" si="238"/>
        <v>1</v>
      </c>
      <c r="AC391" s="15">
        <f t="shared" si="239"/>
        <v>1</v>
      </c>
      <c r="AD391" s="15">
        <f t="shared" si="240"/>
        <v>1</v>
      </c>
      <c r="AE391" s="15">
        <f t="shared" si="241"/>
        <v>1</v>
      </c>
      <c r="AF391" s="15">
        <f t="shared" si="242"/>
        <v>1</v>
      </c>
      <c r="AG391" s="15">
        <f t="shared" si="243"/>
        <v>1</v>
      </c>
      <c r="AH391" s="15">
        <f t="shared" si="244"/>
        <v>1</v>
      </c>
      <c r="AI391" s="15">
        <f t="shared" si="245"/>
        <v>1</v>
      </c>
      <c r="AJ391" s="15">
        <f t="shared" si="246"/>
        <v>1</v>
      </c>
      <c r="AK391" s="15">
        <f t="shared" si="247"/>
        <v>1</v>
      </c>
      <c r="AL391" s="15">
        <f t="shared" si="248"/>
        <v>1</v>
      </c>
      <c r="AM391" s="15">
        <f t="shared" si="249"/>
        <v>1</v>
      </c>
      <c r="AN391" s="15">
        <f t="shared" si="250"/>
        <v>1</v>
      </c>
      <c r="AO391" s="15">
        <f t="shared" si="251"/>
        <v>1</v>
      </c>
      <c r="AP391" s="15">
        <f t="shared" si="252"/>
        <v>1</v>
      </c>
      <c r="AQ391" s="15">
        <f t="shared" si="253"/>
        <v>1</v>
      </c>
      <c r="AR391" s="15">
        <f t="shared" si="254"/>
        <v>1</v>
      </c>
      <c r="AS391" s="15">
        <f t="shared" si="255"/>
        <v>1</v>
      </c>
      <c r="AT391" s="15">
        <f t="shared" si="256"/>
        <v>1</v>
      </c>
      <c r="AU391" s="15">
        <f t="shared" si="257"/>
        <v>1</v>
      </c>
      <c r="AV391" s="15">
        <f t="shared" si="258"/>
        <v>1</v>
      </c>
      <c r="AW391" s="15">
        <f t="shared" si="259"/>
        <v>1</v>
      </c>
      <c r="AX391" s="15">
        <f t="shared" si="260"/>
        <v>1</v>
      </c>
      <c r="AY391" s="15">
        <f t="shared" si="261"/>
        <v>1</v>
      </c>
      <c r="AZ391" s="15">
        <f t="shared" si="262"/>
        <v>1</v>
      </c>
      <c r="BA391" s="15">
        <f t="shared" si="263"/>
        <v>1</v>
      </c>
      <c r="BB391" s="15">
        <f t="shared" si="270"/>
        <v>0</v>
      </c>
      <c r="BC391" s="15" t="str">
        <f t="shared" si="271"/>
        <v/>
      </c>
      <c r="BD391" s="15" t="str">
        <f t="shared" si="272"/>
        <v/>
      </c>
      <c r="BE391" s="11" t="e">
        <f t="shared" si="264"/>
        <v>#VALUE!</v>
      </c>
      <c r="BF391" s="11" t="e">
        <f t="shared" si="265"/>
        <v>#VALUE!</v>
      </c>
      <c r="BG391" s="11" t="e">
        <f t="shared" si="266"/>
        <v>#VALUE!</v>
      </c>
      <c r="BH391" t="str">
        <f t="shared" si="267"/>
        <v/>
      </c>
      <c r="BI391" t="str" cm="1">
        <f t="array" ref="BI391">_xlfn.IFS(
  L391&gt;0,"Critical Fail",
  M391&gt;0,"Important (Coaching)",
  TRUE,"Clean Pass"
)</f>
        <v>Clean Pass</v>
      </c>
      <c r="BJ391" t="str">
        <f t="shared" si="268"/>
        <v>NA</v>
      </c>
    </row>
    <row r="392" spans="1:62" x14ac:dyDescent="0.3">
      <c r="A392">
        <v>195567</v>
      </c>
      <c r="K392" t="str">
        <f t="shared" si="269"/>
        <v>Pass</v>
      </c>
      <c r="L392" s="15">
        <f t="shared" si="234"/>
        <v>0</v>
      </c>
      <c r="M392" s="15">
        <f t="shared" si="235"/>
        <v>0</v>
      </c>
      <c r="Z392" s="15">
        <f t="shared" si="236"/>
        <v>1</v>
      </c>
      <c r="AA392" s="15">
        <f t="shared" si="237"/>
        <v>1</v>
      </c>
      <c r="AB392" s="15">
        <f t="shared" si="238"/>
        <v>1</v>
      </c>
      <c r="AC392" s="15">
        <f t="shared" si="239"/>
        <v>1</v>
      </c>
      <c r="AD392" s="15">
        <f t="shared" si="240"/>
        <v>1</v>
      </c>
      <c r="AE392" s="15">
        <f t="shared" si="241"/>
        <v>1</v>
      </c>
      <c r="AF392" s="15">
        <f t="shared" si="242"/>
        <v>1</v>
      </c>
      <c r="AG392" s="15">
        <f t="shared" si="243"/>
        <v>1</v>
      </c>
      <c r="AH392" s="15">
        <f t="shared" si="244"/>
        <v>1</v>
      </c>
      <c r="AI392" s="15">
        <f t="shared" si="245"/>
        <v>1</v>
      </c>
      <c r="AJ392" s="15">
        <f t="shared" si="246"/>
        <v>1</v>
      </c>
      <c r="AK392" s="15">
        <f t="shared" si="247"/>
        <v>1</v>
      </c>
      <c r="AL392" s="15">
        <f t="shared" si="248"/>
        <v>1</v>
      </c>
      <c r="AM392" s="15">
        <f t="shared" si="249"/>
        <v>1</v>
      </c>
      <c r="AN392" s="15">
        <f t="shared" si="250"/>
        <v>1</v>
      </c>
      <c r="AO392" s="15">
        <f t="shared" si="251"/>
        <v>1</v>
      </c>
      <c r="AP392" s="15">
        <f t="shared" si="252"/>
        <v>1</v>
      </c>
      <c r="AQ392" s="15">
        <f t="shared" si="253"/>
        <v>1</v>
      </c>
      <c r="AR392" s="15">
        <f t="shared" si="254"/>
        <v>1</v>
      </c>
      <c r="AS392" s="15">
        <f t="shared" si="255"/>
        <v>1</v>
      </c>
      <c r="AT392" s="15">
        <f t="shared" si="256"/>
        <v>1</v>
      </c>
      <c r="AU392" s="15">
        <f t="shared" si="257"/>
        <v>1</v>
      </c>
      <c r="AV392" s="15">
        <f t="shared" si="258"/>
        <v>1</v>
      </c>
      <c r="AW392" s="15">
        <f t="shared" si="259"/>
        <v>1</v>
      </c>
      <c r="AX392" s="15">
        <f t="shared" si="260"/>
        <v>1</v>
      </c>
      <c r="AY392" s="15">
        <f t="shared" si="261"/>
        <v>1</v>
      </c>
      <c r="AZ392" s="15">
        <f t="shared" si="262"/>
        <v>1</v>
      </c>
      <c r="BA392" s="15">
        <f t="shared" si="263"/>
        <v>1</v>
      </c>
      <c r="BB392" s="15">
        <f t="shared" si="270"/>
        <v>0</v>
      </c>
      <c r="BC392" s="15" t="str">
        <f t="shared" si="271"/>
        <v/>
      </c>
      <c r="BD392" s="15" t="str">
        <f t="shared" si="272"/>
        <v/>
      </c>
      <c r="BE392" s="11" t="e">
        <f t="shared" si="264"/>
        <v>#VALUE!</v>
      </c>
      <c r="BF392" s="11" t="e">
        <f t="shared" si="265"/>
        <v>#VALUE!</v>
      </c>
      <c r="BG392" s="11" t="e">
        <f t="shared" si="266"/>
        <v>#VALUE!</v>
      </c>
      <c r="BH392" t="str">
        <f t="shared" si="267"/>
        <v/>
      </c>
      <c r="BI392" t="str" cm="1">
        <f t="array" ref="BI392">_xlfn.IFS(
  L392&gt;0,"Critical Fail",
  M392&gt;0,"Important (Coaching)",
  TRUE,"Clean Pass"
)</f>
        <v>Clean Pass</v>
      </c>
      <c r="BJ392" t="str">
        <f t="shared" si="268"/>
        <v>NA</v>
      </c>
    </row>
    <row r="393" spans="1:62" x14ac:dyDescent="0.3">
      <c r="A393">
        <v>482124</v>
      </c>
      <c r="K393" t="str">
        <f t="shared" si="269"/>
        <v>Pass</v>
      </c>
      <c r="L393" s="15">
        <f t="shared" si="234"/>
        <v>0</v>
      </c>
      <c r="M393" s="15">
        <f t="shared" si="235"/>
        <v>0</v>
      </c>
      <c r="Z393" s="15">
        <f t="shared" si="236"/>
        <v>1</v>
      </c>
      <c r="AA393" s="15">
        <f t="shared" si="237"/>
        <v>1</v>
      </c>
      <c r="AB393" s="15">
        <f t="shared" si="238"/>
        <v>1</v>
      </c>
      <c r="AC393" s="15">
        <f t="shared" si="239"/>
        <v>1</v>
      </c>
      <c r="AD393" s="15">
        <f t="shared" si="240"/>
        <v>1</v>
      </c>
      <c r="AE393" s="15">
        <f t="shared" si="241"/>
        <v>1</v>
      </c>
      <c r="AF393" s="15">
        <f t="shared" si="242"/>
        <v>1</v>
      </c>
      <c r="AG393" s="15">
        <f t="shared" si="243"/>
        <v>1</v>
      </c>
      <c r="AH393" s="15">
        <f t="shared" si="244"/>
        <v>1</v>
      </c>
      <c r="AI393" s="15">
        <f t="shared" si="245"/>
        <v>1</v>
      </c>
      <c r="AJ393" s="15">
        <f t="shared" si="246"/>
        <v>1</v>
      </c>
      <c r="AK393" s="15">
        <f t="shared" si="247"/>
        <v>1</v>
      </c>
      <c r="AL393" s="15">
        <f t="shared" si="248"/>
        <v>1</v>
      </c>
      <c r="AM393" s="15">
        <f t="shared" si="249"/>
        <v>1</v>
      </c>
      <c r="AN393" s="15">
        <f t="shared" si="250"/>
        <v>1</v>
      </c>
      <c r="AO393" s="15">
        <f t="shared" si="251"/>
        <v>1</v>
      </c>
      <c r="AP393" s="15">
        <f t="shared" si="252"/>
        <v>1</v>
      </c>
      <c r="AQ393" s="15">
        <f t="shared" si="253"/>
        <v>1</v>
      </c>
      <c r="AR393" s="15">
        <f t="shared" si="254"/>
        <v>1</v>
      </c>
      <c r="AS393" s="15">
        <f t="shared" si="255"/>
        <v>1</v>
      </c>
      <c r="AT393" s="15">
        <f t="shared" si="256"/>
        <v>1</v>
      </c>
      <c r="AU393" s="15">
        <f t="shared" si="257"/>
        <v>1</v>
      </c>
      <c r="AV393" s="15">
        <f t="shared" si="258"/>
        <v>1</v>
      </c>
      <c r="AW393" s="15">
        <f t="shared" si="259"/>
        <v>1</v>
      </c>
      <c r="AX393" s="15">
        <f t="shared" si="260"/>
        <v>1</v>
      </c>
      <c r="AY393" s="15">
        <f t="shared" si="261"/>
        <v>1</v>
      </c>
      <c r="AZ393" s="15">
        <f t="shared" si="262"/>
        <v>1</v>
      </c>
      <c r="BA393" s="15">
        <f t="shared" si="263"/>
        <v>1</v>
      </c>
      <c r="BB393" s="15">
        <f t="shared" si="270"/>
        <v>0</v>
      </c>
      <c r="BC393" s="15" t="str">
        <f t="shared" si="271"/>
        <v/>
      </c>
      <c r="BD393" s="15" t="str">
        <f t="shared" si="272"/>
        <v/>
      </c>
      <c r="BE393" s="11" t="e">
        <f t="shared" si="264"/>
        <v>#VALUE!</v>
      </c>
      <c r="BF393" s="11" t="e">
        <f t="shared" si="265"/>
        <v>#VALUE!</v>
      </c>
      <c r="BG393" s="11" t="e">
        <f t="shared" si="266"/>
        <v>#VALUE!</v>
      </c>
      <c r="BH393" t="str">
        <f t="shared" si="267"/>
        <v/>
      </c>
      <c r="BI393" t="str" cm="1">
        <f t="array" ref="BI393">_xlfn.IFS(
  L393&gt;0,"Critical Fail",
  M393&gt;0,"Important (Coaching)",
  TRUE,"Clean Pass"
)</f>
        <v>Clean Pass</v>
      </c>
      <c r="BJ393" t="str">
        <f t="shared" si="268"/>
        <v>NA</v>
      </c>
    </row>
    <row r="394" spans="1:62" x14ac:dyDescent="0.3">
      <c r="A394">
        <v>743059</v>
      </c>
      <c r="K394" t="str">
        <f t="shared" si="269"/>
        <v>Pass</v>
      </c>
      <c r="L394" s="15">
        <f t="shared" si="234"/>
        <v>0</v>
      </c>
      <c r="M394" s="15">
        <f t="shared" si="235"/>
        <v>0</v>
      </c>
      <c r="Z394" s="15">
        <f t="shared" si="236"/>
        <v>1</v>
      </c>
      <c r="AA394" s="15">
        <f t="shared" si="237"/>
        <v>1</v>
      </c>
      <c r="AB394" s="15">
        <f t="shared" si="238"/>
        <v>1</v>
      </c>
      <c r="AC394" s="15">
        <f t="shared" si="239"/>
        <v>1</v>
      </c>
      <c r="AD394" s="15">
        <f t="shared" si="240"/>
        <v>1</v>
      </c>
      <c r="AE394" s="15">
        <f t="shared" si="241"/>
        <v>1</v>
      </c>
      <c r="AF394" s="15">
        <f t="shared" si="242"/>
        <v>1</v>
      </c>
      <c r="AG394" s="15">
        <f t="shared" si="243"/>
        <v>1</v>
      </c>
      <c r="AH394" s="15">
        <f t="shared" si="244"/>
        <v>1</v>
      </c>
      <c r="AI394" s="15">
        <f t="shared" si="245"/>
        <v>1</v>
      </c>
      <c r="AJ394" s="15">
        <f t="shared" si="246"/>
        <v>1</v>
      </c>
      <c r="AK394" s="15">
        <f t="shared" si="247"/>
        <v>1</v>
      </c>
      <c r="AL394" s="15">
        <f t="shared" si="248"/>
        <v>1</v>
      </c>
      <c r="AM394" s="15">
        <f t="shared" si="249"/>
        <v>1</v>
      </c>
      <c r="AN394" s="15">
        <f t="shared" si="250"/>
        <v>1</v>
      </c>
      <c r="AO394" s="15">
        <f t="shared" si="251"/>
        <v>1</v>
      </c>
      <c r="AP394" s="15">
        <f t="shared" si="252"/>
        <v>1</v>
      </c>
      <c r="AQ394" s="15">
        <f t="shared" si="253"/>
        <v>1</v>
      </c>
      <c r="AR394" s="15">
        <f t="shared" si="254"/>
        <v>1</v>
      </c>
      <c r="AS394" s="15">
        <f t="shared" si="255"/>
        <v>1</v>
      </c>
      <c r="AT394" s="15">
        <f t="shared" si="256"/>
        <v>1</v>
      </c>
      <c r="AU394" s="15">
        <f t="shared" si="257"/>
        <v>1</v>
      </c>
      <c r="AV394" s="15">
        <f t="shared" si="258"/>
        <v>1</v>
      </c>
      <c r="AW394" s="15">
        <f t="shared" si="259"/>
        <v>1</v>
      </c>
      <c r="AX394" s="15">
        <f t="shared" si="260"/>
        <v>1</v>
      </c>
      <c r="AY394" s="15">
        <f t="shared" si="261"/>
        <v>1</v>
      </c>
      <c r="AZ394" s="15">
        <f t="shared" si="262"/>
        <v>1</v>
      </c>
      <c r="BA394" s="15">
        <f t="shared" si="263"/>
        <v>1</v>
      </c>
      <c r="BB394" s="15">
        <f t="shared" si="270"/>
        <v>0</v>
      </c>
      <c r="BC394" s="15" t="str">
        <f t="shared" si="271"/>
        <v/>
      </c>
      <c r="BD394" s="15" t="str">
        <f t="shared" si="272"/>
        <v/>
      </c>
      <c r="BE394" s="11" t="e">
        <f t="shared" si="264"/>
        <v>#VALUE!</v>
      </c>
      <c r="BF394" s="11" t="e">
        <f t="shared" si="265"/>
        <v>#VALUE!</v>
      </c>
      <c r="BG394" s="11" t="e">
        <f t="shared" si="266"/>
        <v>#VALUE!</v>
      </c>
      <c r="BH394" t="str">
        <f t="shared" si="267"/>
        <v/>
      </c>
      <c r="BI394" t="str" cm="1">
        <f t="array" ref="BI394">_xlfn.IFS(
  L394&gt;0,"Critical Fail",
  M394&gt;0,"Important (Coaching)",
  TRUE,"Clean Pass"
)</f>
        <v>Clean Pass</v>
      </c>
      <c r="BJ394" t="str">
        <f t="shared" si="268"/>
        <v>NA</v>
      </c>
    </row>
    <row r="395" spans="1:62" x14ac:dyDescent="0.3">
      <c r="A395">
        <v>213931</v>
      </c>
      <c r="K395" t="str">
        <f t="shared" si="269"/>
        <v>Pass</v>
      </c>
      <c r="L395" s="15">
        <f t="shared" si="234"/>
        <v>0</v>
      </c>
      <c r="M395" s="15">
        <f t="shared" si="235"/>
        <v>0</v>
      </c>
      <c r="Z395" s="15">
        <f t="shared" si="236"/>
        <v>1</v>
      </c>
      <c r="AA395" s="15">
        <f t="shared" si="237"/>
        <v>1</v>
      </c>
      <c r="AB395" s="15">
        <f t="shared" si="238"/>
        <v>1</v>
      </c>
      <c r="AC395" s="15">
        <f t="shared" si="239"/>
        <v>1</v>
      </c>
      <c r="AD395" s="15">
        <f t="shared" si="240"/>
        <v>1</v>
      </c>
      <c r="AE395" s="15">
        <f t="shared" si="241"/>
        <v>1</v>
      </c>
      <c r="AF395" s="15">
        <f t="shared" si="242"/>
        <v>1</v>
      </c>
      <c r="AG395" s="15">
        <f t="shared" si="243"/>
        <v>1</v>
      </c>
      <c r="AH395" s="15">
        <f t="shared" si="244"/>
        <v>1</v>
      </c>
      <c r="AI395" s="15">
        <f t="shared" si="245"/>
        <v>1</v>
      </c>
      <c r="AJ395" s="15">
        <f t="shared" si="246"/>
        <v>1</v>
      </c>
      <c r="AK395" s="15">
        <f t="shared" si="247"/>
        <v>1</v>
      </c>
      <c r="AL395" s="15">
        <f t="shared" si="248"/>
        <v>1</v>
      </c>
      <c r="AM395" s="15">
        <f t="shared" si="249"/>
        <v>1</v>
      </c>
      <c r="AN395" s="15">
        <f t="shared" si="250"/>
        <v>1</v>
      </c>
      <c r="AO395" s="15">
        <f t="shared" si="251"/>
        <v>1</v>
      </c>
      <c r="AP395" s="15">
        <f t="shared" si="252"/>
        <v>1</v>
      </c>
      <c r="AQ395" s="15">
        <f t="shared" si="253"/>
        <v>1</v>
      </c>
      <c r="AR395" s="15">
        <f t="shared" si="254"/>
        <v>1</v>
      </c>
      <c r="AS395" s="15">
        <f t="shared" si="255"/>
        <v>1</v>
      </c>
      <c r="AT395" s="15">
        <f t="shared" si="256"/>
        <v>1</v>
      </c>
      <c r="AU395" s="15">
        <f t="shared" si="257"/>
        <v>1</v>
      </c>
      <c r="AV395" s="15">
        <f t="shared" si="258"/>
        <v>1</v>
      </c>
      <c r="AW395" s="15">
        <f t="shared" si="259"/>
        <v>1</v>
      </c>
      <c r="AX395" s="15">
        <f t="shared" si="260"/>
        <v>1</v>
      </c>
      <c r="AY395" s="15">
        <f t="shared" si="261"/>
        <v>1</v>
      </c>
      <c r="AZ395" s="15">
        <f t="shared" si="262"/>
        <v>1</v>
      </c>
      <c r="BA395" s="15">
        <f t="shared" si="263"/>
        <v>1</v>
      </c>
      <c r="BB395" s="15">
        <f t="shared" si="270"/>
        <v>0</v>
      </c>
      <c r="BC395" s="15" t="str">
        <f t="shared" si="271"/>
        <v/>
      </c>
      <c r="BD395" s="15" t="str">
        <f t="shared" si="272"/>
        <v/>
      </c>
      <c r="BE395" s="11" t="e">
        <f t="shared" si="264"/>
        <v>#VALUE!</v>
      </c>
      <c r="BF395" s="11" t="e">
        <f t="shared" si="265"/>
        <v>#VALUE!</v>
      </c>
      <c r="BG395" s="11" t="e">
        <f t="shared" si="266"/>
        <v>#VALUE!</v>
      </c>
      <c r="BH395" t="str">
        <f t="shared" si="267"/>
        <v/>
      </c>
      <c r="BI395" t="str" cm="1">
        <f t="array" ref="BI395">_xlfn.IFS(
  L395&gt;0,"Critical Fail",
  M395&gt;0,"Important (Coaching)",
  TRUE,"Clean Pass"
)</f>
        <v>Clean Pass</v>
      </c>
      <c r="BJ395" t="str">
        <f t="shared" si="268"/>
        <v>NA</v>
      </c>
    </row>
    <row r="396" spans="1:62" x14ac:dyDescent="0.3">
      <c r="A396">
        <v>209521</v>
      </c>
      <c r="K396" t="str">
        <f t="shared" si="269"/>
        <v>Pass</v>
      </c>
      <c r="L396" s="15">
        <f t="shared" si="234"/>
        <v>0</v>
      </c>
      <c r="M396" s="15">
        <f t="shared" si="235"/>
        <v>0</v>
      </c>
      <c r="Z396" s="15">
        <f t="shared" si="236"/>
        <v>1</v>
      </c>
      <c r="AA396" s="15">
        <f t="shared" si="237"/>
        <v>1</v>
      </c>
      <c r="AB396" s="15">
        <f t="shared" si="238"/>
        <v>1</v>
      </c>
      <c r="AC396" s="15">
        <f t="shared" si="239"/>
        <v>1</v>
      </c>
      <c r="AD396" s="15">
        <f t="shared" si="240"/>
        <v>1</v>
      </c>
      <c r="AE396" s="15">
        <f t="shared" si="241"/>
        <v>1</v>
      </c>
      <c r="AF396" s="15">
        <f t="shared" si="242"/>
        <v>1</v>
      </c>
      <c r="AG396" s="15">
        <f t="shared" si="243"/>
        <v>1</v>
      </c>
      <c r="AH396" s="15">
        <f t="shared" si="244"/>
        <v>1</v>
      </c>
      <c r="AI396" s="15">
        <f t="shared" si="245"/>
        <v>1</v>
      </c>
      <c r="AJ396" s="15">
        <f t="shared" si="246"/>
        <v>1</v>
      </c>
      <c r="AK396" s="15">
        <f t="shared" si="247"/>
        <v>1</v>
      </c>
      <c r="AL396" s="15">
        <f t="shared" si="248"/>
        <v>1</v>
      </c>
      <c r="AM396" s="15">
        <f t="shared" si="249"/>
        <v>1</v>
      </c>
      <c r="AN396" s="15">
        <f t="shared" si="250"/>
        <v>1</v>
      </c>
      <c r="AO396" s="15">
        <f t="shared" si="251"/>
        <v>1</v>
      </c>
      <c r="AP396" s="15">
        <f t="shared" si="252"/>
        <v>1</v>
      </c>
      <c r="AQ396" s="15">
        <f t="shared" si="253"/>
        <v>1</v>
      </c>
      <c r="AR396" s="15">
        <f t="shared" si="254"/>
        <v>1</v>
      </c>
      <c r="AS396" s="15">
        <f t="shared" si="255"/>
        <v>1</v>
      </c>
      <c r="AT396" s="15">
        <f t="shared" si="256"/>
        <v>1</v>
      </c>
      <c r="AU396" s="15">
        <f t="shared" si="257"/>
        <v>1</v>
      </c>
      <c r="AV396" s="15">
        <f t="shared" si="258"/>
        <v>1</v>
      </c>
      <c r="AW396" s="15">
        <f t="shared" si="259"/>
        <v>1</v>
      </c>
      <c r="AX396" s="15">
        <f t="shared" si="260"/>
        <v>1</v>
      </c>
      <c r="AY396" s="15">
        <f t="shared" si="261"/>
        <v>1</v>
      </c>
      <c r="AZ396" s="15">
        <f t="shared" si="262"/>
        <v>1</v>
      </c>
      <c r="BA396" s="15">
        <f t="shared" si="263"/>
        <v>1</v>
      </c>
      <c r="BB396" s="15">
        <f t="shared" si="270"/>
        <v>0</v>
      </c>
      <c r="BC396" s="15" t="str">
        <f t="shared" si="271"/>
        <v/>
      </c>
      <c r="BD396" s="15" t="str">
        <f t="shared" si="272"/>
        <v/>
      </c>
      <c r="BE396" s="11" t="e">
        <f t="shared" si="264"/>
        <v>#VALUE!</v>
      </c>
      <c r="BF396" s="11" t="e">
        <f t="shared" si="265"/>
        <v>#VALUE!</v>
      </c>
      <c r="BG396" s="11" t="e">
        <f t="shared" si="266"/>
        <v>#VALUE!</v>
      </c>
      <c r="BH396" t="str">
        <f t="shared" si="267"/>
        <v/>
      </c>
      <c r="BI396" t="str" cm="1">
        <f t="array" ref="BI396">_xlfn.IFS(
  L396&gt;0,"Critical Fail",
  M396&gt;0,"Important (Coaching)",
  TRUE,"Clean Pass"
)</f>
        <v>Clean Pass</v>
      </c>
      <c r="BJ396" t="str">
        <f t="shared" si="268"/>
        <v>NA</v>
      </c>
    </row>
    <row r="397" spans="1:62" x14ac:dyDescent="0.3">
      <c r="A397">
        <v>991611</v>
      </c>
      <c r="K397" t="str">
        <f t="shared" si="269"/>
        <v>Pass</v>
      </c>
      <c r="L397" s="15">
        <f t="shared" si="234"/>
        <v>0</v>
      </c>
      <c r="M397" s="15">
        <f t="shared" si="235"/>
        <v>0</v>
      </c>
      <c r="Z397" s="15">
        <f t="shared" si="236"/>
        <v>1</v>
      </c>
      <c r="AA397" s="15">
        <f t="shared" si="237"/>
        <v>1</v>
      </c>
      <c r="AB397" s="15">
        <f t="shared" si="238"/>
        <v>1</v>
      </c>
      <c r="AC397" s="15">
        <f t="shared" si="239"/>
        <v>1</v>
      </c>
      <c r="AD397" s="15">
        <f t="shared" si="240"/>
        <v>1</v>
      </c>
      <c r="AE397" s="15">
        <f t="shared" si="241"/>
        <v>1</v>
      </c>
      <c r="AF397" s="15">
        <f t="shared" si="242"/>
        <v>1</v>
      </c>
      <c r="AG397" s="15">
        <f t="shared" si="243"/>
        <v>1</v>
      </c>
      <c r="AH397" s="15">
        <f t="shared" si="244"/>
        <v>1</v>
      </c>
      <c r="AI397" s="15">
        <f t="shared" si="245"/>
        <v>1</v>
      </c>
      <c r="AJ397" s="15">
        <f t="shared" si="246"/>
        <v>1</v>
      </c>
      <c r="AK397" s="15">
        <f t="shared" si="247"/>
        <v>1</v>
      </c>
      <c r="AL397" s="15">
        <f t="shared" si="248"/>
        <v>1</v>
      </c>
      <c r="AM397" s="15">
        <f t="shared" si="249"/>
        <v>1</v>
      </c>
      <c r="AN397" s="15">
        <f t="shared" si="250"/>
        <v>1</v>
      </c>
      <c r="AO397" s="15">
        <f t="shared" si="251"/>
        <v>1</v>
      </c>
      <c r="AP397" s="15">
        <f t="shared" si="252"/>
        <v>1</v>
      </c>
      <c r="AQ397" s="15">
        <f t="shared" si="253"/>
        <v>1</v>
      </c>
      <c r="AR397" s="15">
        <f t="shared" si="254"/>
        <v>1</v>
      </c>
      <c r="AS397" s="15">
        <f t="shared" si="255"/>
        <v>1</v>
      </c>
      <c r="AT397" s="15">
        <f t="shared" si="256"/>
        <v>1</v>
      </c>
      <c r="AU397" s="15">
        <f t="shared" si="257"/>
        <v>1</v>
      </c>
      <c r="AV397" s="15">
        <f t="shared" si="258"/>
        <v>1</v>
      </c>
      <c r="AW397" s="15">
        <f t="shared" si="259"/>
        <v>1</v>
      </c>
      <c r="AX397" s="15">
        <f t="shared" si="260"/>
        <v>1</v>
      </c>
      <c r="AY397" s="15">
        <f t="shared" si="261"/>
        <v>1</v>
      </c>
      <c r="AZ397" s="15">
        <f t="shared" si="262"/>
        <v>1</v>
      </c>
      <c r="BA397" s="15">
        <f t="shared" si="263"/>
        <v>1</v>
      </c>
      <c r="BB397" s="15">
        <f t="shared" si="270"/>
        <v>0</v>
      </c>
      <c r="BC397" s="15" t="str">
        <f t="shared" si="271"/>
        <v/>
      </c>
      <c r="BD397" s="15" t="str">
        <f t="shared" si="272"/>
        <v/>
      </c>
      <c r="BE397" s="11" t="e">
        <f t="shared" si="264"/>
        <v>#VALUE!</v>
      </c>
      <c r="BF397" s="11" t="e">
        <f t="shared" si="265"/>
        <v>#VALUE!</v>
      </c>
      <c r="BG397" s="11" t="e">
        <f t="shared" si="266"/>
        <v>#VALUE!</v>
      </c>
      <c r="BH397" t="str">
        <f t="shared" si="267"/>
        <v/>
      </c>
      <c r="BI397" t="str" cm="1">
        <f t="array" ref="BI397">_xlfn.IFS(
  L397&gt;0,"Critical Fail",
  M397&gt;0,"Important (Coaching)",
  TRUE,"Clean Pass"
)</f>
        <v>Clean Pass</v>
      </c>
      <c r="BJ397" t="str">
        <f t="shared" si="268"/>
        <v>NA</v>
      </c>
    </row>
    <row r="398" spans="1:62" x14ac:dyDescent="0.3">
      <c r="A398">
        <v>956266</v>
      </c>
      <c r="K398" t="str">
        <f t="shared" si="269"/>
        <v>Pass</v>
      </c>
      <c r="L398" s="15">
        <f t="shared" si="234"/>
        <v>0</v>
      </c>
      <c r="M398" s="15">
        <f t="shared" si="235"/>
        <v>0</v>
      </c>
      <c r="Z398" s="15">
        <f t="shared" si="236"/>
        <v>1</v>
      </c>
      <c r="AA398" s="15">
        <f t="shared" si="237"/>
        <v>1</v>
      </c>
      <c r="AB398" s="15">
        <f t="shared" si="238"/>
        <v>1</v>
      </c>
      <c r="AC398" s="15">
        <f t="shared" si="239"/>
        <v>1</v>
      </c>
      <c r="AD398" s="15">
        <f t="shared" si="240"/>
        <v>1</v>
      </c>
      <c r="AE398" s="15">
        <f t="shared" si="241"/>
        <v>1</v>
      </c>
      <c r="AF398" s="15">
        <f t="shared" si="242"/>
        <v>1</v>
      </c>
      <c r="AG398" s="15">
        <f t="shared" si="243"/>
        <v>1</v>
      </c>
      <c r="AH398" s="15">
        <f t="shared" si="244"/>
        <v>1</v>
      </c>
      <c r="AI398" s="15">
        <f t="shared" si="245"/>
        <v>1</v>
      </c>
      <c r="AJ398" s="15">
        <f t="shared" si="246"/>
        <v>1</v>
      </c>
      <c r="AK398" s="15">
        <f t="shared" si="247"/>
        <v>1</v>
      </c>
      <c r="AL398" s="15">
        <f t="shared" si="248"/>
        <v>1</v>
      </c>
      <c r="AM398" s="15">
        <f t="shared" si="249"/>
        <v>1</v>
      </c>
      <c r="AN398" s="15">
        <f t="shared" si="250"/>
        <v>1</v>
      </c>
      <c r="AO398" s="15">
        <f t="shared" si="251"/>
        <v>1</v>
      </c>
      <c r="AP398" s="15">
        <f t="shared" si="252"/>
        <v>1</v>
      </c>
      <c r="AQ398" s="15">
        <f t="shared" si="253"/>
        <v>1</v>
      </c>
      <c r="AR398" s="15">
        <f t="shared" si="254"/>
        <v>1</v>
      </c>
      <c r="AS398" s="15">
        <f t="shared" si="255"/>
        <v>1</v>
      </c>
      <c r="AT398" s="15">
        <f t="shared" si="256"/>
        <v>1</v>
      </c>
      <c r="AU398" s="15">
        <f t="shared" si="257"/>
        <v>1</v>
      </c>
      <c r="AV398" s="15">
        <f t="shared" si="258"/>
        <v>1</v>
      </c>
      <c r="AW398" s="15">
        <f t="shared" si="259"/>
        <v>1</v>
      </c>
      <c r="AX398" s="15">
        <f t="shared" si="260"/>
        <v>1</v>
      </c>
      <c r="AY398" s="15">
        <f t="shared" si="261"/>
        <v>1</v>
      </c>
      <c r="AZ398" s="15">
        <f t="shared" si="262"/>
        <v>1</v>
      </c>
      <c r="BA398" s="15">
        <f t="shared" si="263"/>
        <v>1</v>
      </c>
      <c r="BB398" s="15">
        <f t="shared" si="270"/>
        <v>0</v>
      </c>
      <c r="BC398" s="15" t="str">
        <f t="shared" si="271"/>
        <v/>
      </c>
      <c r="BD398" s="15" t="str">
        <f t="shared" si="272"/>
        <v/>
      </c>
      <c r="BE398" s="11" t="e">
        <f t="shared" si="264"/>
        <v>#VALUE!</v>
      </c>
      <c r="BF398" s="11" t="e">
        <f t="shared" si="265"/>
        <v>#VALUE!</v>
      </c>
      <c r="BG398" s="11" t="e">
        <f t="shared" si="266"/>
        <v>#VALUE!</v>
      </c>
      <c r="BH398" t="str">
        <f t="shared" si="267"/>
        <v/>
      </c>
      <c r="BI398" t="str" cm="1">
        <f t="array" ref="BI398">_xlfn.IFS(
  L398&gt;0,"Critical Fail",
  M398&gt;0,"Important (Coaching)",
  TRUE,"Clean Pass"
)</f>
        <v>Clean Pass</v>
      </c>
      <c r="BJ398" t="str">
        <f t="shared" si="268"/>
        <v>NA</v>
      </c>
    </row>
    <row r="399" spans="1:62" x14ac:dyDescent="0.3">
      <c r="A399">
        <v>874407</v>
      </c>
      <c r="K399" t="str">
        <f t="shared" si="269"/>
        <v>Pass</v>
      </c>
      <c r="L399" s="15">
        <f t="shared" si="234"/>
        <v>0</v>
      </c>
      <c r="M399" s="15">
        <f t="shared" si="235"/>
        <v>0</v>
      </c>
      <c r="Z399" s="15">
        <f t="shared" si="236"/>
        <v>1</v>
      </c>
      <c r="AA399" s="15">
        <f t="shared" si="237"/>
        <v>1</v>
      </c>
      <c r="AB399" s="15">
        <f t="shared" si="238"/>
        <v>1</v>
      </c>
      <c r="AC399" s="15">
        <f t="shared" si="239"/>
        <v>1</v>
      </c>
      <c r="AD399" s="15">
        <f t="shared" si="240"/>
        <v>1</v>
      </c>
      <c r="AE399" s="15">
        <f t="shared" si="241"/>
        <v>1</v>
      </c>
      <c r="AF399" s="15">
        <f t="shared" si="242"/>
        <v>1</v>
      </c>
      <c r="AG399" s="15">
        <f t="shared" si="243"/>
        <v>1</v>
      </c>
      <c r="AH399" s="15">
        <f t="shared" si="244"/>
        <v>1</v>
      </c>
      <c r="AI399" s="15">
        <f t="shared" si="245"/>
        <v>1</v>
      </c>
      <c r="AJ399" s="15">
        <f t="shared" si="246"/>
        <v>1</v>
      </c>
      <c r="AK399" s="15">
        <f t="shared" si="247"/>
        <v>1</v>
      </c>
      <c r="AL399" s="15">
        <f t="shared" si="248"/>
        <v>1</v>
      </c>
      <c r="AM399" s="15">
        <f t="shared" si="249"/>
        <v>1</v>
      </c>
      <c r="AN399" s="15">
        <f t="shared" si="250"/>
        <v>1</v>
      </c>
      <c r="AO399" s="15">
        <f t="shared" si="251"/>
        <v>1</v>
      </c>
      <c r="AP399" s="15">
        <f t="shared" si="252"/>
        <v>1</v>
      </c>
      <c r="AQ399" s="15">
        <f t="shared" si="253"/>
        <v>1</v>
      </c>
      <c r="AR399" s="15">
        <f t="shared" si="254"/>
        <v>1</v>
      </c>
      <c r="AS399" s="15">
        <f t="shared" si="255"/>
        <v>1</v>
      </c>
      <c r="AT399" s="15">
        <f t="shared" si="256"/>
        <v>1</v>
      </c>
      <c r="AU399" s="15">
        <f t="shared" si="257"/>
        <v>1</v>
      </c>
      <c r="AV399" s="15">
        <f t="shared" si="258"/>
        <v>1</v>
      </c>
      <c r="AW399" s="15">
        <f t="shared" si="259"/>
        <v>1</v>
      </c>
      <c r="AX399" s="15">
        <f t="shared" si="260"/>
        <v>1</v>
      </c>
      <c r="AY399" s="15">
        <f t="shared" si="261"/>
        <v>1</v>
      </c>
      <c r="AZ399" s="15">
        <f t="shared" si="262"/>
        <v>1</v>
      </c>
      <c r="BA399" s="15">
        <f t="shared" si="263"/>
        <v>1</v>
      </c>
      <c r="BB399" s="15">
        <f t="shared" si="270"/>
        <v>0</v>
      </c>
      <c r="BC399" s="15" t="str">
        <f t="shared" si="271"/>
        <v/>
      </c>
      <c r="BD399" s="15" t="str">
        <f t="shared" si="272"/>
        <v/>
      </c>
      <c r="BE399" s="11" t="e">
        <f t="shared" si="264"/>
        <v>#VALUE!</v>
      </c>
      <c r="BF399" s="11" t="e">
        <f t="shared" si="265"/>
        <v>#VALUE!</v>
      </c>
      <c r="BG399" s="11" t="e">
        <f t="shared" si="266"/>
        <v>#VALUE!</v>
      </c>
      <c r="BH399" t="str">
        <f t="shared" si="267"/>
        <v/>
      </c>
      <c r="BI399" t="str" cm="1">
        <f t="array" ref="BI399">_xlfn.IFS(
  L399&gt;0,"Critical Fail",
  M399&gt;0,"Important (Coaching)",
  TRUE,"Clean Pass"
)</f>
        <v>Clean Pass</v>
      </c>
      <c r="BJ399" t="str">
        <f t="shared" si="268"/>
        <v>NA</v>
      </c>
    </row>
    <row r="400" spans="1:62" x14ac:dyDescent="0.3">
      <c r="A400">
        <v>604196</v>
      </c>
      <c r="K400" t="str">
        <f t="shared" si="269"/>
        <v>Pass</v>
      </c>
      <c r="L400" s="15">
        <f t="shared" si="234"/>
        <v>0</v>
      </c>
      <c r="M400" s="15">
        <f t="shared" si="235"/>
        <v>0</v>
      </c>
      <c r="Z400" s="15">
        <f t="shared" si="236"/>
        <v>1</v>
      </c>
      <c r="AA400" s="15">
        <f t="shared" si="237"/>
        <v>1</v>
      </c>
      <c r="AB400" s="15">
        <f t="shared" si="238"/>
        <v>1</v>
      </c>
      <c r="AC400" s="15">
        <f t="shared" si="239"/>
        <v>1</v>
      </c>
      <c r="AD400" s="15">
        <f t="shared" si="240"/>
        <v>1</v>
      </c>
      <c r="AE400" s="15">
        <f t="shared" si="241"/>
        <v>1</v>
      </c>
      <c r="AF400" s="15">
        <f t="shared" si="242"/>
        <v>1</v>
      </c>
      <c r="AG400" s="15">
        <f t="shared" si="243"/>
        <v>1</v>
      </c>
      <c r="AH400" s="15">
        <f t="shared" si="244"/>
        <v>1</v>
      </c>
      <c r="AI400" s="15">
        <f t="shared" si="245"/>
        <v>1</v>
      </c>
      <c r="AJ400" s="15">
        <f t="shared" si="246"/>
        <v>1</v>
      </c>
      <c r="AK400" s="15">
        <f t="shared" si="247"/>
        <v>1</v>
      </c>
      <c r="AL400" s="15">
        <f t="shared" si="248"/>
        <v>1</v>
      </c>
      <c r="AM400" s="15">
        <f t="shared" si="249"/>
        <v>1</v>
      </c>
      <c r="AN400" s="15">
        <f t="shared" si="250"/>
        <v>1</v>
      </c>
      <c r="AO400" s="15">
        <f t="shared" si="251"/>
        <v>1</v>
      </c>
      <c r="AP400" s="15">
        <f t="shared" si="252"/>
        <v>1</v>
      </c>
      <c r="AQ400" s="15">
        <f t="shared" si="253"/>
        <v>1</v>
      </c>
      <c r="AR400" s="15">
        <f t="shared" si="254"/>
        <v>1</v>
      </c>
      <c r="AS400" s="15">
        <f t="shared" si="255"/>
        <v>1</v>
      </c>
      <c r="AT400" s="15">
        <f t="shared" si="256"/>
        <v>1</v>
      </c>
      <c r="AU400" s="15">
        <f t="shared" si="257"/>
        <v>1</v>
      </c>
      <c r="AV400" s="15">
        <f t="shared" si="258"/>
        <v>1</v>
      </c>
      <c r="AW400" s="15">
        <f t="shared" si="259"/>
        <v>1</v>
      </c>
      <c r="AX400" s="15">
        <f t="shared" si="260"/>
        <v>1</v>
      </c>
      <c r="AY400" s="15">
        <f t="shared" si="261"/>
        <v>1</v>
      </c>
      <c r="AZ400" s="15">
        <f t="shared" si="262"/>
        <v>1</v>
      </c>
      <c r="BA400" s="15">
        <f t="shared" si="263"/>
        <v>1</v>
      </c>
      <c r="BB400" s="15">
        <f t="shared" si="270"/>
        <v>0</v>
      </c>
      <c r="BC400" s="15" t="str">
        <f t="shared" si="271"/>
        <v/>
      </c>
      <c r="BD400" s="15" t="str">
        <f t="shared" si="272"/>
        <v/>
      </c>
      <c r="BE400" s="11" t="e">
        <f t="shared" si="264"/>
        <v>#VALUE!</v>
      </c>
      <c r="BF400" s="11" t="e">
        <f t="shared" si="265"/>
        <v>#VALUE!</v>
      </c>
      <c r="BG400" s="11" t="e">
        <f t="shared" si="266"/>
        <v>#VALUE!</v>
      </c>
      <c r="BH400" t="str">
        <f t="shared" si="267"/>
        <v/>
      </c>
      <c r="BI400" t="str" cm="1">
        <f t="array" ref="BI400">_xlfn.IFS(
  L400&gt;0,"Critical Fail",
  M400&gt;0,"Important (Coaching)",
  TRUE,"Clean Pass"
)</f>
        <v>Clean Pass</v>
      </c>
      <c r="BJ400" t="str">
        <f t="shared" si="268"/>
        <v>NA</v>
      </c>
    </row>
    <row r="401" spans="1:62" x14ac:dyDescent="0.3">
      <c r="A401">
        <v>459009</v>
      </c>
      <c r="K401" t="str">
        <f t="shared" si="269"/>
        <v>Pass</v>
      </c>
      <c r="L401" s="15">
        <f t="shared" si="234"/>
        <v>0</v>
      </c>
      <c r="M401" s="15">
        <f t="shared" si="235"/>
        <v>0</v>
      </c>
      <c r="Z401" s="15">
        <f t="shared" si="236"/>
        <v>1</v>
      </c>
      <c r="AA401" s="15">
        <f t="shared" si="237"/>
        <v>1</v>
      </c>
      <c r="AB401" s="15">
        <f t="shared" si="238"/>
        <v>1</v>
      </c>
      <c r="AC401" s="15">
        <f t="shared" si="239"/>
        <v>1</v>
      </c>
      <c r="AD401" s="15">
        <f t="shared" si="240"/>
        <v>1</v>
      </c>
      <c r="AE401" s="15">
        <f t="shared" si="241"/>
        <v>1</v>
      </c>
      <c r="AF401" s="15">
        <f t="shared" si="242"/>
        <v>1</v>
      </c>
      <c r="AG401" s="15">
        <f t="shared" si="243"/>
        <v>1</v>
      </c>
      <c r="AH401" s="15">
        <f t="shared" si="244"/>
        <v>1</v>
      </c>
      <c r="AI401" s="15">
        <f t="shared" si="245"/>
        <v>1</v>
      </c>
      <c r="AJ401" s="15">
        <f t="shared" si="246"/>
        <v>1</v>
      </c>
      <c r="AK401" s="15">
        <f t="shared" si="247"/>
        <v>1</v>
      </c>
      <c r="AL401" s="15">
        <f t="shared" si="248"/>
        <v>1</v>
      </c>
      <c r="AM401" s="15">
        <f t="shared" si="249"/>
        <v>1</v>
      </c>
      <c r="AN401" s="15">
        <f t="shared" si="250"/>
        <v>1</v>
      </c>
      <c r="AO401" s="15">
        <f t="shared" si="251"/>
        <v>1</v>
      </c>
      <c r="AP401" s="15">
        <f t="shared" si="252"/>
        <v>1</v>
      </c>
      <c r="AQ401" s="15">
        <f t="shared" si="253"/>
        <v>1</v>
      </c>
      <c r="AR401" s="15">
        <f t="shared" si="254"/>
        <v>1</v>
      </c>
      <c r="AS401" s="15">
        <f t="shared" si="255"/>
        <v>1</v>
      </c>
      <c r="AT401" s="15">
        <f t="shared" si="256"/>
        <v>1</v>
      </c>
      <c r="AU401" s="15">
        <f t="shared" si="257"/>
        <v>1</v>
      </c>
      <c r="AV401" s="15">
        <f t="shared" si="258"/>
        <v>1</v>
      </c>
      <c r="AW401" s="15">
        <f t="shared" si="259"/>
        <v>1</v>
      </c>
      <c r="AX401" s="15">
        <f t="shared" si="260"/>
        <v>1</v>
      </c>
      <c r="AY401" s="15">
        <f t="shared" si="261"/>
        <v>1</v>
      </c>
      <c r="AZ401" s="15">
        <f t="shared" si="262"/>
        <v>1</v>
      </c>
      <c r="BA401" s="15">
        <f t="shared" si="263"/>
        <v>1</v>
      </c>
      <c r="BB401" s="15">
        <f t="shared" si="270"/>
        <v>0</v>
      </c>
      <c r="BC401" s="15" t="str">
        <f t="shared" si="271"/>
        <v/>
      </c>
      <c r="BD401" s="15" t="str">
        <f t="shared" si="272"/>
        <v/>
      </c>
      <c r="BE401" s="11" t="e">
        <f t="shared" si="264"/>
        <v>#VALUE!</v>
      </c>
      <c r="BF401" s="11" t="e">
        <f t="shared" si="265"/>
        <v>#VALUE!</v>
      </c>
      <c r="BG401" s="11" t="e">
        <f t="shared" si="266"/>
        <v>#VALUE!</v>
      </c>
      <c r="BH401" t="str">
        <f t="shared" si="267"/>
        <v/>
      </c>
      <c r="BI401" t="str" cm="1">
        <f t="array" ref="BI401">_xlfn.IFS(
  L401&gt;0,"Critical Fail",
  M401&gt;0,"Important (Coaching)",
  TRUE,"Clean Pass"
)</f>
        <v>Clean Pass</v>
      </c>
      <c r="BJ401" t="str">
        <f t="shared" si="268"/>
        <v>NA</v>
      </c>
    </row>
    <row r="402" spans="1:62" x14ac:dyDescent="0.3">
      <c r="A402">
        <v>893233</v>
      </c>
      <c r="K402" t="str">
        <f t="shared" si="269"/>
        <v>Pass</v>
      </c>
      <c r="L402" s="15">
        <f t="shared" si="234"/>
        <v>0</v>
      </c>
      <c r="M402" s="15">
        <f t="shared" si="235"/>
        <v>0</v>
      </c>
      <c r="Z402" s="15">
        <f t="shared" si="236"/>
        <v>1</v>
      </c>
      <c r="AA402" s="15">
        <f t="shared" si="237"/>
        <v>1</v>
      </c>
      <c r="AB402" s="15">
        <f t="shared" si="238"/>
        <v>1</v>
      </c>
      <c r="AC402" s="15">
        <f t="shared" si="239"/>
        <v>1</v>
      </c>
      <c r="AD402" s="15">
        <f t="shared" si="240"/>
        <v>1</v>
      </c>
      <c r="AE402" s="15">
        <f t="shared" si="241"/>
        <v>1</v>
      </c>
      <c r="AF402" s="15">
        <f t="shared" si="242"/>
        <v>1</v>
      </c>
      <c r="AG402" s="15">
        <f t="shared" si="243"/>
        <v>1</v>
      </c>
      <c r="AH402" s="15">
        <f t="shared" si="244"/>
        <v>1</v>
      </c>
      <c r="AI402" s="15">
        <f t="shared" si="245"/>
        <v>1</v>
      </c>
      <c r="AJ402" s="15">
        <f t="shared" si="246"/>
        <v>1</v>
      </c>
      <c r="AK402" s="15">
        <f t="shared" si="247"/>
        <v>1</v>
      </c>
      <c r="AL402" s="15">
        <f t="shared" si="248"/>
        <v>1</v>
      </c>
      <c r="AM402" s="15">
        <f t="shared" si="249"/>
        <v>1</v>
      </c>
      <c r="AN402" s="15">
        <f t="shared" si="250"/>
        <v>1</v>
      </c>
      <c r="AO402" s="15">
        <f t="shared" si="251"/>
        <v>1</v>
      </c>
      <c r="AP402" s="15">
        <f t="shared" si="252"/>
        <v>1</v>
      </c>
      <c r="AQ402" s="15">
        <f t="shared" si="253"/>
        <v>1</v>
      </c>
      <c r="AR402" s="15">
        <f t="shared" si="254"/>
        <v>1</v>
      </c>
      <c r="AS402" s="15">
        <f t="shared" si="255"/>
        <v>1</v>
      </c>
      <c r="AT402" s="15">
        <f t="shared" si="256"/>
        <v>1</v>
      </c>
      <c r="AU402" s="15">
        <f t="shared" si="257"/>
        <v>1</v>
      </c>
      <c r="AV402" s="15">
        <f t="shared" si="258"/>
        <v>1</v>
      </c>
      <c r="AW402" s="15">
        <f t="shared" si="259"/>
        <v>1</v>
      </c>
      <c r="AX402" s="15">
        <f t="shared" si="260"/>
        <v>1</v>
      </c>
      <c r="AY402" s="15">
        <f t="shared" si="261"/>
        <v>1</v>
      </c>
      <c r="AZ402" s="15">
        <f t="shared" si="262"/>
        <v>1</v>
      </c>
      <c r="BA402" s="15">
        <f t="shared" si="263"/>
        <v>1</v>
      </c>
      <c r="BB402" s="15">
        <f t="shared" si="270"/>
        <v>0</v>
      </c>
      <c r="BC402" s="15" t="str">
        <f t="shared" si="271"/>
        <v/>
      </c>
      <c r="BD402" s="15" t="str">
        <f t="shared" si="272"/>
        <v/>
      </c>
      <c r="BE402" s="11" t="e">
        <f t="shared" si="264"/>
        <v>#VALUE!</v>
      </c>
      <c r="BF402" s="11" t="e">
        <f t="shared" si="265"/>
        <v>#VALUE!</v>
      </c>
      <c r="BG402" s="11" t="e">
        <f t="shared" si="266"/>
        <v>#VALUE!</v>
      </c>
      <c r="BH402" t="str">
        <f t="shared" si="267"/>
        <v/>
      </c>
      <c r="BI402" t="str" cm="1">
        <f t="array" ref="BI402">_xlfn.IFS(
  L402&gt;0,"Critical Fail",
  M402&gt;0,"Important (Coaching)",
  TRUE,"Clean Pass"
)</f>
        <v>Clean Pass</v>
      </c>
      <c r="BJ402" t="str">
        <f t="shared" si="268"/>
        <v>NA</v>
      </c>
    </row>
    <row r="403" spans="1:62" x14ac:dyDescent="0.3">
      <c r="A403">
        <v>621125</v>
      </c>
      <c r="K403" t="str">
        <f t="shared" si="269"/>
        <v>Pass</v>
      </c>
      <c r="L403" s="15">
        <f t="shared" si="234"/>
        <v>0</v>
      </c>
      <c r="M403" s="15">
        <f t="shared" si="235"/>
        <v>0</v>
      </c>
      <c r="Z403" s="15">
        <f t="shared" si="236"/>
        <v>1</v>
      </c>
      <c r="AA403" s="15">
        <f t="shared" si="237"/>
        <v>1</v>
      </c>
      <c r="AB403" s="15">
        <f t="shared" si="238"/>
        <v>1</v>
      </c>
      <c r="AC403" s="15">
        <f t="shared" si="239"/>
        <v>1</v>
      </c>
      <c r="AD403" s="15">
        <f t="shared" si="240"/>
        <v>1</v>
      </c>
      <c r="AE403" s="15">
        <f t="shared" si="241"/>
        <v>1</v>
      </c>
      <c r="AF403" s="15">
        <f t="shared" si="242"/>
        <v>1</v>
      </c>
      <c r="AG403" s="15">
        <f t="shared" si="243"/>
        <v>1</v>
      </c>
      <c r="AH403" s="15">
        <f t="shared" si="244"/>
        <v>1</v>
      </c>
      <c r="AI403" s="15">
        <f t="shared" si="245"/>
        <v>1</v>
      </c>
      <c r="AJ403" s="15">
        <f t="shared" si="246"/>
        <v>1</v>
      </c>
      <c r="AK403" s="15">
        <f t="shared" si="247"/>
        <v>1</v>
      </c>
      <c r="AL403" s="15">
        <f t="shared" si="248"/>
        <v>1</v>
      </c>
      <c r="AM403" s="15">
        <f t="shared" si="249"/>
        <v>1</v>
      </c>
      <c r="AN403" s="15">
        <f t="shared" si="250"/>
        <v>1</v>
      </c>
      <c r="AO403" s="15">
        <f t="shared" si="251"/>
        <v>1</v>
      </c>
      <c r="AP403" s="15">
        <f t="shared" si="252"/>
        <v>1</v>
      </c>
      <c r="AQ403" s="15">
        <f t="shared" si="253"/>
        <v>1</v>
      </c>
      <c r="AR403" s="15">
        <f t="shared" si="254"/>
        <v>1</v>
      </c>
      <c r="AS403" s="15">
        <f t="shared" si="255"/>
        <v>1</v>
      </c>
      <c r="AT403" s="15">
        <f t="shared" si="256"/>
        <v>1</v>
      </c>
      <c r="AU403" s="15">
        <f t="shared" si="257"/>
        <v>1</v>
      </c>
      <c r="AV403" s="15">
        <f t="shared" si="258"/>
        <v>1</v>
      </c>
      <c r="AW403" s="15">
        <f t="shared" si="259"/>
        <v>1</v>
      </c>
      <c r="AX403" s="15">
        <f t="shared" si="260"/>
        <v>1</v>
      </c>
      <c r="AY403" s="15">
        <f t="shared" si="261"/>
        <v>1</v>
      </c>
      <c r="AZ403" s="15">
        <f t="shared" si="262"/>
        <v>1</v>
      </c>
      <c r="BA403" s="15">
        <f t="shared" si="263"/>
        <v>1</v>
      </c>
      <c r="BB403" s="15">
        <f t="shared" si="270"/>
        <v>0</v>
      </c>
      <c r="BC403" s="15" t="str">
        <f t="shared" si="271"/>
        <v/>
      </c>
      <c r="BD403" s="15" t="str">
        <f t="shared" si="272"/>
        <v/>
      </c>
      <c r="BE403" s="11" t="e">
        <f t="shared" si="264"/>
        <v>#VALUE!</v>
      </c>
      <c r="BF403" s="11" t="e">
        <f t="shared" si="265"/>
        <v>#VALUE!</v>
      </c>
      <c r="BG403" s="11" t="e">
        <f t="shared" si="266"/>
        <v>#VALUE!</v>
      </c>
      <c r="BH403" t="str">
        <f t="shared" si="267"/>
        <v/>
      </c>
      <c r="BI403" t="str" cm="1">
        <f t="array" ref="BI403">_xlfn.IFS(
  L403&gt;0,"Critical Fail",
  M403&gt;0,"Important (Coaching)",
  TRUE,"Clean Pass"
)</f>
        <v>Clean Pass</v>
      </c>
      <c r="BJ403" t="str">
        <f t="shared" si="268"/>
        <v>NA</v>
      </c>
    </row>
    <row r="404" spans="1:62" x14ac:dyDescent="0.3">
      <c r="A404">
        <v>263962</v>
      </c>
      <c r="K404" t="str">
        <f t="shared" si="269"/>
        <v>Pass</v>
      </c>
      <c r="L404" s="15">
        <f t="shared" si="234"/>
        <v>0</v>
      </c>
      <c r="M404" s="15">
        <f t="shared" si="235"/>
        <v>0</v>
      </c>
      <c r="Z404" s="15">
        <f t="shared" si="236"/>
        <v>1</v>
      </c>
      <c r="AA404" s="15">
        <f t="shared" si="237"/>
        <v>1</v>
      </c>
      <c r="AB404" s="15">
        <f t="shared" si="238"/>
        <v>1</v>
      </c>
      <c r="AC404" s="15">
        <f t="shared" si="239"/>
        <v>1</v>
      </c>
      <c r="AD404" s="15">
        <f t="shared" si="240"/>
        <v>1</v>
      </c>
      <c r="AE404" s="15">
        <f t="shared" si="241"/>
        <v>1</v>
      </c>
      <c r="AF404" s="15">
        <f t="shared" si="242"/>
        <v>1</v>
      </c>
      <c r="AG404" s="15">
        <f t="shared" si="243"/>
        <v>1</v>
      </c>
      <c r="AH404" s="15">
        <f t="shared" si="244"/>
        <v>1</v>
      </c>
      <c r="AI404" s="15">
        <f t="shared" si="245"/>
        <v>1</v>
      </c>
      <c r="AJ404" s="15">
        <f t="shared" si="246"/>
        <v>1</v>
      </c>
      <c r="AK404" s="15">
        <f t="shared" si="247"/>
        <v>1</v>
      </c>
      <c r="AL404" s="15">
        <f t="shared" si="248"/>
        <v>1</v>
      </c>
      <c r="AM404" s="15">
        <f t="shared" si="249"/>
        <v>1</v>
      </c>
      <c r="AN404" s="15">
        <f t="shared" si="250"/>
        <v>1</v>
      </c>
      <c r="AO404" s="15">
        <f t="shared" si="251"/>
        <v>1</v>
      </c>
      <c r="AP404" s="15">
        <f t="shared" si="252"/>
        <v>1</v>
      </c>
      <c r="AQ404" s="15">
        <f t="shared" si="253"/>
        <v>1</v>
      </c>
      <c r="AR404" s="15">
        <f t="shared" si="254"/>
        <v>1</v>
      </c>
      <c r="AS404" s="15">
        <f t="shared" si="255"/>
        <v>1</v>
      </c>
      <c r="AT404" s="15">
        <f t="shared" si="256"/>
        <v>1</v>
      </c>
      <c r="AU404" s="15">
        <f t="shared" si="257"/>
        <v>1</v>
      </c>
      <c r="AV404" s="15">
        <f t="shared" si="258"/>
        <v>1</v>
      </c>
      <c r="AW404" s="15">
        <f t="shared" si="259"/>
        <v>1</v>
      </c>
      <c r="AX404" s="15">
        <f t="shared" si="260"/>
        <v>1</v>
      </c>
      <c r="AY404" s="15">
        <f t="shared" si="261"/>
        <v>1</v>
      </c>
      <c r="AZ404" s="15">
        <f t="shared" si="262"/>
        <v>1</v>
      </c>
      <c r="BA404" s="15">
        <f t="shared" si="263"/>
        <v>1</v>
      </c>
      <c r="BB404" s="15">
        <f t="shared" si="270"/>
        <v>0</v>
      </c>
      <c r="BC404" s="15" t="str">
        <f t="shared" si="271"/>
        <v/>
      </c>
      <c r="BD404" s="15" t="str">
        <f t="shared" si="272"/>
        <v/>
      </c>
      <c r="BE404" s="11" t="e">
        <f t="shared" si="264"/>
        <v>#VALUE!</v>
      </c>
      <c r="BF404" s="11" t="e">
        <f t="shared" si="265"/>
        <v>#VALUE!</v>
      </c>
      <c r="BG404" s="11" t="e">
        <f t="shared" si="266"/>
        <v>#VALUE!</v>
      </c>
      <c r="BH404" t="str">
        <f t="shared" si="267"/>
        <v/>
      </c>
      <c r="BI404" t="str" cm="1">
        <f t="array" ref="BI404">_xlfn.IFS(
  L404&gt;0,"Critical Fail",
  M404&gt;0,"Important (Coaching)",
  TRUE,"Clean Pass"
)</f>
        <v>Clean Pass</v>
      </c>
      <c r="BJ404" t="str">
        <f t="shared" si="268"/>
        <v>NA</v>
      </c>
    </row>
    <row r="405" spans="1:62" x14ac:dyDescent="0.3">
      <c r="A405">
        <v>455506</v>
      </c>
      <c r="K405" t="str">
        <f t="shared" si="269"/>
        <v>Pass</v>
      </c>
      <c r="L405" s="15">
        <f t="shared" si="234"/>
        <v>0</v>
      </c>
      <c r="M405" s="15">
        <f t="shared" si="235"/>
        <v>0</v>
      </c>
      <c r="Z405" s="15">
        <f t="shared" si="236"/>
        <v>1</v>
      </c>
      <c r="AA405" s="15">
        <f t="shared" si="237"/>
        <v>1</v>
      </c>
      <c r="AB405" s="15">
        <f t="shared" si="238"/>
        <v>1</v>
      </c>
      <c r="AC405" s="15">
        <f t="shared" si="239"/>
        <v>1</v>
      </c>
      <c r="AD405" s="15">
        <f t="shared" si="240"/>
        <v>1</v>
      </c>
      <c r="AE405" s="15">
        <f t="shared" si="241"/>
        <v>1</v>
      </c>
      <c r="AF405" s="15">
        <f t="shared" si="242"/>
        <v>1</v>
      </c>
      <c r="AG405" s="15">
        <f t="shared" si="243"/>
        <v>1</v>
      </c>
      <c r="AH405" s="15">
        <f t="shared" si="244"/>
        <v>1</v>
      </c>
      <c r="AI405" s="15">
        <f t="shared" si="245"/>
        <v>1</v>
      </c>
      <c r="AJ405" s="15">
        <f t="shared" si="246"/>
        <v>1</v>
      </c>
      <c r="AK405" s="15">
        <f t="shared" si="247"/>
        <v>1</v>
      </c>
      <c r="AL405" s="15">
        <f t="shared" si="248"/>
        <v>1</v>
      </c>
      <c r="AM405" s="15">
        <f t="shared" si="249"/>
        <v>1</v>
      </c>
      <c r="AN405" s="15">
        <f t="shared" si="250"/>
        <v>1</v>
      </c>
      <c r="AO405" s="15">
        <f t="shared" si="251"/>
        <v>1</v>
      </c>
      <c r="AP405" s="15">
        <f t="shared" si="252"/>
        <v>1</v>
      </c>
      <c r="AQ405" s="15">
        <f t="shared" si="253"/>
        <v>1</v>
      </c>
      <c r="AR405" s="15">
        <f t="shared" si="254"/>
        <v>1</v>
      </c>
      <c r="AS405" s="15">
        <f t="shared" si="255"/>
        <v>1</v>
      </c>
      <c r="AT405" s="15">
        <f t="shared" si="256"/>
        <v>1</v>
      </c>
      <c r="AU405" s="15">
        <f t="shared" si="257"/>
        <v>1</v>
      </c>
      <c r="AV405" s="15">
        <f t="shared" si="258"/>
        <v>1</v>
      </c>
      <c r="AW405" s="15">
        <f t="shared" si="259"/>
        <v>1</v>
      </c>
      <c r="AX405" s="15">
        <f t="shared" si="260"/>
        <v>1</v>
      </c>
      <c r="AY405" s="15">
        <f t="shared" si="261"/>
        <v>1</v>
      </c>
      <c r="AZ405" s="15">
        <f t="shared" si="262"/>
        <v>1</v>
      </c>
      <c r="BA405" s="15">
        <f t="shared" si="263"/>
        <v>1</v>
      </c>
      <c r="BB405" s="15">
        <f t="shared" si="270"/>
        <v>0</v>
      </c>
      <c r="BC405" s="15" t="str">
        <f t="shared" si="271"/>
        <v/>
      </c>
      <c r="BD405" s="15" t="str">
        <f t="shared" si="272"/>
        <v/>
      </c>
      <c r="BE405" s="11" t="e">
        <f t="shared" si="264"/>
        <v>#VALUE!</v>
      </c>
      <c r="BF405" s="11" t="e">
        <f t="shared" si="265"/>
        <v>#VALUE!</v>
      </c>
      <c r="BG405" s="11" t="e">
        <f t="shared" si="266"/>
        <v>#VALUE!</v>
      </c>
      <c r="BH405" t="str">
        <f t="shared" si="267"/>
        <v/>
      </c>
      <c r="BI405" t="str" cm="1">
        <f t="array" ref="BI405">_xlfn.IFS(
  L405&gt;0,"Critical Fail",
  M405&gt;0,"Important (Coaching)",
  TRUE,"Clean Pass"
)</f>
        <v>Clean Pass</v>
      </c>
      <c r="BJ405" t="str">
        <f t="shared" si="268"/>
        <v>NA</v>
      </c>
    </row>
    <row r="406" spans="1:62" x14ac:dyDescent="0.3">
      <c r="A406">
        <v>621092</v>
      </c>
      <c r="K406" t="str">
        <f t="shared" si="269"/>
        <v>Pass</v>
      </c>
      <c r="L406" s="15">
        <f t="shared" si="234"/>
        <v>0</v>
      </c>
      <c r="M406" s="15">
        <f t="shared" si="235"/>
        <v>0</v>
      </c>
      <c r="Z406" s="15">
        <f t="shared" si="236"/>
        <v>1</v>
      </c>
      <c r="AA406" s="15">
        <f t="shared" si="237"/>
        <v>1</v>
      </c>
      <c r="AB406" s="15">
        <f t="shared" si="238"/>
        <v>1</v>
      </c>
      <c r="AC406" s="15">
        <f t="shared" si="239"/>
        <v>1</v>
      </c>
      <c r="AD406" s="15">
        <f t="shared" si="240"/>
        <v>1</v>
      </c>
      <c r="AE406" s="15">
        <f t="shared" si="241"/>
        <v>1</v>
      </c>
      <c r="AF406" s="15">
        <f t="shared" si="242"/>
        <v>1</v>
      </c>
      <c r="AG406" s="15">
        <f t="shared" si="243"/>
        <v>1</v>
      </c>
      <c r="AH406" s="15">
        <f t="shared" si="244"/>
        <v>1</v>
      </c>
      <c r="AI406" s="15">
        <f t="shared" si="245"/>
        <v>1</v>
      </c>
      <c r="AJ406" s="15">
        <f t="shared" si="246"/>
        <v>1</v>
      </c>
      <c r="AK406" s="15">
        <f t="shared" si="247"/>
        <v>1</v>
      </c>
      <c r="AL406" s="15">
        <f t="shared" si="248"/>
        <v>1</v>
      </c>
      <c r="AM406" s="15">
        <f t="shared" si="249"/>
        <v>1</v>
      </c>
      <c r="AN406" s="15">
        <f t="shared" si="250"/>
        <v>1</v>
      </c>
      <c r="AO406" s="15">
        <f t="shared" si="251"/>
        <v>1</v>
      </c>
      <c r="AP406" s="15">
        <f t="shared" si="252"/>
        <v>1</v>
      </c>
      <c r="AQ406" s="15">
        <f t="shared" si="253"/>
        <v>1</v>
      </c>
      <c r="AR406" s="15">
        <f t="shared" si="254"/>
        <v>1</v>
      </c>
      <c r="AS406" s="15">
        <f t="shared" si="255"/>
        <v>1</v>
      </c>
      <c r="AT406" s="15">
        <f t="shared" si="256"/>
        <v>1</v>
      </c>
      <c r="AU406" s="15">
        <f t="shared" si="257"/>
        <v>1</v>
      </c>
      <c r="AV406" s="15">
        <f t="shared" si="258"/>
        <v>1</v>
      </c>
      <c r="AW406" s="15">
        <f t="shared" si="259"/>
        <v>1</v>
      </c>
      <c r="AX406" s="15">
        <f t="shared" si="260"/>
        <v>1</v>
      </c>
      <c r="AY406" s="15">
        <f t="shared" si="261"/>
        <v>1</v>
      </c>
      <c r="AZ406" s="15">
        <f t="shared" si="262"/>
        <v>1</v>
      </c>
      <c r="BA406" s="15">
        <f t="shared" si="263"/>
        <v>1</v>
      </c>
      <c r="BB406" s="15">
        <f t="shared" si="270"/>
        <v>0</v>
      </c>
      <c r="BC406" s="15" t="str">
        <f t="shared" si="271"/>
        <v/>
      </c>
      <c r="BD406" s="15" t="str">
        <f t="shared" si="272"/>
        <v/>
      </c>
      <c r="BE406" s="11" t="e">
        <f t="shared" si="264"/>
        <v>#VALUE!</v>
      </c>
      <c r="BF406" s="11" t="e">
        <f t="shared" si="265"/>
        <v>#VALUE!</v>
      </c>
      <c r="BG406" s="11" t="e">
        <f t="shared" si="266"/>
        <v>#VALUE!</v>
      </c>
      <c r="BH406" t="str">
        <f t="shared" si="267"/>
        <v/>
      </c>
      <c r="BI406" t="str" cm="1">
        <f t="array" ref="BI406">_xlfn.IFS(
  L406&gt;0,"Critical Fail",
  M406&gt;0,"Important (Coaching)",
  TRUE,"Clean Pass"
)</f>
        <v>Clean Pass</v>
      </c>
      <c r="BJ406" t="str">
        <f t="shared" si="268"/>
        <v>NA</v>
      </c>
    </row>
    <row r="407" spans="1:62" x14ac:dyDescent="0.3">
      <c r="A407">
        <v>326850</v>
      </c>
      <c r="K407" t="str">
        <f t="shared" si="269"/>
        <v>Pass</v>
      </c>
      <c r="L407" s="15">
        <f t="shared" si="234"/>
        <v>0</v>
      </c>
      <c r="M407" s="15">
        <f t="shared" si="235"/>
        <v>0</v>
      </c>
      <c r="Z407" s="15">
        <f t="shared" si="236"/>
        <v>1</v>
      </c>
      <c r="AA407" s="15">
        <f t="shared" si="237"/>
        <v>1</v>
      </c>
      <c r="AB407" s="15">
        <f t="shared" si="238"/>
        <v>1</v>
      </c>
      <c r="AC407" s="15">
        <f t="shared" si="239"/>
        <v>1</v>
      </c>
      <c r="AD407" s="15">
        <f t="shared" si="240"/>
        <v>1</v>
      </c>
      <c r="AE407" s="15">
        <f t="shared" si="241"/>
        <v>1</v>
      </c>
      <c r="AF407" s="15">
        <f t="shared" si="242"/>
        <v>1</v>
      </c>
      <c r="AG407" s="15">
        <f t="shared" si="243"/>
        <v>1</v>
      </c>
      <c r="AH407" s="15">
        <f t="shared" si="244"/>
        <v>1</v>
      </c>
      <c r="AI407" s="15">
        <f t="shared" si="245"/>
        <v>1</v>
      </c>
      <c r="AJ407" s="15">
        <f t="shared" si="246"/>
        <v>1</v>
      </c>
      <c r="AK407" s="15">
        <f t="shared" si="247"/>
        <v>1</v>
      </c>
      <c r="AL407" s="15">
        <f t="shared" si="248"/>
        <v>1</v>
      </c>
      <c r="AM407" s="15">
        <f t="shared" si="249"/>
        <v>1</v>
      </c>
      <c r="AN407" s="15">
        <f t="shared" si="250"/>
        <v>1</v>
      </c>
      <c r="AO407" s="15">
        <f t="shared" si="251"/>
        <v>1</v>
      </c>
      <c r="AP407" s="15">
        <f t="shared" si="252"/>
        <v>1</v>
      </c>
      <c r="AQ407" s="15">
        <f t="shared" si="253"/>
        <v>1</v>
      </c>
      <c r="AR407" s="15">
        <f t="shared" si="254"/>
        <v>1</v>
      </c>
      <c r="AS407" s="15">
        <f t="shared" si="255"/>
        <v>1</v>
      </c>
      <c r="AT407" s="15">
        <f t="shared" si="256"/>
        <v>1</v>
      </c>
      <c r="AU407" s="15">
        <f t="shared" si="257"/>
        <v>1</v>
      </c>
      <c r="AV407" s="15">
        <f t="shared" si="258"/>
        <v>1</v>
      </c>
      <c r="AW407" s="15">
        <f t="shared" si="259"/>
        <v>1</v>
      </c>
      <c r="AX407" s="15">
        <f t="shared" si="260"/>
        <v>1</v>
      </c>
      <c r="AY407" s="15">
        <f t="shared" si="261"/>
        <v>1</v>
      </c>
      <c r="AZ407" s="15">
        <f t="shared" si="262"/>
        <v>1</v>
      </c>
      <c r="BA407" s="15">
        <f t="shared" si="263"/>
        <v>1</v>
      </c>
      <c r="BB407" s="15">
        <f t="shared" si="270"/>
        <v>0</v>
      </c>
      <c r="BC407" s="15" t="str">
        <f t="shared" si="271"/>
        <v/>
      </c>
      <c r="BD407" s="15" t="str">
        <f t="shared" si="272"/>
        <v/>
      </c>
      <c r="BE407" s="11" t="e">
        <f t="shared" si="264"/>
        <v>#VALUE!</v>
      </c>
      <c r="BF407" s="11" t="e">
        <f t="shared" si="265"/>
        <v>#VALUE!</v>
      </c>
      <c r="BG407" s="11" t="e">
        <f t="shared" si="266"/>
        <v>#VALUE!</v>
      </c>
      <c r="BH407" t="str">
        <f t="shared" si="267"/>
        <v/>
      </c>
      <c r="BI407" t="str" cm="1">
        <f t="array" ref="BI407">_xlfn.IFS(
  L407&gt;0,"Critical Fail",
  M407&gt;0,"Important (Coaching)",
  TRUE,"Clean Pass"
)</f>
        <v>Clean Pass</v>
      </c>
      <c r="BJ407" t="str">
        <f t="shared" si="268"/>
        <v>NA</v>
      </c>
    </row>
    <row r="408" spans="1:62" x14ac:dyDescent="0.3">
      <c r="A408">
        <v>763701</v>
      </c>
      <c r="K408" t="str">
        <f t="shared" si="269"/>
        <v>Pass</v>
      </c>
      <c r="L408" s="15">
        <f t="shared" si="234"/>
        <v>0</v>
      </c>
      <c r="M408" s="15">
        <f t="shared" si="235"/>
        <v>0</v>
      </c>
      <c r="Z408" s="15">
        <f t="shared" si="236"/>
        <v>1</v>
      </c>
      <c r="AA408" s="15">
        <f t="shared" si="237"/>
        <v>1</v>
      </c>
      <c r="AB408" s="15">
        <f t="shared" si="238"/>
        <v>1</v>
      </c>
      <c r="AC408" s="15">
        <f t="shared" si="239"/>
        <v>1</v>
      </c>
      <c r="AD408" s="15">
        <f t="shared" si="240"/>
        <v>1</v>
      </c>
      <c r="AE408" s="15">
        <f t="shared" si="241"/>
        <v>1</v>
      </c>
      <c r="AF408" s="15">
        <f t="shared" si="242"/>
        <v>1</v>
      </c>
      <c r="AG408" s="15">
        <f t="shared" si="243"/>
        <v>1</v>
      </c>
      <c r="AH408" s="15">
        <f t="shared" si="244"/>
        <v>1</v>
      </c>
      <c r="AI408" s="15">
        <f t="shared" si="245"/>
        <v>1</v>
      </c>
      <c r="AJ408" s="15">
        <f t="shared" si="246"/>
        <v>1</v>
      </c>
      <c r="AK408" s="15">
        <f t="shared" si="247"/>
        <v>1</v>
      </c>
      <c r="AL408" s="15">
        <f t="shared" si="248"/>
        <v>1</v>
      </c>
      <c r="AM408" s="15">
        <f t="shared" si="249"/>
        <v>1</v>
      </c>
      <c r="AN408" s="15">
        <f t="shared" si="250"/>
        <v>1</v>
      </c>
      <c r="AO408" s="15">
        <f t="shared" si="251"/>
        <v>1</v>
      </c>
      <c r="AP408" s="15">
        <f t="shared" si="252"/>
        <v>1</v>
      </c>
      <c r="AQ408" s="15">
        <f t="shared" si="253"/>
        <v>1</v>
      </c>
      <c r="AR408" s="15">
        <f t="shared" si="254"/>
        <v>1</v>
      </c>
      <c r="AS408" s="15">
        <f t="shared" si="255"/>
        <v>1</v>
      </c>
      <c r="AT408" s="15">
        <f t="shared" si="256"/>
        <v>1</v>
      </c>
      <c r="AU408" s="15">
        <f t="shared" si="257"/>
        <v>1</v>
      </c>
      <c r="AV408" s="15">
        <f t="shared" si="258"/>
        <v>1</v>
      </c>
      <c r="AW408" s="15">
        <f t="shared" si="259"/>
        <v>1</v>
      </c>
      <c r="AX408" s="15">
        <f t="shared" si="260"/>
        <v>1</v>
      </c>
      <c r="AY408" s="15">
        <f t="shared" si="261"/>
        <v>1</v>
      </c>
      <c r="AZ408" s="15">
        <f t="shared" si="262"/>
        <v>1</v>
      </c>
      <c r="BA408" s="15">
        <f t="shared" si="263"/>
        <v>1</v>
      </c>
      <c r="BB408" s="15">
        <f t="shared" si="270"/>
        <v>0</v>
      </c>
      <c r="BC408" s="15" t="str">
        <f t="shared" si="271"/>
        <v/>
      </c>
      <c r="BD408" s="15" t="str">
        <f t="shared" si="272"/>
        <v/>
      </c>
      <c r="BE408" s="11" t="e">
        <f t="shared" si="264"/>
        <v>#VALUE!</v>
      </c>
      <c r="BF408" s="11" t="e">
        <f t="shared" si="265"/>
        <v>#VALUE!</v>
      </c>
      <c r="BG408" s="11" t="e">
        <f t="shared" si="266"/>
        <v>#VALUE!</v>
      </c>
      <c r="BH408" t="str">
        <f t="shared" si="267"/>
        <v/>
      </c>
      <c r="BI408" t="str" cm="1">
        <f t="array" ref="BI408">_xlfn.IFS(
  L408&gt;0,"Critical Fail",
  M408&gt;0,"Important (Coaching)",
  TRUE,"Clean Pass"
)</f>
        <v>Clean Pass</v>
      </c>
      <c r="BJ408" t="str">
        <f t="shared" si="268"/>
        <v>NA</v>
      </c>
    </row>
    <row r="409" spans="1:62" x14ac:dyDescent="0.3">
      <c r="A409">
        <v>739701</v>
      </c>
      <c r="K409" t="str">
        <f t="shared" si="269"/>
        <v>Pass</v>
      </c>
      <c r="L409" s="15">
        <f t="shared" si="234"/>
        <v>0</v>
      </c>
      <c r="M409" s="15">
        <f t="shared" si="235"/>
        <v>0</v>
      </c>
      <c r="Z409" s="15">
        <f t="shared" si="236"/>
        <v>1</v>
      </c>
      <c r="AA409" s="15">
        <f t="shared" si="237"/>
        <v>1</v>
      </c>
      <c r="AB409" s="15">
        <f t="shared" si="238"/>
        <v>1</v>
      </c>
      <c r="AC409" s="15">
        <f t="shared" si="239"/>
        <v>1</v>
      </c>
      <c r="AD409" s="15">
        <f t="shared" si="240"/>
        <v>1</v>
      </c>
      <c r="AE409" s="15">
        <f t="shared" si="241"/>
        <v>1</v>
      </c>
      <c r="AF409" s="15">
        <f t="shared" si="242"/>
        <v>1</v>
      </c>
      <c r="AG409" s="15">
        <f t="shared" si="243"/>
        <v>1</v>
      </c>
      <c r="AH409" s="15">
        <f t="shared" si="244"/>
        <v>1</v>
      </c>
      <c r="AI409" s="15">
        <f t="shared" si="245"/>
        <v>1</v>
      </c>
      <c r="AJ409" s="15">
        <f t="shared" si="246"/>
        <v>1</v>
      </c>
      <c r="AK409" s="15">
        <f t="shared" si="247"/>
        <v>1</v>
      </c>
      <c r="AL409" s="15">
        <f t="shared" si="248"/>
        <v>1</v>
      </c>
      <c r="AM409" s="15">
        <f t="shared" si="249"/>
        <v>1</v>
      </c>
      <c r="AN409" s="15">
        <f t="shared" si="250"/>
        <v>1</v>
      </c>
      <c r="AO409" s="15">
        <f t="shared" si="251"/>
        <v>1</v>
      </c>
      <c r="AP409" s="15">
        <f t="shared" si="252"/>
        <v>1</v>
      </c>
      <c r="AQ409" s="15">
        <f t="shared" si="253"/>
        <v>1</v>
      </c>
      <c r="AR409" s="15">
        <f t="shared" si="254"/>
        <v>1</v>
      </c>
      <c r="AS409" s="15">
        <f t="shared" si="255"/>
        <v>1</v>
      </c>
      <c r="AT409" s="15">
        <f t="shared" si="256"/>
        <v>1</v>
      </c>
      <c r="AU409" s="15">
        <f t="shared" si="257"/>
        <v>1</v>
      </c>
      <c r="AV409" s="15">
        <f t="shared" si="258"/>
        <v>1</v>
      </c>
      <c r="AW409" s="15">
        <f t="shared" si="259"/>
        <v>1</v>
      </c>
      <c r="AX409" s="15">
        <f t="shared" si="260"/>
        <v>1</v>
      </c>
      <c r="AY409" s="15">
        <f t="shared" si="261"/>
        <v>1</v>
      </c>
      <c r="AZ409" s="15">
        <f t="shared" si="262"/>
        <v>1</v>
      </c>
      <c r="BA409" s="15">
        <f t="shared" si="263"/>
        <v>1</v>
      </c>
      <c r="BB409" s="15">
        <f t="shared" si="270"/>
        <v>0</v>
      </c>
      <c r="BC409" s="15" t="str">
        <f t="shared" si="271"/>
        <v/>
      </c>
      <c r="BD409" s="15" t="str">
        <f t="shared" si="272"/>
        <v/>
      </c>
      <c r="BE409" s="11" t="e">
        <f t="shared" si="264"/>
        <v>#VALUE!</v>
      </c>
      <c r="BF409" s="11" t="e">
        <f t="shared" si="265"/>
        <v>#VALUE!</v>
      </c>
      <c r="BG409" s="11" t="e">
        <f t="shared" si="266"/>
        <v>#VALUE!</v>
      </c>
      <c r="BH409" t="str">
        <f t="shared" si="267"/>
        <v/>
      </c>
      <c r="BI409" t="str" cm="1">
        <f t="array" ref="BI409">_xlfn.IFS(
  L409&gt;0,"Critical Fail",
  M409&gt;0,"Important (Coaching)",
  TRUE,"Clean Pass"
)</f>
        <v>Clean Pass</v>
      </c>
      <c r="BJ409" t="str">
        <f t="shared" si="268"/>
        <v>NA</v>
      </c>
    </row>
    <row r="410" spans="1:62" x14ac:dyDescent="0.3">
      <c r="A410">
        <v>386727</v>
      </c>
      <c r="K410" t="str">
        <f t="shared" si="269"/>
        <v>Pass</v>
      </c>
      <c r="L410" s="15">
        <f t="shared" ref="L410:L473" si="273">COUNTA(N410,P410,R410)</f>
        <v>0</v>
      </c>
      <c r="M410" s="15">
        <f t="shared" ref="M410:M473" si="274">COUNTA(T410,V410,X410)</f>
        <v>0</v>
      </c>
      <c r="Z410" s="15">
        <f t="shared" ref="Z410:Z473" si="275">IF(AND(G410="DV",ISNUMBER(SEARCH("C1",N410&amp;P410&amp;R410&amp;T410&amp;V410&amp;X410))),0,1)</f>
        <v>1</v>
      </c>
      <c r="AA410" s="15">
        <f t="shared" ref="AA410:AA473" si="276">IF(AND(G410="DV",ISNUMBER(SEARCH("C2",N410&amp;P410&amp;R410&amp;T410&amp;V410&amp;X410))),0,1)</f>
        <v>1</v>
      </c>
      <c r="AB410" s="15">
        <f t="shared" ref="AB410:AB473" si="277">IF(AND(G410="DV",ISNUMBER(SEARCH("C3",N410&amp;P410&amp;R410&amp;T410&amp;V410&amp;X410))),0,1)</f>
        <v>1</v>
      </c>
      <c r="AC410" s="15">
        <f t="shared" ref="AC410:AC473" si="278">IF(AND(G410="DV",ISNUMBER(SEARCH("C4",N410&amp;P410&amp;R410&amp;T410&amp;V410&amp;X410))),0,1)</f>
        <v>1</v>
      </c>
      <c r="AD410" s="15">
        <f t="shared" ref="AD410:AD473" si="279">IF(AND(G410="DV",ISNUMBER(SEARCH("C5",N410&amp;P410&amp;R410&amp;T410&amp;V410&amp;X410))),0,1)</f>
        <v>1</v>
      </c>
      <c r="AE410" s="15">
        <f t="shared" ref="AE410:AE473" si="280">IF(AND(G410="DV",ISNUMBER(SEARCH("C6",N410&amp;P410&amp;R410&amp;T410&amp;V410&amp;X410))),0,1)</f>
        <v>1</v>
      </c>
      <c r="AF410" s="15">
        <f t="shared" ref="AF410:AF473" si="281">IF(AND(G410="DV",ISNUMBER(SEARCH("C7",N410&amp;P410&amp;R410&amp;T410&amp;V410&amp;X410))),0,1)</f>
        <v>1</v>
      </c>
      <c r="AG410" s="15">
        <f t="shared" ref="AG410:AG473" si="282">IF(AND(G410="DV",ISNUMBER(SEARCH("C8",N410&amp;P410&amp;R410&amp;T410&amp;V410&amp;X410))),0,1)</f>
        <v>1</v>
      </c>
      <c r="AH410" s="15">
        <f t="shared" ref="AH410:AH473" si="283">IF(AND(G410="DV",ISNUMBER(SEARCH("C9",N410&amp;P410&amp;R410&amp;T410&amp;V410&amp;X410))),0,1)</f>
        <v>1</v>
      </c>
      <c r="AI410" s="15">
        <f t="shared" ref="AI410:AI473" si="284">IF(AND(G410="DV",ISNUMBER(SEARCH("I1",N410&amp;P410&amp;R410&amp;T410&amp;V410&amp;X410))),0,1)</f>
        <v>1</v>
      </c>
      <c r="AJ410" s="15">
        <f t="shared" ref="AJ410:AJ473" si="285">IF(AND(G410="DV",ISNUMBER(SEARCH("I2",N410&amp;P410&amp;R410&amp;T410&amp;V410&amp;X410))),0,1)</f>
        <v>1</v>
      </c>
      <c r="AK410" s="15">
        <f t="shared" ref="AK410:AK473" si="286">IF(AND(G410="DV",ISNUMBER(SEARCH("I3",N410&amp;P410&amp;R410&amp;T410&amp;V410&amp;X410))),0,1)</f>
        <v>1</v>
      </c>
      <c r="AL410" s="15">
        <f t="shared" ref="AL410:AL473" si="287">IF(AND(G410="AL",ISNUMBER(SEARCH("C1",N410&amp;P410&amp;R410&amp;T410&amp;V410&amp;X410))),0,1)</f>
        <v>1</v>
      </c>
      <c r="AM410" s="15">
        <f t="shared" ref="AM410:AM473" si="288">IF(AND(G410="AL",ISNUMBER(SEARCH("C2",N410&amp;P410&amp;R410&amp;T410&amp;V410&amp;X410))),0,1)</f>
        <v>1</v>
      </c>
      <c r="AN410" s="15">
        <f t="shared" ref="AN410:AN473" si="289">IF(AND(G410="AL",ISNUMBER(SEARCH("C3",N410&amp;P410&amp;R410&amp;T410&amp;V410&amp;X410))),0,1)</f>
        <v>1</v>
      </c>
      <c r="AO410" s="15">
        <f t="shared" ref="AO410:AO473" si="290">IF(AND(G410="AL",ISNUMBER(SEARCH("C4",N410&amp;P410&amp;R410&amp;T410&amp;V410&amp;X410))),0,1)</f>
        <v>1</v>
      </c>
      <c r="AP410" s="15">
        <f t="shared" ref="AP410:AP473" si="291">IF(AND(G410="AL",ISNUMBER(SEARCH("C5",N410&amp;P410&amp;R410&amp;T410&amp;V410&amp;X410))),0,1)</f>
        <v>1</v>
      </c>
      <c r="AQ410" s="15">
        <f t="shared" ref="AQ410:AQ473" si="292">IF(AND(G410="AL",ISNUMBER(SEARCH("C6",N410&amp;P410&amp;R410&amp;T410&amp;V410&amp;X410))),0,1)</f>
        <v>1</v>
      </c>
      <c r="AR410" s="15">
        <f t="shared" ref="AR410:AR473" si="293">IF(AND(G410="AL",ISNUMBER(SEARCH("C7",N410&amp;P410&amp;R410&amp;T410&amp;V410&amp;X410))),0,1)</f>
        <v>1</v>
      </c>
      <c r="AS410" s="15">
        <f t="shared" ref="AS410:AS473" si="294">IF(AND(G410="AL",ISNUMBER(SEARCH("C8",N410&amp;P410&amp;R410&amp;T410&amp;V410&amp;X410))),0,1)</f>
        <v>1</v>
      </c>
      <c r="AT410" s="15">
        <f t="shared" ref="AT410:AT473" si="295">IF(AND(G410="AL",ISNUMBER(SEARCH("C9",N410&amp;P410&amp;R410&amp;T410&amp;V410&amp;X410))),0,1)</f>
        <v>1</v>
      </c>
      <c r="AU410" s="15">
        <f t="shared" ref="AU410:AU473" si="296">IF(AND(G410="AL",ISNUMBER(SEARCH("C10",N410&amp;P410&amp;R410&amp;T410&amp;V410&amp;X410))),0,1)</f>
        <v>1</v>
      </c>
      <c r="AV410" s="15">
        <f t="shared" ref="AV410:AV473" si="297">IF(AND(G410="AL",ISNUMBER(SEARCH("C11",N410&amp;P410&amp;R410&amp;T410&amp;V410&amp;X410))),0,1)</f>
        <v>1</v>
      </c>
      <c r="AW410" s="15">
        <f t="shared" ref="AW410:AW473" si="298">IF(AND(G410="AL",ISNUMBER(SEARCH("C12",N410&amp;P410&amp;R410&amp;T410&amp;V410&amp;X410))),0,1)</f>
        <v>1</v>
      </c>
      <c r="AX410" s="15">
        <f t="shared" ref="AX410:AX473" si="299">IF(AND(G410="AL",ISNUMBER(SEARCH("C13",N410&amp;P410&amp;R410&amp;T410&amp;V410&amp;X410))),0,1)</f>
        <v>1</v>
      </c>
      <c r="AY410" s="15">
        <f t="shared" ref="AY410:AY473" si="300">IF(AND(G410="AL",ISNUMBER(SEARCH("I1",N410&amp;P410&amp;R410&amp;T410&amp;V410&amp;X410))),0,1)</f>
        <v>1</v>
      </c>
      <c r="AZ410" s="15">
        <f t="shared" ref="AZ410:AZ473" si="301">IF(AND(G410="AL",ISNUMBER(SEARCH("I2",N410&amp;P410&amp;R410&amp;T410&amp;V410&amp;X410))),0,1)</f>
        <v>1</v>
      </c>
      <c r="BA410" s="15">
        <f t="shared" ref="BA410:BA473" si="302">IF(AND(G410="AL",ISNUMBER(SEARCH("I3",N410&amp;P410&amp;R410&amp;T410&amp;V410&amp;X410))),0,1)</f>
        <v>1</v>
      </c>
      <c r="BB410" s="15">
        <f t="shared" si="270"/>
        <v>0</v>
      </c>
      <c r="BC410" s="15" t="str">
        <f t="shared" si="271"/>
        <v/>
      </c>
      <c r="BD410" s="15" t="str">
        <f t="shared" si="272"/>
        <v/>
      </c>
      <c r="BE410" s="11" t="e">
        <f t="shared" ref="BE410:BE473" si="303">IF(BC410=0,1,(BC410-L410)/BC410)</f>
        <v>#VALUE!</v>
      </c>
      <c r="BF410" s="11" t="e">
        <f t="shared" ref="BF410:BF473" si="304">IF(BD410=0,1,(BD410-M410)/BD410)</f>
        <v>#VALUE!</v>
      </c>
      <c r="BG410" s="11" t="e">
        <f t="shared" ref="BG410:BG473" si="305">(BE410*0.7)+(BF410*0.3)</f>
        <v>#VALUE!</v>
      </c>
      <c r="BH410" t="str">
        <f t="shared" ref="BH410:BH473" si="306">_xlfn.TEXTJOIN(",",TRUE,N410,P410,R410)</f>
        <v/>
      </c>
      <c r="BI410" t="str" cm="1">
        <f t="array" ref="BI410">_xlfn.IFS(
  L410&gt;0,"Critical Fail",
  M410&gt;0,"Important (Coaching)",
  TRUE,"Clean Pass"
)</f>
        <v>Clean Pass</v>
      </c>
      <c r="BJ410" t="str">
        <f t="shared" ref="BJ410:BJ473" si="307">IF(COUNTA(N410:Y410)=0,"NA",_xlfn.TEXTJOIN(",",TRUE,N410:Y410))</f>
        <v>NA</v>
      </c>
    </row>
    <row r="411" spans="1:62" x14ac:dyDescent="0.3">
      <c r="A411">
        <v>460769</v>
      </c>
      <c r="K411" t="str">
        <f t="shared" si="269"/>
        <v>Pass</v>
      </c>
      <c r="L411" s="15">
        <f t="shared" si="273"/>
        <v>0</v>
      </c>
      <c r="M411" s="15">
        <f t="shared" si="274"/>
        <v>0</v>
      </c>
      <c r="Z411" s="15">
        <f t="shared" si="275"/>
        <v>1</v>
      </c>
      <c r="AA411" s="15">
        <f t="shared" si="276"/>
        <v>1</v>
      </c>
      <c r="AB411" s="15">
        <f t="shared" si="277"/>
        <v>1</v>
      </c>
      <c r="AC411" s="15">
        <f t="shared" si="278"/>
        <v>1</v>
      </c>
      <c r="AD411" s="15">
        <f t="shared" si="279"/>
        <v>1</v>
      </c>
      <c r="AE411" s="15">
        <f t="shared" si="280"/>
        <v>1</v>
      </c>
      <c r="AF411" s="15">
        <f t="shared" si="281"/>
        <v>1</v>
      </c>
      <c r="AG411" s="15">
        <f t="shared" si="282"/>
        <v>1</v>
      </c>
      <c r="AH411" s="15">
        <f t="shared" si="283"/>
        <v>1</v>
      </c>
      <c r="AI411" s="15">
        <f t="shared" si="284"/>
        <v>1</v>
      </c>
      <c r="AJ411" s="15">
        <f t="shared" si="285"/>
        <v>1</v>
      </c>
      <c r="AK411" s="15">
        <f t="shared" si="286"/>
        <v>1</v>
      </c>
      <c r="AL411" s="15">
        <f t="shared" si="287"/>
        <v>1</v>
      </c>
      <c r="AM411" s="15">
        <f t="shared" si="288"/>
        <v>1</v>
      </c>
      <c r="AN411" s="15">
        <f t="shared" si="289"/>
        <v>1</v>
      </c>
      <c r="AO411" s="15">
        <f t="shared" si="290"/>
        <v>1</v>
      </c>
      <c r="AP411" s="15">
        <f t="shared" si="291"/>
        <v>1</v>
      </c>
      <c r="AQ411" s="15">
        <f t="shared" si="292"/>
        <v>1</v>
      </c>
      <c r="AR411" s="15">
        <f t="shared" si="293"/>
        <v>1</v>
      </c>
      <c r="AS411" s="15">
        <f t="shared" si="294"/>
        <v>1</v>
      </c>
      <c r="AT411" s="15">
        <f t="shared" si="295"/>
        <v>1</v>
      </c>
      <c r="AU411" s="15">
        <f t="shared" si="296"/>
        <v>1</v>
      </c>
      <c r="AV411" s="15">
        <f t="shared" si="297"/>
        <v>1</v>
      </c>
      <c r="AW411" s="15">
        <f t="shared" si="298"/>
        <v>1</v>
      </c>
      <c r="AX411" s="15">
        <f t="shared" si="299"/>
        <v>1</v>
      </c>
      <c r="AY411" s="15">
        <f t="shared" si="300"/>
        <v>1</v>
      </c>
      <c r="AZ411" s="15">
        <f t="shared" si="301"/>
        <v>1</v>
      </c>
      <c r="BA411" s="15">
        <f t="shared" si="302"/>
        <v>1</v>
      </c>
      <c r="BB411" s="15">
        <f t="shared" si="270"/>
        <v>0</v>
      </c>
      <c r="BC411" s="15" t="str">
        <f t="shared" si="271"/>
        <v/>
      </c>
      <c r="BD411" s="15" t="str">
        <f t="shared" si="272"/>
        <v/>
      </c>
      <c r="BE411" s="11" t="e">
        <f t="shared" si="303"/>
        <v>#VALUE!</v>
      </c>
      <c r="BF411" s="11" t="e">
        <f t="shared" si="304"/>
        <v>#VALUE!</v>
      </c>
      <c r="BG411" s="11" t="e">
        <f t="shared" si="305"/>
        <v>#VALUE!</v>
      </c>
      <c r="BH411" t="str">
        <f t="shared" si="306"/>
        <v/>
      </c>
      <c r="BI411" t="str" cm="1">
        <f t="array" ref="BI411">_xlfn.IFS(
  L411&gt;0,"Critical Fail",
  M411&gt;0,"Important (Coaching)",
  TRUE,"Clean Pass"
)</f>
        <v>Clean Pass</v>
      </c>
      <c r="BJ411" t="str">
        <f t="shared" si="307"/>
        <v>NA</v>
      </c>
    </row>
    <row r="412" spans="1:62" x14ac:dyDescent="0.3">
      <c r="A412">
        <v>137034</v>
      </c>
      <c r="K412" t="str">
        <f t="shared" si="269"/>
        <v>Pass</v>
      </c>
      <c r="L412" s="15">
        <f t="shared" si="273"/>
        <v>0</v>
      </c>
      <c r="M412" s="15">
        <f t="shared" si="274"/>
        <v>0</v>
      </c>
      <c r="Z412" s="15">
        <f t="shared" si="275"/>
        <v>1</v>
      </c>
      <c r="AA412" s="15">
        <f t="shared" si="276"/>
        <v>1</v>
      </c>
      <c r="AB412" s="15">
        <f t="shared" si="277"/>
        <v>1</v>
      </c>
      <c r="AC412" s="15">
        <f t="shared" si="278"/>
        <v>1</v>
      </c>
      <c r="AD412" s="15">
        <f t="shared" si="279"/>
        <v>1</v>
      </c>
      <c r="AE412" s="15">
        <f t="shared" si="280"/>
        <v>1</v>
      </c>
      <c r="AF412" s="15">
        <f t="shared" si="281"/>
        <v>1</v>
      </c>
      <c r="AG412" s="15">
        <f t="shared" si="282"/>
        <v>1</v>
      </c>
      <c r="AH412" s="15">
        <f t="shared" si="283"/>
        <v>1</v>
      </c>
      <c r="AI412" s="15">
        <f t="shared" si="284"/>
        <v>1</v>
      </c>
      <c r="AJ412" s="15">
        <f t="shared" si="285"/>
        <v>1</v>
      </c>
      <c r="AK412" s="15">
        <f t="shared" si="286"/>
        <v>1</v>
      </c>
      <c r="AL412" s="15">
        <f t="shared" si="287"/>
        <v>1</v>
      </c>
      <c r="AM412" s="15">
        <f t="shared" si="288"/>
        <v>1</v>
      </c>
      <c r="AN412" s="15">
        <f t="shared" si="289"/>
        <v>1</v>
      </c>
      <c r="AO412" s="15">
        <f t="shared" si="290"/>
        <v>1</v>
      </c>
      <c r="AP412" s="15">
        <f t="shared" si="291"/>
        <v>1</v>
      </c>
      <c r="AQ412" s="15">
        <f t="shared" si="292"/>
        <v>1</v>
      </c>
      <c r="AR412" s="15">
        <f t="shared" si="293"/>
        <v>1</v>
      </c>
      <c r="AS412" s="15">
        <f t="shared" si="294"/>
        <v>1</v>
      </c>
      <c r="AT412" s="15">
        <f t="shared" si="295"/>
        <v>1</v>
      </c>
      <c r="AU412" s="15">
        <f t="shared" si="296"/>
        <v>1</v>
      </c>
      <c r="AV412" s="15">
        <f t="shared" si="297"/>
        <v>1</v>
      </c>
      <c r="AW412" s="15">
        <f t="shared" si="298"/>
        <v>1</v>
      </c>
      <c r="AX412" s="15">
        <f t="shared" si="299"/>
        <v>1</v>
      </c>
      <c r="AY412" s="15">
        <f t="shared" si="300"/>
        <v>1</v>
      </c>
      <c r="AZ412" s="15">
        <f t="shared" si="301"/>
        <v>1</v>
      </c>
      <c r="BA412" s="15">
        <f t="shared" si="302"/>
        <v>1</v>
      </c>
      <c r="BB412" s="15">
        <f t="shared" si="270"/>
        <v>0</v>
      </c>
      <c r="BC412" s="15" t="str">
        <f t="shared" si="271"/>
        <v/>
      </c>
      <c r="BD412" s="15" t="str">
        <f t="shared" si="272"/>
        <v/>
      </c>
      <c r="BE412" s="11" t="e">
        <f t="shared" si="303"/>
        <v>#VALUE!</v>
      </c>
      <c r="BF412" s="11" t="e">
        <f t="shared" si="304"/>
        <v>#VALUE!</v>
      </c>
      <c r="BG412" s="11" t="e">
        <f t="shared" si="305"/>
        <v>#VALUE!</v>
      </c>
      <c r="BH412" t="str">
        <f t="shared" si="306"/>
        <v/>
      </c>
      <c r="BI412" t="str" cm="1">
        <f t="array" ref="BI412">_xlfn.IFS(
  L412&gt;0,"Critical Fail",
  M412&gt;0,"Important (Coaching)",
  TRUE,"Clean Pass"
)</f>
        <v>Clean Pass</v>
      </c>
      <c r="BJ412" t="str">
        <f t="shared" si="307"/>
        <v>NA</v>
      </c>
    </row>
    <row r="413" spans="1:62" x14ac:dyDescent="0.3">
      <c r="A413">
        <v>886006</v>
      </c>
      <c r="K413" t="str">
        <f t="shared" si="269"/>
        <v>Pass</v>
      </c>
      <c r="L413" s="15">
        <f t="shared" si="273"/>
        <v>0</v>
      </c>
      <c r="M413" s="15">
        <f t="shared" si="274"/>
        <v>0</v>
      </c>
      <c r="Z413" s="15">
        <f t="shared" si="275"/>
        <v>1</v>
      </c>
      <c r="AA413" s="15">
        <f t="shared" si="276"/>
        <v>1</v>
      </c>
      <c r="AB413" s="15">
        <f t="shared" si="277"/>
        <v>1</v>
      </c>
      <c r="AC413" s="15">
        <f t="shared" si="278"/>
        <v>1</v>
      </c>
      <c r="AD413" s="15">
        <f t="shared" si="279"/>
        <v>1</v>
      </c>
      <c r="AE413" s="15">
        <f t="shared" si="280"/>
        <v>1</v>
      </c>
      <c r="AF413" s="15">
        <f t="shared" si="281"/>
        <v>1</v>
      </c>
      <c r="AG413" s="15">
        <f t="shared" si="282"/>
        <v>1</v>
      </c>
      <c r="AH413" s="15">
        <f t="shared" si="283"/>
        <v>1</v>
      </c>
      <c r="AI413" s="15">
        <f t="shared" si="284"/>
        <v>1</v>
      </c>
      <c r="AJ413" s="15">
        <f t="shared" si="285"/>
        <v>1</v>
      </c>
      <c r="AK413" s="15">
        <f t="shared" si="286"/>
        <v>1</v>
      </c>
      <c r="AL413" s="15">
        <f t="shared" si="287"/>
        <v>1</v>
      </c>
      <c r="AM413" s="15">
        <f t="shared" si="288"/>
        <v>1</v>
      </c>
      <c r="AN413" s="15">
        <f t="shared" si="289"/>
        <v>1</v>
      </c>
      <c r="AO413" s="15">
        <f t="shared" si="290"/>
        <v>1</v>
      </c>
      <c r="AP413" s="15">
        <f t="shared" si="291"/>
        <v>1</v>
      </c>
      <c r="AQ413" s="15">
        <f t="shared" si="292"/>
        <v>1</v>
      </c>
      <c r="AR413" s="15">
        <f t="shared" si="293"/>
        <v>1</v>
      </c>
      <c r="AS413" s="15">
        <f t="shared" si="294"/>
        <v>1</v>
      </c>
      <c r="AT413" s="15">
        <f t="shared" si="295"/>
        <v>1</v>
      </c>
      <c r="AU413" s="15">
        <f t="shared" si="296"/>
        <v>1</v>
      </c>
      <c r="AV413" s="15">
        <f t="shared" si="297"/>
        <v>1</v>
      </c>
      <c r="AW413" s="15">
        <f t="shared" si="298"/>
        <v>1</v>
      </c>
      <c r="AX413" s="15">
        <f t="shared" si="299"/>
        <v>1</v>
      </c>
      <c r="AY413" s="15">
        <f t="shared" si="300"/>
        <v>1</v>
      </c>
      <c r="AZ413" s="15">
        <f t="shared" si="301"/>
        <v>1</v>
      </c>
      <c r="BA413" s="15">
        <f t="shared" si="302"/>
        <v>1</v>
      </c>
      <c r="BB413" s="15">
        <f t="shared" si="270"/>
        <v>0</v>
      </c>
      <c r="BC413" s="15" t="str">
        <f t="shared" si="271"/>
        <v/>
      </c>
      <c r="BD413" s="15" t="str">
        <f t="shared" si="272"/>
        <v/>
      </c>
      <c r="BE413" s="11" t="e">
        <f t="shared" si="303"/>
        <v>#VALUE!</v>
      </c>
      <c r="BF413" s="11" t="e">
        <f t="shared" si="304"/>
        <v>#VALUE!</v>
      </c>
      <c r="BG413" s="11" t="e">
        <f t="shared" si="305"/>
        <v>#VALUE!</v>
      </c>
      <c r="BH413" t="str">
        <f t="shared" si="306"/>
        <v/>
      </c>
      <c r="BI413" t="str" cm="1">
        <f t="array" ref="BI413">_xlfn.IFS(
  L413&gt;0,"Critical Fail",
  M413&gt;0,"Important (Coaching)",
  TRUE,"Clean Pass"
)</f>
        <v>Clean Pass</v>
      </c>
      <c r="BJ413" t="str">
        <f t="shared" si="307"/>
        <v>NA</v>
      </c>
    </row>
    <row r="414" spans="1:62" x14ac:dyDescent="0.3">
      <c r="A414">
        <v>492613</v>
      </c>
      <c r="K414" t="str">
        <f t="shared" si="269"/>
        <v>Pass</v>
      </c>
      <c r="L414" s="15">
        <f t="shared" si="273"/>
        <v>0</v>
      </c>
      <c r="M414" s="15">
        <f t="shared" si="274"/>
        <v>0</v>
      </c>
      <c r="Z414" s="15">
        <f t="shared" si="275"/>
        <v>1</v>
      </c>
      <c r="AA414" s="15">
        <f t="shared" si="276"/>
        <v>1</v>
      </c>
      <c r="AB414" s="15">
        <f t="shared" si="277"/>
        <v>1</v>
      </c>
      <c r="AC414" s="15">
        <f t="shared" si="278"/>
        <v>1</v>
      </c>
      <c r="AD414" s="15">
        <f t="shared" si="279"/>
        <v>1</v>
      </c>
      <c r="AE414" s="15">
        <f t="shared" si="280"/>
        <v>1</v>
      </c>
      <c r="AF414" s="15">
        <f t="shared" si="281"/>
        <v>1</v>
      </c>
      <c r="AG414" s="15">
        <f t="shared" si="282"/>
        <v>1</v>
      </c>
      <c r="AH414" s="15">
        <f t="shared" si="283"/>
        <v>1</v>
      </c>
      <c r="AI414" s="15">
        <f t="shared" si="284"/>
        <v>1</v>
      </c>
      <c r="AJ414" s="15">
        <f t="shared" si="285"/>
        <v>1</v>
      </c>
      <c r="AK414" s="15">
        <f t="shared" si="286"/>
        <v>1</v>
      </c>
      <c r="AL414" s="15">
        <f t="shared" si="287"/>
        <v>1</v>
      </c>
      <c r="AM414" s="15">
        <f t="shared" si="288"/>
        <v>1</v>
      </c>
      <c r="AN414" s="15">
        <f t="shared" si="289"/>
        <v>1</v>
      </c>
      <c r="AO414" s="15">
        <f t="shared" si="290"/>
        <v>1</v>
      </c>
      <c r="AP414" s="15">
        <f t="shared" si="291"/>
        <v>1</v>
      </c>
      <c r="AQ414" s="15">
        <f t="shared" si="292"/>
        <v>1</v>
      </c>
      <c r="AR414" s="15">
        <f t="shared" si="293"/>
        <v>1</v>
      </c>
      <c r="AS414" s="15">
        <f t="shared" si="294"/>
        <v>1</v>
      </c>
      <c r="AT414" s="15">
        <f t="shared" si="295"/>
        <v>1</v>
      </c>
      <c r="AU414" s="15">
        <f t="shared" si="296"/>
        <v>1</v>
      </c>
      <c r="AV414" s="15">
        <f t="shared" si="297"/>
        <v>1</v>
      </c>
      <c r="AW414" s="15">
        <f t="shared" si="298"/>
        <v>1</v>
      </c>
      <c r="AX414" s="15">
        <f t="shared" si="299"/>
        <v>1</v>
      </c>
      <c r="AY414" s="15">
        <f t="shared" si="300"/>
        <v>1</v>
      </c>
      <c r="AZ414" s="15">
        <f t="shared" si="301"/>
        <v>1</v>
      </c>
      <c r="BA414" s="15">
        <f t="shared" si="302"/>
        <v>1</v>
      </c>
      <c r="BB414" s="15">
        <f t="shared" si="270"/>
        <v>0</v>
      </c>
      <c r="BC414" s="15" t="str">
        <f t="shared" si="271"/>
        <v/>
      </c>
      <c r="BD414" s="15" t="str">
        <f t="shared" si="272"/>
        <v/>
      </c>
      <c r="BE414" s="11" t="e">
        <f t="shared" si="303"/>
        <v>#VALUE!</v>
      </c>
      <c r="BF414" s="11" t="e">
        <f t="shared" si="304"/>
        <v>#VALUE!</v>
      </c>
      <c r="BG414" s="11" t="e">
        <f t="shared" si="305"/>
        <v>#VALUE!</v>
      </c>
      <c r="BH414" t="str">
        <f t="shared" si="306"/>
        <v/>
      </c>
      <c r="BI414" t="str" cm="1">
        <f t="array" ref="BI414">_xlfn.IFS(
  L414&gt;0,"Critical Fail",
  M414&gt;0,"Important (Coaching)",
  TRUE,"Clean Pass"
)</f>
        <v>Clean Pass</v>
      </c>
      <c r="BJ414" t="str">
        <f t="shared" si="307"/>
        <v>NA</v>
      </c>
    </row>
    <row r="415" spans="1:62" x14ac:dyDescent="0.3">
      <c r="A415">
        <v>818552</v>
      </c>
      <c r="K415" t="str">
        <f t="shared" si="269"/>
        <v>Pass</v>
      </c>
      <c r="L415" s="15">
        <f t="shared" si="273"/>
        <v>0</v>
      </c>
      <c r="M415" s="15">
        <f t="shared" si="274"/>
        <v>0</v>
      </c>
      <c r="Z415" s="15">
        <f t="shared" si="275"/>
        <v>1</v>
      </c>
      <c r="AA415" s="15">
        <f t="shared" si="276"/>
        <v>1</v>
      </c>
      <c r="AB415" s="15">
        <f t="shared" si="277"/>
        <v>1</v>
      </c>
      <c r="AC415" s="15">
        <f t="shared" si="278"/>
        <v>1</v>
      </c>
      <c r="AD415" s="15">
        <f t="shared" si="279"/>
        <v>1</v>
      </c>
      <c r="AE415" s="15">
        <f t="shared" si="280"/>
        <v>1</v>
      </c>
      <c r="AF415" s="15">
        <f t="shared" si="281"/>
        <v>1</v>
      </c>
      <c r="AG415" s="15">
        <f t="shared" si="282"/>
        <v>1</v>
      </c>
      <c r="AH415" s="15">
        <f t="shared" si="283"/>
        <v>1</v>
      </c>
      <c r="AI415" s="15">
        <f t="shared" si="284"/>
        <v>1</v>
      </c>
      <c r="AJ415" s="15">
        <f t="shared" si="285"/>
        <v>1</v>
      </c>
      <c r="AK415" s="15">
        <f t="shared" si="286"/>
        <v>1</v>
      </c>
      <c r="AL415" s="15">
        <f t="shared" si="287"/>
        <v>1</v>
      </c>
      <c r="AM415" s="15">
        <f t="shared" si="288"/>
        <v>1</v>
      </c>
      <c r="AN415" s="15">
        <f t="shared" si="289"/>
        <v>1</v>
      </c>
      <c r="AO415" s="15">
        <f t="shared" si="290"/>
        <v>1</v>
      </c>
      <c r="AP415" s="15">
        <f t="shared" si="291"/>
        <v>1</v>
      </c>
      <c r="AQ415" s="15">
        <f t="shared" si="292"/>
        <v>1</v>
      </c>
      <c r="AR415" s="15">
        <f t="shared" si="293"/>
        <v>1</v>
      </c>
      <c r="AS415" s="15">
        <f t="shared" si="294"/>
        <v>1</v>
      </c>
      <c r="AT415" s="15">
        <f t="shared" si="295"/>
        <v>1</v>
      </c>
      <c r="AU415" s="15">
        <f t="shared" si="296"/>
        <v>1</v>
      </c>
      <c r="AV415" s="15">
        <f t="shared" si="297"/>
        <v>1</v>
      </c>
      <c r="AW415" s="15">
        <f t="shared" si="298"/>
        <v>1</v>
      </c>
      <c r="AX415" s="15">
        <f t="shared" si="299"/>
        <v>1</v>
      </c>
      <c r="AY415" s="15">
        <f t="shared" si="300"/>
        <v>1</v>
      </c>
      <c r="AZ415" s="15">
        <f t="shared" si="301"/>
        <v>1</v>
      </c>
      <c r="BA415" s="15">
        <f t="shared" si="302"/>
        <v>1</v>
      </c>
      <c r="BB415" s="15">
        <f t="shared" si="270"/>
        <v>0</v>
      </c>
      <c r="BC415" s="15" t="str">
        <f t="shared" si="271"/>
        <v/>
      </c>
      <c r="BD415" s="15" t="str">
        <f t="shared" si="272"/>
        <v/>
      </c>
      <c r="BE415" s="11" t="e">
        <f t="shared" si="303"/>
        <v>#VALUE!</v>
      </c>
      <c r="BF415" s="11" t="e">
        <f t="shared" si="304"/>
        <v>#VALUE!</v>
      </c>
      <c r="BG415" s="11" t="e">
        <f t="shared" si="305"/>
        <v>#VALUE!</v>
      </c>
      <c r="BH415" t="str">
        <f t="shared" si="306"/>
        <v/>
      </c>
      <c r="BI415" t="str" cm="1">
        <f t="array" ref="BI415">_xlfn.IFS(
  L415&gt;0,"Critical Fail",
  M415&gt;0,"Important (Coaching)",
  TRUE,"Clean Pass"
)</f>
        <v>Clean Pass</v>
      </c>
      <c r="BJ415" t="str">
        <f t="shared" si="307"/>
        <v>NA</v>
      </c>
    </row>
    <row r="416" spans="1:62" x14ac:dyDescent="0.3">
      <c r="A416">
        <v>479511</v>
      </c>
      <c r="K416" t="str">
        <f t="shared" si="269"/>
        <v>Pass</v>
      </c>
      <c r="L416" s="15">
        <f t="shared" si="273"/>
        <v>0</v>
      </c>
      <c r="M416" s="15">
        <f t="shared" si="274"/>
        <v>0</v>
      </c>
      <c r="Z416" s="15">
        <f t="shared" si="275"/>
        <v>1</v>
      </c>
      <c r="AA416" s="15">
        <f t="shared" si="276"/>
        <v>1</v>
      </c>
      <c r="AB416" s="15">
        <f t="shared" si="277"/>
        <v>1</v>
      </c>
      <c r="AC416" s="15">
        <f t="shared" si="278"/>
        <v>1</v>
      </c>
      <c r="AD416" s="15">
        <f t="shared" si="279"/>
        <v>1</v>
      </c>
      <c r="AE416" s="15">
        <f t="shared" si="280"/>
        <v>1</v>
      </c>
      <c r="AF416" s="15">
        <f t="shared" si="281"/>
        <v>1</v>
      </c>
      <c r="AG416" s="15">
        <f t="shared" si="282"/>
        <v>1</v>
      </c>
      <c r="AH416" s="15">
        <f t="shared" si="283"/>
        <v>1</v>
      </c>
      <c r="AI416" s="15">
        <f t="shared" si="284"/>
        <v>1</v>
      </c>
      <c r="AJ416" s="15">
        <f t="shared" si="285"/>
        <v>1</v>
      </c>
      <c r="AK416" s="15">
        <f t="shared" si="286"/>
        <v>1</v>
      </c>
      <c r="AL416" s="15">
        <f t="shared" si="287"/>
        <v>1</v>
      </c>
      <c r="AM416" s="15">
        <f t="shared" si="288"/>
        <v>1</v>
      </c>
      <c r="AN416" s="15">
        <f t="shared" si="289"/>
        <v>1</v>
      </c>
      <c r="AO416" s="15">
        <f t="shared" si="290"/>
        <v>1</v>
      </c>
      <c r="AP416" s="15">
        <f t="shared" si="291"/>
        <v>1</v>
      </c>
      <c r="AQ416" s="15">
        <f t="shared" si="292"/>
        <v>1</v>
      </c>
      <c r="AR416" s="15">
        <f t="shared" si="293"/>
        <v>1</v>
      </c>
      <c r="AS416" s="15">
        <f t="shared" si="294"/>
        <v>1</v>
      </c>
      <c r="AT416" s="15">
        <f t="shared" si="295"/>
        <v>1</v>
      </c>
      <c r="AU416" s="15">
        <f t="shared" si="296"/>
        <v>1</v>
      </c>
      <c r="AV416" s="15">
        <f t="shared" si="297"/>
        <v>1</v>
      </c>
      <c r="AW416" s="15">
        <f t="shared" si="298"/>
        <v>1</v>
      </c>
      <c r="AX416" s="15">
        <f t="shared" si="299"/>
        <v>1</v>
      </c>
      <c r="AY416" s="15">
        <f t="shared" si="300"/>
        <v>1</v>
      </c>
      <c r="AZ416" s="15">
        <f t="shared" si="301"/>
        <v>1</v>
      </c>
      <c r="BA416" s="15">
        <f t="shared" si="302"/>
        <v>1</v>
      </c>
      <c r="BB416" s="15">
        <f t="shared" si="270"/>
        <v>0</v>
      </c>
      <c r="BC416" s="15" t="str">
        <f t="shared" si="271"/>
        <v/>
      </c>
      <c r="BD416" s="15" t="str">
        <f t="shared" si="272"/>
        <v/>
      </c>
      <c r="BE416" s="11" t="e">
        <f t="shared" si="303"/>
        <v>#VALUE!</v>
      </c>
      <c r="BF416" s="11" t="e">
        <f t="shared" si="304"/>
        <v>#VALUE!</v>
      </c>
      <c r="BG416" s="11" t="e">
        <f t="shared" si="305"/>
        <v>#VALUE!</v>
      </c>
      <c r="BH416" t="str">
        <f t="shared" si="306"/>
        <v/>
      </c>
      <c r="BI416" t="str" cm="1">
        <f t="array" ref="BI416">_xlfn.IFS(
  L416&gt;0,"Critical Fail",
  M416&gt;0,"Important (Coaching)",
  TRUE,"Clean Pass"
)</f>
        <v>Clean Pass</v>
      </c>
      <c r="BJ416" t="str">
        <f t="shared" si="307"/>
        <v>NA</v>
      </c>
    </row>
    <row r="417" spans="1:62" x14ac:dyDescent="0.3">
      <c r="A417">
        <v>855237</v>
      </c>
      <c r="K417" t="str">
        <f t="shared" si="269"/>
        <v>Pass</v>
      </c>
      <c r="L417" s="15">
        <f t="shared" si="273"/>
        <v>0</v>
      </c>
      <c r="M417" s="15">
        <f t="shared" si="274"/>
        <v>0</v>
      </c>
      <c r="Z417" s="15">
        <f t="shared" si="275"/>
        <v>1</v>
      </c>
      <c r="AA417" s="15">
        <f t="shared" si="276"/>
        <v>1</v>
      </c>
      <c r="AB417" s="15">
        <f t="shared" si="277"/>
        <v>1</v>
      </c>
      <c r="AC417" s="15">
        <f t="shared" si="278"/>
        <v>1</v>
      </c>
      <c r="AD417" s="15">
        <f t="shared" si="279"/>
        <v>1</v>
      </c>
      <c r="AE417" s="15">
        <f t="shared" si="280"/>
        <v>1</v>
      </c>
      <c r="AF417" s="15">
        <f t="shared" si="281"/>
        <v>1</v>
      </c>
      <c r="AG417" s="15">
        <f t="shared" si="282"/>
        <v>1</v>
      </c>
      <c r="AH417" s="15">
        <f t="shared" si="283"/>
        <v>1</v>
      </c>
      <c r="AI417" s="15">
        <f t="shared" si="284"/>
        <v>1</v>
      </c>
      <c r="AJ417" s="15">
        <f t="shared" si="285"/>
        <v>1</v>
      </c>
      <c r="AK417" s="15">
        <f t="shared" si="286"/>
        <v>1</v>
      </c>
      <c r="AL417" s="15">
        <f t="shared" si="287"/>
        <v>1</v>
      </c>
      <c r="AM417" s="15">
        <f t="shared" si="288"/>
        <v>1</v>
      </c>
      <c r="AN417" s="15">
        <f t="shared" si="289"/>
        <v>1</v>
      </c>
      <c r="AO417" s="15">
        <f t="shared" si="290"/>
        <v>1</v>
      </c>
      <c r="AP417" s="15">
        <f t="shared" si="291"/>
        <v>1</v>
      </c>
      <c r="AQ417" s="15">
        <f t="shared" si="292"/>
        <v>1</v>
      </c>
      <c r="AR417" s="15">
        <f t="shared" si="293"/>
        <v>1</v>
      </c>
      <c r="AS417" s="15">
        <f t="shared" si="294"/>
        <v>1</v>
      </c>
      <c r="AT417" s="15">
        <f t="shared" si="295"/>
        <v>1</v>
      </c>
      <c r="AU417" s="15">
        <f t="shared" si="296"/>
        <v>1</v>
      </c>
      <c r="AV417" s="15">
        <f t="shared" si="297"/>
        <v>1</v>
      </c>
      <c r="AW417" s="15">
        <f t="shared" si="298"/>
        <v>1</v>
      </c>
      <c r="AX417" s="15">
        <f t="shared" si="299"/>
        <v>1</v>
      </c>
      <c r="AY417" s="15">
        <f t="shared" si="300"/>
        <v>1</v>
      </c>
      <c r="AZ417" s="15">
        <f t="shared" si="301"/>
        <v>1</v>
      </c>
      <c r="BA417" s="15">
        <f t="shared" si="302"/>
        <v>1</v>
      </c>
      <c r="BB417" s="15">
        <f t="shared" si="270"/>
        <v>0</v>
      </c>
      <c r="BC417" s="15" t="str">
        <f t="shared" si="271"/>
        <v/>
      </c>
      <c r="BD417" s="15" t="str">
        <f t="shared" si="272"/>
        <v/>
      </c>
      <c r="BE417" s="11" t="e">
        <f t="shared" si="303"/>
        <v>#VALUE!</v>
      </c>
      <c r="BF417" s="11" t="e">
        <f t="shared" si="304"/>
        <v>#VALUE!</v>
      </c>
      <c r="BG417" s="11" t="e">
        <f t="shared" si="305"/>
        <v>#VALUE!</v>
      </c>
      <c r="BH417" t="str">
        <f t="shared" si="306"/>
        <v/>
      </c>
      <c r="BI417" t="str" cm="1">
        <f t="array" ref="BI417">_xlfn.IFS(
  L417&gt;0,"Critical Fail",
  M417&gt;0,"Important (Coaching)",
  TRUE,"Clean Pass"
)</f>
        <v>Clean Pass</v>
      </c>
      <c r="BJ417" t="str">
        <f t="shared" si="307"/>
        <v>NA</v>
      </c>
    </row>
    <row r="418" spans="1:62" x14ac:dyDescent="0.3">
      <c r="A418">
        <v>865916</v>
      </c>
      <c r="K418" t="str">
        <f t="shared" si="269"/>
        <v>Pass</v>
      </c>
      <c r="L418" s="15">
        <f t="shared" si="273"/>
        <v>0</v>
      </c>
      <c r="M418" s="15">
        <f t="shared" si="274"/>
        <v>0</v>
      </c>
      <c r="Z418" s="15">
        <f t="shared" si="275"/>
        <v>1</v>
      </c>
      <c r="AA418" s="15">
        <f t="shared" si="276"/>
        <v>1</v>
      </c>
      <c r="AB418" s="15">
        <f t="shared" si="277"/>
        <v>1</v>
      </c>
      <c r="AC418" s="15">
        <f t="shared" si="278"/>
        <v>1</v>
      </c>
      <c r="AD418" s="15">
        <f t="shared" si="279"/>
        <v>1</v>
      </c>
      <c r="AE418" s="15">
        <f t="shared" si="280"/>
        <v>1</v>
      </c>
      <c r="AF418" s="15">
        <f t="shared" si="281"/>
        <v>1</v>
      </c>
      <c r="AG418" s="15">
        <f t="shared" si="282"/>
        <v>1</v>
      </c>
      <c r="AH418" s="15">
        <f t="shared" si="283"/>
        <v>1</v>
      </c>
      <c r="AI418" s="15">
        <f t="shared" si="284"/>
        <v>1</v>
      </c>
      <c r="AJ418" s="15">
        <f t="shared" si="285"/>
        <v>1</v>
      </c>
      <c r="AK418" s="15">
        <f t="shared" si="286"/>
        <v>1</v>
      </c>
      <c r="AL418" s="15">
        <f t="shared" si="287"/>
        <v>1</v>
      </c>
      <c r="AM418" s="15">
        <f t="shared" si="288"/>
        <v>1</v>
      </c>
      <c r="AN418" s="15">
        <f t="shared" si="289"/>
        <v>1</v>
      </c>
      <c r="AO418" s="15">
        <f t="shared" si="290"/>
        <v>1</v>
      </c>
      <c r="AP418" s="15">
        <f t="shared" si="291"/>
        <v>1</v>
      </c>
      <c r="AQ418" s="15">
        <f t="shared" si="292"/>
        <v>1</v>
      </c>
      <c r="AR418" s="15">
        <f t="shared" si="293"/>
        <v>1</v>
      </c>
      <c r="AS418" s="15">
        <f t="shared" si="294"/>
        <v>1</v>
      </c>
      <c r="AT418" s="15">
        <f t="shared" si="295"/>
        <v>1</v>
      </c>
      <c r="AU418" s="15">
        <f t="shared" si="296"/>
        <v>1</v>
      </c>
      <c r="AV418" s="15">
        <f t="shared" si="297"/>
        <v>1</v>
      </c>
      <c r="AW418" s="15">
        <f t="shared" si="298"/>
        <v>1</v>
      </c>
      <c r="AX418" s="15">
        <f t="shared" si="299"/>
        <v>1</v>
      </c>
      <c r="AY418" s="15">
        <f t="shared" si="300"/>
        <v>1</v>
      </c>
      <c r="AZ418" s="15">
        <f t="shared" si="301"/>
        <v>1</v>
      </c>
      <c r="BA418" s="15">
        <f t="shared" si="302"/>
        <v>1</v>
      </c>
      <c r="BB418" s="15">
        <f t="shared" si="270"/>
        <v>0</v>
      </c>
      <c r="BC418" s="15" t="str">
        <f t="shared" si="271"/>
        <v/>
      </c>
      <c r="BD418" s="15" t="str">
        <f t="shared" si="272"/>
        <v/>
      </c>
      <c r="BE418" s="11" t="e">
        <f t="shared" si="303"/>
        <v>#VALUE!</v>
      </c>
      <c r="BF418" s="11" t="e">
        <f t="shared" si="304"/>
        <v>#VALUE!</v>
      </c>
      <c r="BG418" s="11" t="e">
        <f t="shared" si="305"/>
        <v>#VALUE!</v>
      </c>
      <c r="BH418" t="str">
        <f t="shared" si="306"/>
        <v/>
      </c>
      <c r="BI418" t="str" cm="1">
        <f t="array" ref="BI418">_xlfn.IFS(
  L418&gt;0,"Critical Fail",
  M418&gt;0,"Important (Coaching)",
  TRUE,"Clean Pass"
)</f>
        <v>Clean Pass</v>
      </c>
      <c r="BJ418" t="str">
        <f t="shared" si="307"/>
        <v>NA</v>
      </c>
    </row>
    <row r="419" spans="1:62" x14ac:dyDescent="0.3">
      <c r="A419">
        <v>153068</v>
      </c>
      <c r="K419" t="str">
        <f t="shared" si="269"/>
        <v>Pass</v>
      </c>
      <c r="L419" s="15">
        <f t="shared" si="273"/>
        <v>0</v>
      </c>
      <c r="M419" s="15">
        <f t="shared" si="274"/>
        <v>0</v>
      </c>
      <c r="Z419" s="15">
        <f t="shared" si="275"/>
        <v>1</v>
      </c>
      <c r="AA419" s="15">
        <f t="shared" si="276"/>
        <v>1</v>
      </c>
      <c r="AB419" s="15">
        <f t="shared" si="277"/>
        <v>1</v>
      </c>
      <c r="AC419" s="15">
        <f t="shared" si="278"/>
        <v>1</v>
      </c>
      <c r="AD419" s="15">
        <f t="shared" si="279"/>
        <v>1</v>
      </c>
      <c r="AE419" s="15">
        <f t="shared" si="280"/>
        <v>1</v>
      </c>
      <c r="AF419" s="15">
        <f t="shared" si="281"/>
        <v>1</v>
      </c>
      <c r="AG419" s="15">
        <f t="shared" si="282"/>
        <v>1</v>
      </c>
      <c r="AH419" s="15">
        <f t="shared" si="283"/>
        <v>1</v>
      </c>
      <c r="AI419" s="15">
        <f t="shared" si="284"/>
        <v>1</v>
      </c>
      <c r="AJ419" s="15">
        <f t="shared" si="285"/>
        <v>1</v>
      </c>
      <c r="AK419" s="15">
        <f t="shared" si="286"/>
        <v>1</v>
      </c>
      <c r="AL419" s="15">
        <f t="shared" si="287"/>
        <v>1</v>
      </c>
      <c r="AM419" s="15">
        <f t="shared" si="288"/>
        <v>1</v>
      </c>
      <c r="AN419" s="15">
        <f t="shared" si="289"/>
        <v>1</v>
      </c>
      <c r="AO419" s="15">
        <f t="shared" si="290"/>
        <v>1</v>
      </c>
      <c r="AP419" s="15">
        <f t="shared" si="291"/>
        <v>1</v>
      </c>
      <c r="AQ419" s="15">
        <f t="shared" si="292"/>
        <v>1</v>
      </c>
      <c r="AR419" s="15">
        <f t="shared" si="293"/>
        <v>1</v>
      </c>
      <c r="AS419" s="15">
        <f t="shared" si="294"/>
        <v>1</v>
      </c>
      <c r="AT419" s="15">
        <f t="shared" si="295"/>
        <v>1</v>
      </c>
      <c r="AU419" s="15">
        <f t="shared" si="296"/>
        <v>1</v>
      </c>
      <c r="AV419" s="15">
        <f t="shared" si="297"/>
        <v>1</v>
      </c>
      <c r="AW419" s="15">
        <f t="shared" si="298"/>
        <v>1</v>
      </c>
      <c r="AX419" s="15">
        <f t="shared" si="299"/>
        <v>1</v>
      </c>
      <c r="AY419" s="15">
        <f t="shared" si="300"/>
        <v>1</v>
      </c>
      <c r="AZ419" s="15">
        <f t="shared" si="301"/>
        <v>1</v>
      </c>
      <c r="BA419" s="15">
        <f t="shared" si="302"/>
        <v>1</v>
      </c>
      <c r="BB419" s="15">
        <f t="shared" si="270"/>
        <v>0</v>
      </c>
      <c r="BC419" s="15" t="str">
        <f t="shared" si="271"/>
        <v/>
      </c>
      <c r="BD419" s="15" t="str">
        <f t="shared" si="272"/>
        <v/>
      </c>
      <c r="BE419" s="11" t="e">
        <f t="shared" si="303"/>
        <v>#VALUE!</v>
      </c>
      <c r="BF419" s="11" t="e">
        <f t="shared" si="304"/>
        <v>#VALUE!</v>
      </c>
      <c r="BG419" s="11" t="e">
        <f t="shared" si="305"/>
        <v>#VALUE!</v>
      </c>
      <c r="BH419" t="str">
        <f t="shared" si="306"/>
        <v/>
      </c>
      <c r="BI419" t="str" cm="1">
        <f t="array" ref="BI419">_xlfn.IFS(
  L419&gt;0,"Critical Fail",
  M419&gt;0,"Important (Coaching)",
  TRUE,"Clean Pass"
)</f>
        <v>Clean Pass</v>
      </c>
      <c r="BJ419" t="str">
        <f t="shared" si="307"/>
        <v>NA</v>
      </c>
    </row>
    <row r="420" spans="1:62" x14ac:dyDescent="0.3">
      <c r="A420">
        <v>498069</v>
      </c>
      <c r="K420" t="str">
        <f t="shared" si="269"/>
        <v>Pass</v>
      </c>
      <c r="L420" s="15">
        <f t="shared" si="273"/>
        <v>0</v>
      </c>
      <c r="M420" s="15">
        <f t="shared" si="274"/>
        <v>0</v>
      </c>
      <c r="Z420" s="15">
        <f t="shared" si="275"/>
        <v>1</v>
      </c>
      <c r="AA420" s="15">
        <f t="shared" si="276"/>
        <v>1</v>
      </c>
      <c r="AB420" s="15">
        <f t="shared" si="277"/>
        <v>1</v>
      </c>
      <c r="AC420" s="15">
        <f t="shared" si="278"/>
        <v>1</v>
      </c>
      <c r="AD420" s="15">
        <f t="shared" si="279"/>
        <v>1</v>
      </c>
      <c r="AE420" s="15">
        <f t="shared" si="280"/>
        <v>1</v>
      </c>
      <c r="AF420" s="15">
        <f t="shared" si="281"/>
        <v>1</v>
      </c>
      <c r="AG420" s="15">
        <f t="shared" si="282"/>
        <v>1</v>
      </c>
      <c r="AH420" s="15">
        <f t="shared" si="283"/>
        <v>1</v>
      </c>
      <c r="AI420" s="15">
        <f t="shared" si="284"/>
        <v>1</v>
      </c>
      <c r="AJ420" s="15">
        <f t="shared" si="285"/>
        <v>1</v>
      </c>
      <c r="AK420" s="15">
        <f t="shared" si="286"/>
        <v>1</v>
      </c>
      <c r="AL420" s="15">
        <f t="shared" si="287"/>
        <v>1</v>
      </c>
      <c r="AM420" s="15">
        <f t="shared" si="288"/>
        <v>1</v>
      </c>
      <c r="AN420" s="15">
        <f t="shared" si="289"/>
        <v>1</v>
      </c>
      <c r="AO420" s="15">
        <f t="shared" si="290"/>
        <v>1</v>
      </c>
      <c r="AP420" s="15">
        <f t="shared" si="291"/>
        <v>1</v>
      </c>
      <c r="AQ420" s="15">
        <f t="shared" si="292"/>
        <v>1</v>
      </c>
      <c r="AR420" s="15">
        <f t="shared" si="293"/>
        <v>1</v>
      </c>
      <c r="AS420" s="15">
        <f t="shared" si="294"/>
        <v>1</v>
      </c>
      <c r="AT420" s="15">
        <f t="shared" si="295"/>
        <v>1</v>
      </c>
      <c r="AU420" s="15">
        <f t="shared" si="296"/>
        <v>1</v>
      </c>
      <c r="AV420" s="15">
        <f t="shared" si="297"/>
        <v>1</v>
      </c>
      <c r="AW420" s="15">
        <f t="shared" si="298"/>
        <v>1</v>
      </c>
      <c r="AX420" s="15">
        <f t="shared" si="299"/>
        <v>1</v>
      </c>
      <c r="AY420" s="15">
        <f t="shared" si="300"/>
        <v>1</v>
      </c>
      <c r="AZ420" s="15">
        <f t="shared" si="301"/>
        <v>1</v>
      </c>
      <c r="BA420" s="15">
        <f t="shared" si="302"/>
        <v>1</v>
      </c>
      <c r="BB420" s="15">
        <f t="shared" si="270"/>
        <v>0</v>
      </c>
      <c r="BC420" s="15" t="str">
        <f t="shared" si="271"/>
        <v/>
      </c>
      <c r="BD420" s="15" t="str">
        <f t="shared" si="272"/>
        <v/>
      </c>
      <c r="BE420" s="11" t="e">
        <f t="shared" si="303"/>
        <v>#VALUE!</v>
      </c>
      <c r="BF420" s="11" t="e">
        <f t="shared" si="304"/>
        <v>#VALUE!</v>
      </c>
      <c r="BG420" s="11" t="e">
        <f t="shared" si="305"/>
        <v>#VALUE!</v>
      </c>
      <c r="BH420" t="str">
        <f t="shared" si="306"/>
        <v/>
      </c>
      <c r="BI420" t="str" cm="1">
        <f t="array" ref="BI420">_xlfn.IFS(
  L420&gt;0,"Critical Fail",
  M420&gt;0,"Important (Coaching)",
  TRUE,"Clean Pass"
)</f>
        <v>Clean Pass</v>
      </c>
      <c r="BJ420" t="str">
        <f t="shared" si="307"/>
        <v>NA</v>
      </c>
    </row>
    <row r="421" spans="1:62" x14ac:dyDescent="0.3">
      <c r="A421">
        <v>162756</v>
      </c>
      <c r="K421" t="str">
        <f t="shared" si="269"/>
        <v>Pass</v>
      </c>
      <c r="L421" s="15">
        <f t="shared" si="273"/>
        <v>0</v>
      </c>
      <c r="M421" s="15">
        <f t="shared" si="274"/>
        <v>0</v>
      </c>
      <c r="Z421" s="15">
        <f t="shared" si="275"/>
        <v>1</v>
      </c>
      <c r="AA421" s="15">
        <f t="shared" si="276"/>
        <v>1</v>
      </c>
      <c r="AB421" s="15">
        <f t="shared" si="277"/>
        <v>1</v>
      </c>
      <c r="AC421" s="15">
        <f t="shared" si="278"/>
        <v>1</v>
      </c>
      <c r="AD421" s="15">
        <f t="shared" si="279"/>
        <v>1</v>
      </c>
      <c r="AE421" s="15">
        <f t="shared" si="280"/>
        <v>1</v>
      </c>
      <c r="AF421" s="15">
        <f t="shared" si="281"/>
        <v>1</v>
      </c>
      <c r="AG421" s="15">
        <f t="shared" si="282"/>
        <v>1</v>
      </c>
      <c r="AH421" s="15">
        <f t="shared" si="283"/>
        <v>1</v>
      </c>
      <c r="AI421" s="15">
        <f t="shared" si="284"/>
        <v>1</v>
      </c>
      <c r="AJ421" s="15">
        <f t="shared" si="285"/>
        <v>1</v>
      </c>
      <c r="AK421" s="15">
        <f t="shared" si="286"/>
        <v>1</v>
      </c>
      <c r="AL421" s="15">
        <f t="shared" si="287"/>
        <v>1</v>
      </c>
      <c r="AM421" s="15">
        <f t="shared" si="288"/>
        <v>1</v>
      </c>
      <c r="AN421" s="15">
        <f t="shared" si="289"/>
        <v>1</v>
      </c>
      <c r="AO421" s="15">
        <f t="shared" si="290"/>
        <v>1</v>
      </c>
      <c r="AP421" s="15">
        <f t="shared" si="291"/>
        <v>1</v>
      </c>
      <c r="AQ421" s="15">
        <f t="shared" si="292"/>
        <v>1</v>
      </c>
      <c r="AR421" s="15">
        <f t="shared" si="293"/>
        <v>1</v>
      </c>
      <c r="AS421" s="15">
        <f t="shared" si="294"/>
        <v>1</v>
      </c>
      <c r="AT421" s="15">
        <f t="shared" si="295"/>
        <v>1</v>
      </c>
      <c r="AU421" s="15">
        <f t="shared" si="296"/>
        <v>1</v>
      </c>
      <c r="AV421" s="15">
        <f t="shared" si="297"/>
        <v>1</v>
      </c>
      <c r="AW421" s="15">
        <f t="shared" si="298"/>
        <v>1</v>
      </c>
      <c r="AX421" s="15">
        <f t="shared" si="299"/>
        <v>1</v>
      </c>
      <c r="AY421" s="15">
        <f t="shared" si="300"/>
        <v>1</v>
      </c>
      <c r="AZ421" s="15">
        <f t="shared" si="301"/>
        <v>1</v>
      </c>
      <c r="BA421" s="15">
        <f t="shared" si="302"/>
        <v>1</v>
      </c>
      <c r="BB421" s="15">
        <f t="shared" si="270"/>
        <v>0</v>
      </c>
      <c r="BC421" s="15" t="str">
        <f t="shared" si="271"/>
        <v/>
      </c>
      <c r="BD421" s="15" t="str">
        <f t="shared" si="272"/>
        <v/>
      </c>
      <c r="BE421" s="11" t="e">
        <f t="shared" si="303"/>
        <v>#VALUE!</v>
      </c>
      <c r="BF421" s="11" t="e">
        <f t="shared" si="304"/>
        <v>#VALUE!</v>
      </c>
      <c r="BG421" s="11" t="e">
        <f t="shared" si="305"/>
        <v>#VALUE!</v>
      </c>
      <c r="BH421" t="str">
        <f t="shared" si="306"/>
        <v/>
      </c>
      <c r="BI421" t="str" cm="1">
        <f t="array" ref="BI421">_xlfn.IFS(
  L421&gt;0,"Critical Fail",
  M421&gt;0,"Important (Coaching)",
  TRUE,"Clean Pass"
)</f>
        <v>Clean Pass</v>
      </c>
      <c r="BJ421" t="str">
        <f t="shared" si="307"/>
        <v>NA</v>
      </c>
    </row>
    <row r="422" spans="1:62" x14ac:dyDescent="0.3">
      <c r="A422">
        <v>498786</v>
      </c>
      <c r="K422" t="str">
        <f t="shared" si="269"/>
        <v>Pass</v>
      </c>
      <c r="L422" s="15">
        <f t="shared" si="273"/>
        <v>0</v>
      </c>
      <c r="M422" s="15">
        <f t="shared" si="274"/>
        <v>0</v>
      </c>
      <c r="Z422" s="15">
        <f t="shared" si="275"/>
        <v>1</v>
      </c>
      <c r="AA422" s="15">
        <f t="shared" si="276"/>
        <v>1</v>
      </c>
      <c r="AB422" s="15">
        <f t="shared" si="277"/>
        <v>1</v>
      </c>
      <c r="AC422" s="15">
        <f t="shared" si="278"/>
        <v>1</v>
      </c>
      <c r="AD422" s="15">
        <f t="shared" si="279"/>
        <v>1</v>
      </c>
      <c r="AE422" s="15">
        <f t="shared" si="280"/>
        <v>1</v>
      </c>
      <c r="AF422" s="15">
        <f t="shared" si="281"/>
        <v>1</v>
      </c>
      <c r="AG422" s="15">
        <f t="shared" si="282"/>
        <v>1</v>
      </c>
      <c r="AH422" s="15">
        <f t="shared" si="283"/>
        <v>1</v>
      </c>
      <c r="AI422" s="15">
        <f t="shared" si="284"/>
        <v>1</v>
      </c>
      <c r="AJ422" s="15">
        <f t="shared" si="285"/>
        <v>1</v>
      </c>
      <c r="AK422" s="15">
        <f t="shared" si="286"/>
        <v>1</v>
      </c>
      <c r="AL422" s="15">
        <f t="shared" si="287"/>
        <v>1</v>
      </c>
      <c r="AM422" s="15">
        <f t="shared" si="288"/>
        <v>1</v>
      </c>
      <c r="AN422" s="15">
        <f t="shared" si="289"/>
        <v>1</v>
      </c>
      <c r="AO422" s="15">
        <f t="shared" si="290"/>
        <v>1</v>
      </c>
      <c r="AP422" s="15">
        <f t="shared" si="291"/>
        <v>1</v>
      </c>
      <c r="AQ422" s="15">
        <f t="shared" si="292"/>
        <v>1</v>
      </c>
      <c r="AR422" s="15">
        <f t="shared" si="293"/>
        <v>1</v>
      </c>
      <c r="AS422" s="15">
        <f t="shared" si="294"/>
        <v>1</v>
      </c>
      <c r="AT422" s="15">
        <f t="shared" si="295"/>
        <v>1</v>
      </c>
      <c r="AU422" s="15">
        <f t="shared" si="296"/>
        <v>1</v>
      </c>
      <c r="AV422" s="15">
        <f t="shared" si="297"/>
        <v>1</v>
      </c>
      <c r="AW422" s="15">
        <f t="shared" si="298"/>
        <v>1</v>
      </c>
      <c r="AX422" s="15">
        <f t="shared" si="299"/>
        <v>1</v>
      </c>
      <c r="AY422" s="15">
        <f t="shared" si="300"/>
        <v>1</v>
      </c>
      <c r="AZ422" s="15">
        <f t="shared" si="301"/>
        <v>1</v>
      </c>
      <c r="BA422" s="15">
        <f t="shared" si="302"/>
        <v>1</v>
      </c>
      <c r="BB422" s="15">
        <f t="shared" si="270"/>
        <v>0</v>
      </c>
      <c r="BC422" s="15" t="str">
        <f t="shared" si="271"/>
        <v/>
      </c>
      <c r="BD422" s="15" t="str">
        <f t="shared" si="272"/>
        <v/>
      </c>
      <c r="BE422" s="11" t="e">
        <f t="shared" si="303"/>
        <v>#VALUE!</v>
      </c>
      <c r="BF422" s="11" t="e">
        <f t="shared" si="304"/>
        <v>#VALUE!</v>
      </c>
      <c r="BG422" s="11" t="e">
        <f t="shared" si="305"/>
        <v>#VALUE!</v>
      </c>
      <c r="BH422" t="str">
        <f t="shared" si="306"/>
        <v/>
      </c>
      <c r="BI422" t="str" cm="1">
        <f t="array" ref="BI422">_xlfn.IFS(
  L422&gt;0,"Critical Fail",
  M422&gt;0,"Important (Coaching)",
  TRUE,"Clean Pass"
)</f>
        <v>Clean Pass</v>
      </c>
      <c r="BJ422" t="str">
        <f t="shared" si="307"/>
        <v>NA</v>
      </c>
    </row>
    <row r="423" spans="1:62" x14ac:dyDescent="0.3">
      <c r="A423">
        <v>758369</v>
      </c>
      <c r="K423" t="str">
        <f t="shared" si="269"/>
        <v>Pass</v>
      </c>
      <c r="L423" s="15">
        <f t="shared" si="273"/>
        <v>0</v>
      </c>
      <c r="M423" s="15">
        <f t="shared" si="274"/>
        <v>0</v>
      </c>
      <c r="Z423" s="15">
        <f t="shared" si="275"/>
        <v>1</v>
      </c>
      <c r="AA423" s="15">
        <f t="shared" si="276"/>
        <v>1</v>
      </c>
      <c r="AB423" s="15">
        <f t="shared" si="277"/>
        <v>1</v>
      </c>
      <c r="AC423" s="15">
        <f t="shared" si="278"/>
        <v>1</v>
      </c>
      <c r="AD423" s="15">
        <f t="shared" si="279"/>
        <v>1</v>
      </c>
      <c r="AE423" s="15">
        <f t="shared" si="280"/>
        <v>1</v>
      </c>
      <c r="AF423" s="15">
        <f t="shared" si="281"/>
        <v>1</v>
      </c>
      <c r="AG423" s="15">
        <f t="shared" si="282"/>
        <v>1</v>
      </c>
      <c r="AH423" s="15">
        <f t="shared" si="283"/>
        <v>1</v>
      </c>
      <c r="AI423" s="15">
        <f t="shared" si="284"/>
        <v>1</v>
      </c>
      <c r="AJ423" s="15">
        <f t="shared" si="285"/>
        <v>1</v>
      </c>
      <c r="AK423" s="15">
        <f t="shared" si="286"/>
        <v>1</v>
      </c>
      <c r="AL423" s="15">
        <f t="shared" si="287"/>
        <v>1</v>
      </c>
      <c r="AM423" s="15">
        <f t="shared" si="288"/>
        <v>1</v>
      </c>
      <c r="AN423" s="15">
        <f t="shared" si="289"/>
        <v>1</v>
      </c>
      <c r="AO423" s="15">
        <f t="shared" si="290"/>
        <v>1</v>
      </c>
      <c r="AP423" s="15">
        <f t="shared" si="291"/>
        <v>1</v>
      </c>
      <c r="AQ423" s="15">
        <f t="shared" si="292"/>
        <v>1</v>
      </c>
      <c r="AR423" s="15">
        <f t="shared" si="293"/>
        <v>1</v>
      </c>
      <c r="AS423" s="15">
        <f t="shared" si="294"/>
        <v>1</v>
      </c>
      <c r="AT423" s="15">
        <f t="shared" si="295"/>
        <v>1</v>
      </c>
      <c r="AU423" s="15">
        <f t="shared" si="296"/>
        <v>1</v>
      </c>
      <c r="AV423" s="15">
        <f t="shared" si="297"/>
        <v>1</v>
      </c>
      <c r="AW423" s="15">
        <f t="shared" si="298"/>
        <v>1</v>
      </c>
      <c r="AX423" s="15">
        <f t="shared" si="299"/>
        <v>1</v>
      </c>
      <c r="AY423" s="15">
        <f t="shared" si="300"/>
        <v>1</v>
      </c>
      <c r="AZ423" s="15">
        <f t="shared" si="301"/>
        <v>1</v>
      </c>
      <c r="BA423" s="15">
        <f t="shared" si="302"/>
        <v>1</v>
      </c>
      <c r="BB423" s="15">
        <f t="shared" si="270"/>
        <v>0</v>
      </c>
      <c r="BC423" s="15" t="str">
        <f t="shared" si="271"/>
        <v/>
      </c>
      <c r="BD423" s="15" t="str">
        <f t="shared" si="272"/>
        <v/>
      </c>
      <c r="BE423" s="11" t="e">
        <f t="shared" si="303"/>
        <v>#VALUE!</v>
      </c>
      <c r="BF423" s="11" t="e">
        <f t="shared" si="304"/>
        <v>#VALUE!</v>
      </c>
      <c r="BG423" s="11" t="e">
        <f t="shared" si="305"/>
        <v>#VALUE!</v>
      </c>
      <c r="BH423" t="str">
        <f t="shared" si="306"/>
        <v/>
      </c>
      <c r="BI423" t="str" cm="1">
        <f t="array" ref="BI423">_xlfn.IFS(
  L423&gt;0,"Critical Fail",
  M423&gt;0,"Important (Coaching)",
  TRUE,"Clean Pass"
)</f>
        <v>Clean Pass</v>
      </c>
      <c r="BJ423" t="str">
        <f t="shared" si="307"/>
        <v>NA</v>
      </c>
    </row>
    <row r="424" spans="1:62" x14ac:dyDescent="0.3">
      <c r="A424">
        <v>933543</v>
      </c>
      <c r="K424" t="str">
        <f t="shared" si="269"/>
        <v>Pass</v>
      </c>
      <c r="L424" s="15">
        <f t="shared" si="273"/>
        <v>0</v>
      </c>
      <c r="M424" s="15">
        <f t="shared" si="274"/>
        <v>0</v>
      </c>
      <c r="Z424" s="15">
        <f t="shared" si="275"/>
        <v>1</v>
      </c>
      <c r="AA424" s="15">
        <f t="shared" si="276"/>
        <v>1</v>
      </c>
      <c r="AB424" s="15">
        <f t="shared" si="277"/>
        <v>1</v>
      </c>
      <c r="AC424" s="15">
        <f t="shared" si="278"/>
        <v>1</v>
      </c>
      <c r="AD424" s="15">
        <f t="shared" si="279"/>
        <v>1</v>
      </c>
      <c r="AE424" s="15">
        <f t="shared" si="280"/>
        <v>1</v>
      </c>
      <c r="AF424" s="15">
        <f t="shared" si="281"/>
        <v>1</v>
      </c>
      <c r="AG424" s="15">
        <f t="shared" si="282"/>
        <v>1</v>
      </c>
      <c r="AH424" s="15">
        <f t="shared" si="283"/>
        <v>1</v>
      </c>
      <c r="AI424" s="15">
        <f t="shared" si="284"/>
        <v>1</v>
      </c>
      <c r="AJ424" s="15">
        <f t="shared" si="285"/>
        <v>1</v>
      </c>
      <c r="AK424" s="15">
        <f t="shared" si="286"/>
        <v>1</v>
      </c>
      <c r="AL424" s="15">
        <f t="shared" si="287"/>
        <v>1</v>
      </c>
      <c r="AM424" s="15">
        <f t="shared" si="288"/>
        <v>1</v>
      </c>
      <c r="AN424" s="15">
        <f t="shared" si="289"/>
        <v>1</v>
      </c>
      <c r="AO424" s="15">
        <f t="shared" si="290"/>
        <v>1</v>
      </c>
      <c r="AP424" s="15">
        <f t="shared" si="291"/>
        <v>1</v>
      </c>
      <c r="AQ424" s="15">
        <f t="shared" si="292"/>
        <v>1</v>
      </c>
      <c r="AR424" s="15">
        <f t="shared" si="293"/>
        <v>1</v>
      </c>
      <c r="AS424" s="15">
        <f t="shared" si="294"/>
        <v>1</v>
      </c>
      <c r="AT424" s="15">
        <f t="shared" si="295"/>
        <v>1</v>
      </c>
      <c r="AU424" s="15">
        <f t="shared" si="296"/>
        <v>1</v>
      </c>
      <c r="AV424" s="15">
        <f t="shared" si="297"/>
        <v>1</v>
      </c>
      <c r="AW424" s="15">
        <f t="shared" si="298"/>
        <v>1</v>
      </c>
      <c r="AX424" s="15">
        <f t="shared" si="299"/>
        <v>1</v>
      </c>
      <c r="AY424" s="15">
        <f t="shared" si="300"/>
        <v>1</v>
      </c>
      <c r="AZ424" s="15">
        <f t="shared" si="301"/>
        <v>1</v>
      </c>
      <c r="BA424" s="15">
        <f t="shared" si="302"/>
        <v>1</v>
      </c>
      <c r="BB424" s="15">
        <f t="shared" si="270"/>
        <v>0</v>
      </c>
      <c r="BC424" s="15" t="str">
        <f t="shared" si="271"/>
        <v/>
      </c>
      <c r="BD424" s="15" t="str">
        <f t="shared" si="272"/>
        <v/>
      </c>
      <c r="BE424" s="11" t="e">
        <f t="shared" si="303"/>
        <v>#VALUE!</v>
      </c>
      <c r="BF424" s="11" t="e">
        <f t="shared" si="304"/>
        <v>#VALUE!</v>
      </c>
      <c r="BG424" s="11" t="e">
        <f t="shared" si="305"/>
        <v>#VALUE!</v>
      </c>
      <c r="BH424" t="str">
        <f t="shared" si="306"/>
        <v/>
      </c>
      <c r="BI424" t="str" cm="1">
        <f t="array" ref="BI424">_xlfn.IFS(
  L424&gt;0,"Critical Fail",
  M424&gt;0,"Important (Coaching)",
  TRUE,"Clean Pass"
)</f>
        <v>Clean Pass</v>
      </c>
      <c r="BJ424" t="str">
        <f t="shared" si="307"/>
        <v>NA</v>
      </c>
    </row>
    <row r="425" spans="1:62" x14ac:dyDescent="0.3">
      <c r="A425">
        <v>244368</v>
      </c>
      <c r="K425" t="str">
        <f t="shared" si="269"/>
        <v>Pass</v>
      </c>
      <c r="L425" s="15">
        <f t="shared" si="273"/>
        <v>0</v>
      </c>
      <c r="M425" s="15">
        <f t="shared" si="274"/>
        <v>0</v>
      </c>
      <c r="Z425" s="15">
        <f t="shared" si="275"/>
        <v>1</v>
      </c>
      <c r="AA425" s="15">
        <f t="shared" si="276"/>
        <v>1</v>
      </c>
      <c r="AB425" s="15">
        <f t="shared" si="277"/>
        <v>1</v>
      </c>
      <c r="AC425" s="15">
        <f t="shared" si="278"/>
        <v>1</v>
      </c>
      <c r="AD425" s="15">
        <f t="shared" si="279"/>
        <v>1</v>
      </c>
      <c r="AE425" s="15">
        <f t="shared" si="280"/>
        <v>1</v>
      </c>
      <c r="AF425" s="15">
        <f t="shared" si="281"/>
        <v>1</v>
      </c>
      <c r="AG425" s="15">
        <f t="shared" si="282"/>
        <v>1</v>
      </c>
      <c r="AH425" s="15">
        <f t="shared" si="283"/>
        <v>1</v>
      </c>
      <c r="AI425" s="15">
        <f t="shared" si="284"/>
        <v>1</v>
      </c>
      <c r="AJ425" s="15">
        <f t="shared" si="285"/>
        <v>1</v>
      </c>
      <c r="AK425" s="15">
        <f t="shared" si="286"/>
        <v>1</v>
      </c>
      <c r="AL425" s="15">
        <f t="shared" si="287"/>
        <v>1</v>
      </c>
      <c r="AM425" s="15">
        <f t="shared" si="288"/>
        <v>1</v>
      </c>
      <c r="AN425" s="15">
        <f t="shared" si="289"/>
        <v>1</v>
      </c>
      <c r="AO425" s="15">
        <f t="shared" si="290"/>
        <v>1</v>
      </c>
      <c r="AP425" s="15">
        <f t="shared" si="291"/>
        <v>1</v>
      </c>
      <c r="AQ425" s="15">
        <f t="shared" si="292"/>
        <v>1</v>
      </c>
      <c r="AR425" s="15">
        <f t="shared" si="293"/>
        <v>1</v>
      </c>
      <c r="AS425" s="15">
        <f t="shared" si="294"/>
        <v>1</v>
      </c>
      <c r="AT425" s="15">
        <f t="shared" si="295"/>
        <v>1</v>
      </c>
      <c r="AU425" s="15">
        <f t="shared" si="296"/>
        <v>1</v>
      </c>
      <c r="AV425" s="15">
        <f t="shared" si="297"/>
        <v>1</v>
      </c>
      <c r="AW425" s="15">
        <f t="shared" si="298"/>
        <v>1</v>
      </c>
      <c r="AX425" s="15">
        <f t="shared" si="299"/>
        <v>1</v>
      </c>
      <c r="AY425" s="15">
        <f t="shared" si="300"/>
        <v>1</v>
      </c>
      <c r="AZ425" s="15">
        <f t="shared" si="301"/>
        <v>1</v>
      </c>
      <c r="BA425" s="15">
        <f t="shared" si="302"/>
        <v>1</v>
      </c>
      <c r="BB425" s="15">
        <f t="shared" si="270"/>
        <v>0</v>
      </c>
      <c r="BC425" s="15" t="str">
        <f t="shared" si="271"/>
        <v/>
      </c>
      <c r="BD425" s="15" t="str">
        <f t="shared" si="272"/>
        <v/>
      </c>
      <c r="BE425" s="11" t="e">
        <f t="shared" si="303"/>
        <v>#VALUE!</v>
      </c>
      <c r="BF425" s="11" t="e">
        <f t="shared" si="304"/>
        <v>#VALUE!</v>
      </c>
      <c r="BG425" s="11" t="e">
        <f t="shared" si="305"/>
        <v>#VALUE!</v>
      </c>
      <c r="BH425" t="str">
        <f t="shared" si="306"/>
        <v/>
      </c>
      <c r="BI425" t="str" cm="1">
        <f t="array" ref="BI425">_xlfn.IFS(
  L425&gt;0,"Critical Fail",
  M425&gt;0,"Important (Coaching)",
  TRUE,"Clean Pass"
)</f>
        <v>Clean Pass</v>
      </c>
      <c r="BJ425" t="str">
        <f t="shared" si="307"/>
        <v>NA</v>
      </c>
    </row>
    <row r="426" spans="1:62" x14ac:dyDescent="0.3">
      <c r="A426">
        <v>694711</v>
      </c>
      <c r="K426" t="str">
        <f t="shared" si="269"/>
        <v>Pass</v>
      </c>
      <c r="L426" s="15">
        <f t="shared" si="273"/>
        <v>0</v>
      </c>
      <c r="M426" s="15">
        <f t="shared" si="274"/>
        <v>0</v>
      </c>
      <c r="Z426" s="15">
        <f t="shared" si="275"/>
        <v>1</v>
      </c>
      <c r="AA426" s="15">
        <f t="shared" si="276"/>
        <v>1</v>
      </c>
      <c r="AB426" s="15">
        <f t="shared" si="277"/>
        <v>1</v>
      </c>
      <c r="AC426" s="15">
        <f t="shared" si="278"/>
        <v>1</v>
      </c>
      <c r="AD426" s="15">
        <f t="shared" si="279"/>
        <v>1</v>
      </c>
      <c r="AE426" s="15">
        <f t="shared" si="280"/>
        <v>1</v>
      </c>
      <c r="AF426" s="15">
        <f t="shared" si="281"/>
        <v>1</v>
      </c>
      <c r="AG426" s="15">
        <f t="shared" si="282"/>
        <v>1</v>
      </c>
      <c r="AH426" s="15">
        <f t="shared" si="283"/>
        <v>1</v>
      </c>
      <c r="AI426" s="15">
        <f t="shared" si="284"/>
        <v>1</v>
      </c>
      <c r="AJ426" s="15">
        <f t="shared" si="285"/>
        <v>1</v>
      </c>
      <c r="AK426" s="15">
        <f t="shared" si="286"/>
        <v>1</v>
      </c>
      <c r="AL426" s="15">
        <f t="shared" si="287"/>
        <v>1</v>
      </c>
      <c r="AM426" s="15">
        <f t="shared" si="288"/>
        <v>1</v>
      </c>
      <c r="AN426" s="15">
        <f t="shared" si="289"/>
        <v>1</v>
      </c>
      <c r="AO426" s="15">
        <f t="shared" si="290"/>
        <v>1</v>
      </c>
      <c r="AP426" s="15">
        <f t="shared" si="291"/>
        <v>1</v>
      </c>
      <c r="AQ426" s="15">
        <f t="shared" si="292"/>
        <v>1</v>
      </c>
      <c r="AR426" s="15">
        <f t="shared" si="293"/>
        <v>1</v>
      </c>
      <c r="AS426" s="15">
        <f t="shared" si="294"/>
        <v>1</v>
      </c>
      <c r="AT426" s="15">
        <f t="shared" si="295"/>
        <v>1</v>
      </c>
      <c r="AU426" s="15">
        <f t="shared" si="296"/>
        <v>1</v>
      </c>
      <c r="AV426" s="15">
        <f t="shared" si="297"/>
        <v>1</v>
      </c>
      <c r="AW426" s="15">
        <f t="shared" si="298"/>
        <v>1</v>
      </c>
      <c r="AX426" s="15">
        <f t="shared" si="299"/>
        <v>1</v>
      </c>
      <c r="AY426" s="15">
        <f t="shared" si="300"/>
        <v>1</v>
      </c>
      <c r="AZ426" s="15">
        <f t="shared" si="301"/>
        <v>1</v>
      </c>
      <c r="BA426" s="15">
        <f t="shared" si="302"/>
        <v>1</v>
      </c>
      <c r="BB426" s="15">
        <f t="shared" si="270"/>
        <v>0</v>
      </c>
      <c r="BC426" s="15" t="str">
        <f t="shared" si="271"/>
        <v/>
      </c>
      <c r="BD426" s="15" t="str">
        <f t="shared" si="272"/>
        <v/>
      </c>
      <c r="BE426" s="11" t="e">
        <f t="shared" si="303"/>
        <v>#VALUE!</v>
      </c>
      <c r="BF426" s="11" t="e">
        <f t="shared" si="304"/>
        <v>#VALUE!</v>
      </c>
      <c r="BG426" s="11" t="e">
        <f t="shared" si="305"/>
        <v>#VALUE!</v>
      </c>
      <c r="BH426" t="str">
        <f t="shared" si="306"/>
        <v/>
      </c>
      <c r="BI426" t="str" cm="1">
        <f t="array" ref="BI426">_xlfn.IFS(
  L426&gt;0,"Critical Fail",
  M426&gt;0,"Important (Coaching)",
  TRUE,"Clean Pass"
)</f>
        <v>Clean Pass</v>
      </c>
      <c r="BJ426" t="str">
        <f t="shared" si="307"/>
        <v>NA</v>
      </c>
    </row>
    <row r="427" spans="1:62" x14ac:dyDescent="0.3">
      <c r="A427">
        <v>847933</v>
      </c>
      <c r="K427" t="str">
        <f t="shared" si="269"/>
        <v>Pass</v>
      </c>
      <c r="L427" s="15">
        <f t="shared" si="273"/>
        <v>0</v>
      </c>
      <c r="M427" s="15">
        <f t="shared" si="274"/>
        <v>0</v>
      </c>
      <c r="Z427" s="15">
        <f t="shared" si="275"/>
        <v>1</v>
      </c>
      <c r="AA427" s="15">
        <f t="shared" si="276"/>
        <v>1</v>
      </c>
      <c r="AB427" s="15">
        <f t="shared" si="277"/>
        <v>1</v>
      </c>
      <c r="AC427" s="15">
        <f t="shared" si="278"/>
        <v>1</v>
      </c>
      <c r="AD427" s="15">
        <f t="shared" si="279"/>
        <v>1</v>
      </c>
      <c r="AE427" s="15">
        <f t="shared" si="280"/>
        <v>1</v>
      </c>
      <c r="AF427" s="15">
        <f t="shared" si="281"/>
        <v>1</v>
      </c>
      <c r="AG427" s="15">
        <f t="shared" si="282"/>
        <v>1</v>
      </c>
      <c r="AH427" s="15">
        <f t="shared" si="283"/>
        <v>1</v>
      </c>
      <c r="AI427" s="15">
        <f t="shared" si="284"/>
        <v>1</v>
      </c>
      <c r="AJ427" s="15">
        <f t="shared" si="285"/>
        <v>1</v>
      </c>
      <c r="AK427" s="15">
        <f t="shared" si="286"/>
        <v>1</v>
      </c>
      <c r="AL427" s="15">
        <f t="shared" si="287"/>
        <v>1</v>
      </c>
      <c r="AM427" s="15">
        <f t="shared" si="288"/>
        <v>1</v>
      </c>
      <c r="AN427" s="15">
        <f t="shared" si="289"/>
        <v>1</v>
      </c>
      <c r="AO427" s="15">
        <f t="shared" si="290"/>
        <v>1</v>
      </c>
      <c r="AP427" s="15">
        <f t="shared" si="291"/>
        <v>1</v>
      </c>
      <c r="AQ427" s="15">
        <f t="shared" si="292"/>
        <v>1</v>
      </c>
      <c r="AR427" s="15">
        <f t="shared" si="293"/>
        <v>1</v>
      </c>
      <c r="AS427" s="15">
        <f t="shared" si="294"/>
        <v>1</v>
      </c>
      <c r="AT427" s="15">
        <f t="shared" si="295"/>
        <v>1</v>
      </c>
      <c r="AU427" s="15">
        <f t="shared" si="296"/>
        <v>1</v>
      </c>
      <c r="AV427" s="15">
        <f t="shared" si="297"/>
        <v>1</v>
      </c>
      <c r="AW427" s="15">
        <f t="shared" si="298"/>
        <v>1</v>
      </c>
      <c r="AX427" s="15">
        <f t="shared" si="299"/>
        <v>1</v>
      </c>
      <c r="AY427" s="15">
        <f t="shared" si="300"/>
        <v>1</v>
      </c>
      <c r="AZ427" s="15">
        <f t="shared" si="301"/>
        <v>1</v>
      </c>
      <c r="BA427" s="15">
        <f t="shared" si="302"/>
        <v>1</v>
      </c>
      <c r="BB427" s="15">
        <f t="shared" si="270"/>
        <v>0</v>
      </c>
      <c r="BC427" s="15" t="str">
        <f t="shared" si="271"/>
        <v/>
      </c>
      <c r="BD427" s="15" t="str">
        <f t="shared" si="272"/>
        <v/>
      </c>
      <c r="BE427" s="11" t="e">
        <f t="shared" si="303"/>
        <v>#VALUE!</v>
      </c>
      <c r="BF427" s="11" t="e">
        <f t="shared" si="304"/>
        <v>#VALUE!</v>
      </c>
      <c r="BG427" s="11" t="e">
        <f t="shared" si="305"/>
        <v>#VALUE!</v>
      </c>
      <c r="BH427" t="str">
        <f t="shared" si="306"/>
        <v/>
      </c>
      <c r="BI427" t="str" cm="1">
        <f t="array" ref="BI427">_xlfn.IFS(
  L427&gt;0,"Critical Fail",
  M427&gt;0,"Important (Coaching)",
  TRUE,"Clean Pass"
)</f>
        <v>Clean Pass</v>
      </c>
      <c r="BJ427" t="str">
        <f t="shared" si="307"/>
        <v>NA</v>
      </c>
    </row>
    <row r="428" spans="1:62" x14ac:dyDescent="0.3">
      <c r="A428">
        <v>751173</v>
      </c>
      <c r="K428" t="str">
        <f t="shared" si="269"/>
        <v>Pass</v>
      </c>
      <c r="L428" s="15">
        <f t="shared" si="273"/>
        <v>0</v>
      </c>
      <c r="M428" s="15">
        <f t="shared" si="274"/>
        <v>0</v>
      </c>
      <c r="Z428" s="15">
        <f t="shared" si="275"/>
        <v>1</v>
      </c>
      <c r="AA428" s="15">
        <f t="shared" si="276"/>
        <v>1</v>
      </c>
      <c r="AB428" s="15">
        <f t="shared" si="277"/>
        <v>1</v>
      </c>
      <c r="AC428" s="15">
        <f t="shared" si="278"/>
        <v>1</v>
      </c>
      <c r="AD428" s="15">
        <f t="shared" si="279"/>
        <v>1</v>
      </c>
      <c r="AE428" s="15">
        <f t="shared" si="280"/>
        <v>1</v>
      </c>
      <c r="AF428" s="15">
        <f t="shared" si="281"/>
        <v>1</v>
      </c>
      <c r="AG428" s="15">
        <f t="shared" si="282"/>
        <v>1</v>
      </c>
      <c r="AH428" s="15">
        <f t="shared" si="283"/>
        <v>1</v>
      </c>
      <c r="AI428" s="15">
        <f t="shared" si="284"/>
        <v>1</v>
      </c>
      <c r="AJ428" s="15">
        <f t="shared" si="285"/>
        <v>1</v>
      </c>
      <c r="AK428" s="15">
        <f t="shared" si="286"/>
        <v>1</v>
      </c>
      <c r="AL428" s="15">
        <f t="shared" si="287"/>
        <v>1</v>
      </c>
      <c r="AM428" s="15">
        <f t="shared" si="288"/>
        <v>1</v>
      </c>
      <c r="AN428" s="15">
        <f t="shared" si="289"/>
        <v>1</v>
      </c>
      <c r="AO428" s="15">
        <f t="shared" si="290"/>
        <v>1</v>
      </c>
      <c r="AP428" s="15">
        <f t="shared" si="291"/>
        <v>1</v>
      </c>
      <c r="AQ428" s="15">
        <f t="shared" si="292"/>
        <v>1</v>
      </c>
      <c r="AR428" s="15">
        <f t="shared" si="293"/>
        <v>1</v>
      </c>
      <c r="AS428" s="15">
        <f t="shared" si="294"/>
        <v>1</v>
      </c>
      <c r="AT428" s="15">
        <f t="shared" si="295"/>
        <v>1</v>
      </c>
      <c r="AU428" s="15">
        <f t="shared" si="296"/>
        <v>1</v>
      </c>
      <c r="AV428" s="15">
        <f t="shared" si="297"/>
        <v>1</v>
      </c>
      <c r="AW428" s="15">
        <f t="shared" si="298"/>
        <v>1</v>
      </c>
      <c r="AX428" s="15">
        <f t="shared" si="299"/>
        <v>1</v>
      </c>
      <c r="AY428" s="15">
        <f t="shared" si="300"/>
        <v>1</v>
      </c>
      <c r="AZ428" s="15">
        <f t="shared" si="301"/>
        <v>1</v>
      </c>
      <c r="BA428" s="15">
        <f t="shared" si="302"/>
        <v>1</v>
      </c>
      <c r="BB428" s="15">
        <f t="shared" si="270"/>
        <v>0</v>
      </c>
      <c r="BC428" s="15" t="str">
        <f t="shared" si="271"/>
        <v/>
      </c>
      <c r="BD428" s="15" t="str">
        <f t="shared" si="272"/>
        <v/>
      </c>
      <c r="BE428" s="11" t="e">
        <f t="shared" si="303"/>
        <v>#VALUE!</v>
      </c>
      <c r="BF428" s="11" t="e">
        <f t="shared" si="304"/>
        <v>#VALUE!</v>
      </c>
      <c r="BG428" s="11" t="e">
        <f t="shared" si="305"/>
        <v>#VALUE!</v>
      </c>
      <c r="BH428" t="str">
        <f t="shared" si="306"/>
        <v/>
      </c>
      <c r="BI428" t="str" cm="1">
        <f t="array" ref="BI428">_xlfn.IFS(
  L428&gt;0,"Critical Fail",
  M428&gt;0,"Important (Coaching)",
  TRUE,"Clean Pass"
)</f>
        <v>Clean Pass</v>
      </c>
      <c r="BJ428" t="str">
        <f t="shared" si="307"/>
        <v>NA</v>
      </c>
    </row>
    <row r="429" spans="1:62" x14ac:dyDescent="0.3">
      <c r="A429">
        <v>697055</v>
      </c>
      <c r="K429" t="str">
        <f t="shared" si="269"/>
        <v>Pass</v>
      </c>
      <c r="L429" s="15">
        <f t="shared" si="273"/>
        <v>0</v>
      </c>
      <c r="M429" s="15">
        <f t="shared" si="274"/>
        <v>0</v>
      </c>
      <c r="Z429" s="15">
        <f t="shared" si="275"/>
        <v>1</v>
      </c>
      <c r="AA429" s="15">
        <f t="shared" si="276"/>
        <v>1</v>
      </c>
      <c r="AB429" s="15">
        <f t="shared" si="277"/>
        <v>1</v>
      </c>
      <c r="AC429" s="15">
        <f t="shared" si="278"/>
        <v>1</v>
      </c>
      <c r="AD429" s="15">
        <f t="shared" si="279"/>
        <v>1</v>
      </c>
      <c r="AE429" s="15">
        <f t="shared" si="280"/>
        <v>1</v>
      </c>
      <c r="AF429" s="15">
        <f t="shared" si="281"/>
        <v>1</v>
      </c>
      <c r="AG429" s="15">
        <f t="shared" si="282"/>
        <v>1</v>
      </c>
      <c r="AH429" s="15">
        <f t="shared" si="283"/>
        <v>1</v>
      </c>
      <c r="AI429" s="15">
        <f t="shared" si="284"/>
        <v>1</v>
      </c>
      <c r="AJ429" s="15">
        <f t="shared" si="285"/>
        <v>1</v>
      </c>
      <c r="AK429" s="15">
        <f t="shared" si="286"/>
        <v>1</v>
      </c>
      <c r="AL429" s="15">
        <f t="shared" si="287"/>
        <v>1</v>
      </c>
      <c r="AM429" s="15">
        <f t="shared" si="288"/>
        <v>1</v>
      </c>
      <c r="AN429" s="15">
        <f t="shared" si="289"/>
        <v>1</v>
      </c>
      <c r="AO429" s="15">
        <f t="shared" si="290"/>
        <v>1</v>
      </c>
      <c r="AP429" s="15">
        <f t="shared" si="291"/>
        <v>1</v>
      </c>
      <c r="AQ429" s="15">
        <f t="shared" si="292"/>
        <v>1</v>
      </c>
      <c r="AR429" s="15">
        <f t="shared" si="293"/>
        <v>1</v>
      </c>
      <c r="AS429" s="15">
        <f t="shared" si="294"/>
        <v>1</v>
      </c>
      <c r="AT429" s="15">
        <f t="shared" si="295"/>
        <v>1</v>
      </c>
      <c r="AU429" s="15">
        <f t="shared" si="296"/>
        <v>1</v>
      </c>
      <c r="AV429" s="15">
        <f t="shared" si="297"/>
        <v>1</v>
      </c>
      <c r="AW429" s="15">
        <f t="shared" si="298"/>
        <v>1</v>
      </c>
      <c r="AX429" s="15">
        <f t="shared" si="299"/>
        <v>1</v>
      </c>
      <c r="AY429" s="15">
        <f t="shared" si="300"/>
        <v>1</v>
      </c>
      <c r="AZ429" s="15">
        <f t="shared" si="301"/>
        <v>1</v>
      </c>
      <c r="BA429" s="15">
        <f t="shared" si="302"/>
        <v>1</v>
      </c>
      <c r="BB429" s="15">
        <f t="shared" si="270"/>
        <v>0</v>
      </c>
      <c r="BC429" s="15" t="str">
        <f t="shared" si="271"/>
        <v/>
      </c>
      <c r="BD429" s="15" t="str">
        <f t="shared" si="272"/>
        <v/>
      </c>
      <c r="BE429" s="11" t="e">
        <f t="shared" si="303"/>
        <v>#VALUE!</v>
      </c>
      <c r="BF429" s="11" t="e">
        <f t="shared" si="304"/>
        <v>#VALUE!</v>
      </c>
      <c r="BG429" s="11" t="e">
        <f t="shared" si="305"/>
        <v>#VALUE!</v>
      </c>
      <c r="BH429" t="str">
        <f t="shared" si="306"/>
        <v/>
      </c>
      <c r="BI429" t="str" cm="1">
        <f t="array" ref="BI429">_xlfn.IFS(
  L429&gt;0,"Critical Fail",
  M429&gt;0,"Important (Coaching)",
  TRUE,"Clean Pass"
)</f>
        <v>Clean Pass</v>
      </c>
      <c r="BJ429" t="str">
        <f t="shared" si="307"/>
        <v>NA</v>
      </c>
    </row>
    <row r="430" spans="1:62" x14ac:dyDescent="0.3">
      <c r="A430">
        <v>556701</v>
      </c>
      <c r="K430" t="str">
        <f t="shared" si="269"/>
        <v>Pass</v>
      </c>
      <c r="L430" s="15">
        <f t="shared" si="273"/>
        <v>0</v>
      </c>
      <c r="M430" s="15">
        <f t="shared" si="274"/>
        <v>0</v>
      </c>
      <c r="Z430" s="15">
        <f t="shared" si="275"/>
        <v>1</v>
      </c>
      <c r="AA430" s="15">
        <f t="shared" si="276"/>
        <v>1</v>
      </c>
      <c r="AB430" s="15">
        <f t="shared" si="277"/>
        <v>1</v>
      </c>
      <c r="AC430" s="15">
        <f t="shared" si="278"/>
        <v>1</v>
      </c>
      <c r="AD430" s="15">
        <f t="shared" si="279"/>
        <v>1</v>
      </c>
      <c r="AE430" s="15">
        <f t="shared" si="280"/>
        <v>1</v>
      </c>
      <c r="AF430" s="15">
        <f t="shared" si="281"/>
        <v>1</v>
      </c>
      <c r="AG430" s="15">
        <f t="shared" si="282"/>
        <v>1</v>
      </c>
      <c r="AH430" s="15">
        <f t="shared" si="283"/>
        <v>1</v>
      </c>
      <c r="AI430" s="15">
        <f t="shared" si="284"/>
        <v>1</v>
      </c>
      <c r="AJ430" s="15">
        <f t="shared" si="285"/>
        <v>1</v>
      </c>
      <c r="AK430" s="15">
        <f t="shared" si="286"/>
        <v>1</v>
      </c>
      <c r="AL430" s="15">
        <f t="shared" si="287"/>
        <v>1</v>
      </c>
      <c r="AM430" s="15">
        <f t="shared" si="288"/>
        <v>1</v>
      </c>
      <c r="AN430" s="15">
        <f t="shared" si="289"/>
        <v>1</v>
      </c>
      <c r="AO430" s="15">
        <f t="shared" si="290"/>
        <v>1</v>
      </c>
      <c r="AP430" s="15">
        <f t="shared" si="291"/>
        <v>1</v>
      </c>
      <c r="AQ430" s="15">
        <f t="shared" si="292"/>
        <v>1</v>
      </c>
      <c r="AR430" s="15">
        <f t="shared" si="293"/>
        <v>1</v>
      </c>
      <c r="AS430" s="15">
        <f t="shared" si="294"/>
        <v>1</v>
      </c>
      <c r="AT430" s="15">
        <f t="shared" si="295"/>
        <v>1</v>
      </c>
      <c r="AU430" s="15">
        <f t="shared" si="296"/>
        <v>1</v>
      </c>
      <c r="AV430" s="15">
        <f t="shared" si="297"/>
        <v>1</v>
      </c>
      <c r="AW430" s="15">
        <f t="shared" si="298"/>
        <v>1</v>
      </c>
      <c r="AX430" s="15">
        <f t="shared" si="299"/>
        <v>1</v>
      </c>
      <c r="AY430" s="15">
        <f t="shared" si="300"/>
        <v>1</v>
      </c>
      <c r="AZ430" s="15">
        <f t="shared" si="301"/>
        <v>1</v>
      </c>
      <c r="BA430" s="15">
        <f t="shared" si="302"/>
        <v>1</v>
      </c>
      <c r="BB430" s="15">
        <f t="shared" si="270"/>
        <v>0</v>
      </c>
      <c r="BC430" s="15" t="str">
        <f t="shared" si="271"/>
        <v/>
      </c>
      <c r="BD430" s="15" t="str">
        <f t="shared" si="272"/>
        <v/>
      </c>
      <c r="BE430" s="11" t="e">
        <f t="shared" si="303"/>
        <v>#VALUE!</v>
      </c>
      <c r="BF430" s="11" t="e">
        <f t="shared" si="304"/>
        <v>#VALUE!</v>
      </c>
      <c r="BG430" s="11" t="e">
        <f t="shared" si="305"/>
        <v>#VALUE!</v>
      </c>
      <c r="BH430" t="str">
        <f t="shared" si="306"/>
        <v/>
      </c>
      <c r="BI430" t="str" cm="1">
        <f t="array" ref="BI430">_xlfn.IFS(
  L430&gt;0,"Critical Fail",
  M430&gt;0,"Important (Coaching)",
  TRUE,"Clean Pass"
)</f>
        <v>Clean Pass</v>
      </c>
      <c r="BJ430" t="str">
        <f t="shared" si="307"/>
        <v>NA</v>
      </c>
    </row>
    <row r="431" spans="1:62" x14ac:dyDescent="0.3">
      <c r="A431">
        <v>634170</v>
      </c>
      <c r="K431" t="str">
        <f t="shared" si="269"/>
        <v>Pass</v>
      </c>
      <c r="L431" s="15">
        <f t="shared" si="273"/>
        <v>0</v>
      </c>
      <c r="M431" s="15">
        <f t="shared" si="274"/>
        <v>0</v>
      </c>
      <c r="Z431" s="15">
        <f t="shared" si="275"/>
        <v>1</v>
      </c>
      <c r="AA431" s="15">
        <f t="shared" si="276"/>
        <v>1</v>
      </c>
      <c r="AB431" s="15">
        <f t="shared" si="277"/>
        <v>1</v>
      </c>
      <c r="AC431" s="15">
        <f t="shared" si="278"/>
        <v>1</v>
      </c>
      <c r="AD431" s="15">
        <f t="shared" si="279"/>
        <v>1</v>
      </c>
      <c r="AE431" s="15">
        <f t="shared" si="280"/>
        <v>1</v>
      </c>
      <c r="AF431" s="15">
        <f t="shared" si="281"/>
        <v>1</v>
      </c>
      <c r="AG431" s="15">
        <f t="shared" si="282"/>
        <v>1</v>
      </c>
      <c r="AH431" s="15">
        <f t="shared" si="283"/>
        <v>1</v>
      </c>
      <c r="AI431" s="15">
        <f t="shared" si="284"/>
        <v>1</v>
      </c>
      <c r="AJ431" s="15">
        <f t="shared" si="285"/>
        <v>1</v>
      </c>
      <c r="AK431" s="15">
        <f t="shared" si="286"/>
        <v>1</v>
      </c>
      <c r="AL431" s="15">
        <f t="shared" si="287"/>
        <v>1</v>
      </c>
      <c r="AM431" s="15">
        <f t="shared" si="288"/>
        <v>1</v>
      </c>
      <c r="AN431" s="15">
        <f t="shared" si="289"/>
        <v>1</v>
      </c>
      <c r="AO431" s="15">
        <f t="shared" si="290"/>
        <v>1</v>
      </c>
      <c r="AP431" s="15">
        <f t="shared" si="291"/>
        <v>1</v>
      </c>
      <c r="AQ431" s="15">
        <f t="shared" si="292"/>
        <v>1</v>
      </c>
      <c r="AR431" s="15">
        <f t="shared" si="293"/>
        <v>1</v>
      </c>
      <c r="AS431" s="15">
        <f t="shared" si="294"/>
        <v>1</v>
      </c>
      <c r="AT431" s="15">
        <f t="shared" si="295"/>
        <v>1</v>
      </c>
      <c r="AU431" s="15">
        <f t="shared" si="296"/>
        <v>1</v>
      </c>
      <c r="AV431" s="15">
        <f t="shared" si="297"/>
        <v>1</v>
      </c>
      <c r="AW431" s="15">
        <f t="shared" si="298"/>
        <v>1</v>
      </c>
      <c r="AX431" s="15">
        <f t="shared" si="299"/>
        <v>1</v>
      </c>
      <c r="AY431" s="15">
        <f t="shared" si="300"/>
        <v>1</v>
      </c>
      <c r="AZ431" s="15">
        <f t="shared" si="301"/>
        <v>1</v>
      </c>
      <c r="BA431" s="15">
        <f t="shared" si="302"/>
        <v>1</v>
      </c>
      <c r="BB431" s="15">
        <f t="shared" si="270"/>
        <v>0</v>
      </c>
      <c r="BC431" s="15" t="str">
        <f t="shared" si="271"/>
        <v/>
      </c>
      <c r="BD431" s="15" t="str">
        <f t="shared" si="272"/>
        <v/>
      </c>
      <c r="BE431" s="11" t="e">
        <f t="shared" si="303"/>
        <v>#VALUE!</v>
      </c>
      <c r="BF431" s="11" t="e">
        <f t="shared" si="304"/>
        <v>#VALUE!</v>
      </c>
      <c r="BG431" s="11" t="e">
        <f t="shared" si="305"/>
        <v>#VALUE!</v>
      </c>
      <c r="BH431" t="str">
        <f t="shared" si="306"/>
        <v/>
      </c>
      <c r="BI431" t="str" cm="1">
        <f t="array" ref="BI431">_xlfn.IFS(
  L431&gt;0,"Critical Fail",
  M431&gt;0,"Important (Coaching)",
  TRUE,"Clean Pass"
)</f>
        <v>Clean Pass</v>
      </c>
      <c r="BJ431" t="str">
        <f t="shared" si="307"/>
        <v>NA</v>
      </c>
    </row>
    <row r="432" spans="1:62" x14ac:dyDescent="0.3">
      <c r="A432">
        <v>526162</v>
      </c>
      <c r="K432" t="str">
        <f t="shared" si="269"/>
        <v>Pass</v>
      </c>
      <c r="L432" s="15">
        <f t="shared" si="273"/>
        <v>0</v>
      </c>
      <c r="M432" s="15">
        <f t="shared" si="274"/>
        <v>0</v>
      </c>
      <c r="Z432" s="15">
        <f t="shared" si="275"/>
        <v>1</v>
      </c>
      <c r="AA432" s="15">
        <f t="shared" si="276"/>
        <v>1</v>
      </c>
      <c r="AB432" s="15">
        <f t="shared" si="277"/>
        <v>1</v>
      </c>
      <c r="AC432" s="15">
        <f t="shared" si="278"/>
        <v>1</v>
      </c>
      <c r="AD432" s="15">
        <f t="shared" si="279"/>
        <v>1</v>
      </c>
      <c r="AE432" s="15">
        <f t="shared" si="280"/>
        <v>1</v>
      </c>
      <c r="AF432" s="15">
        <f t="shared" si="281"/>
        <v>1</v>
      </c>
      <c r="AG432" s="15">
        <f t="shared" si="282"/>
        <v>1</v>
      </c>
      <c r="AH432" s="15">
        <f t="shared" si="283"/>
        <v>1</v>
      </c>
      <c r="AI432" s="15">
        <f t="shared" si="284"/>
        <v>1</v>
      </c>
      <c r="AJ432" s="15">
        <f t="shared" si="285"/>
        <v>1</v>
      </c>
      <c r="AK432" s="15">
        <f t="shared" si="286"/>
        <v>1</v>
      </c>
      <c r="AL432" s="15">
        <f t="shared" si="287"/>
        <v>1</v>
      </c>
      <c r="AM432" s="15">
        <f t="shared" si="288"/>
        <v>1</v>
      </c>
      <c r="AN432" s="15">
        <f t="shared" si="289"/>
        <v>1</v>
      </c>
      <c r="AO432" s="15">
        <f t="shared" si="290"/>
        <v>1</v>
      </c>
      <c r="AP432" s="15">
        <f t="shared" si="291"/>
        <v>1</v>
      </c>
      <c r="AQ432" s="15">
        <f t="shared" si="292"/>
        <v>1</v>
      </c>
      <c r="AR432" s="15">
        <f t="shared" si="293"/>
        <v>1</v>
      </c>
      <c r="AS432" s="15">
        <f t="shared" si="294"/>
        <v>1</v>
      </c>
      <c r="AT432" s="15">
        <f t="shared" si="295"/>
        <v>1</v>
      </c>
      <c r="AU432" s="15">
        <f t="shared" si="296"/>
        <v>1</v>
      </c>
      <c r="AV432" s="15">
        <f t="shared" si="297"/>
        <v>1</v>
      </c>
      <c r="AW432" s="15">
        <f t="shared" si="298"/>
        <v>1</v>
      </c>
      <c r="AX432" s="15">
        <f t="shared" si="299"/>
        <v>1</v>
      </c>
      <c r="AY432" s="15">
        <f t="shared" si="300"/>
        <v>1</v>
      </c>
      <c r="AZ432" s="15">
        <f t="shared" si="301"/>
        <v>1</v>
      </c>
      <c r="BA432" s="15">
        <f t="shared" si="302"/>
        <v>1</v>
      </c>
      <c r="BB432" s="15">
        <f t="shared" si="270"/>
        <v>0</v>
      </c>
      <c r="BC432" s="15" t="str">
        <f t="shared" si="271"/>
        <v/>
      </c>
      <c r="BD432" s="15" t="str">
        <f t="shared" si="272"/>
        <v/>
      </c>
      <c r="BE432" s="11" t="e">
        <f t="shared" si="303"/>
        <v>#VALUE!</v>
      </c>
      <c r="BF432" s="11" t="e">
        <f t="shared" si="304"/>
        <v>#VALUE!</v>
      </c>
      <c r="BG432" s="11" t="e">
        <f t="shared" si="305"/>
        <v>#VALUE!</v>
      </c>
      <c r="BH432" t="str">
        <f t="shared" si="306"/>
        <v/>
      </c>
      <c r="BI432" t="str" cm="1">
        <f t="array" ref="BI432">_xlfn.IFS(
  L432&gt;0,"Critical Fail",
  M432&gt;0,"Important (Coaching)",
  TRUE,"Clean Pass"
)</f>
        <v>Clean Pass</v>
      </c>
      <c r="BJ432" t="str">
        <f t="shared" si="307"/>
        <v>NA</v>
      </c>
    </row>
    <row r="433" spans="1:62" x14ac:dyDescent="0.3">
      <c r="A433">
        <v>994724</v>
      </c>
      <c r="K433" t="str">
        <f t="shared" si="269"/>
        <v>Pass</v>
      </c>
      <c r="L433" s="15">
        <f t="shared" si="273"/>
        <v>0</v>
      </c>
      <c r="M433" s="15">
        <f t="shared" si="274"/>
        <v>0</v>
      </c>
      <c r="Z433" s="15">
        <f t="shared" si="275"/>
        <v>1</v>
      </c>
      <c r="AA433" s="15">
        <f t="shared" si="276"/>
        <v>1</v>
      </c>
      <c r="AB433" s="15">
        <f t="shared" si="277"/>
        <v>1</v>
      </c>
      <c r="AC433" s="15">
        <f t="shared" si="278"/>
        <v>1</v>
      </c>
      <c r="AD433" s="15">
        <f t="shared" si="279"/>
        <v>1</v>
      </c>
      <c r="AE433" s="15">
        <f t="shared" si="280"/>
        <v>1</v>
      </c>
      <c r="AF433" s="15">
        <f t="shared" si="281"/>
        <v>1</v>
      </c>
      <c r="AG433" s="15">
        <f t="shared" si="282"/>
        <v>1</v>
      </c>
      <c r="AH433" s="15">
        <f t="shared" si="283"/>
        <v>1</v>
      </c>
      <c r="AI433" s="15">
        <f t="shared" si="284"/>
        <v>1</v>
      </c>
      <c r="AJ433" s="15">
        <f t="shared" si="285"/>
        <v>1</v>
      </c>
      <c r="AK433" s="15">
        <f t="shared" si="286"/>
        <v>1</v>
      </c>
      <c r="AL433" s="15">
        <f t="shared" si="287"/>
        <v>1</v>
      </c>
      <c r="AM433" s="15">
        <f t="shared" si="288"/>
        <v>1</v>
      </c>
      <c r="AN433" s="15">
        <f t="shared" si="289"/>
        <v>1</v>
      </c>
      <c r="AO433" s="15">
        <f t="shared" si="290"/>
        <v>1</v>
      </c>
      <c r="AP433" s="15">
        <f t="shared" si="291"/>
        <v>1</v>
      </c>
      <c r="AQ433" s="15">
        <f t="shared" si="292"/>
        <v>1</v>
      </c>
      <c r="AR433" s="15">
        <f t="shared" si="293"/>
        <v>1</v>
      </c>
      <c r="AS433" s="15">
        <f t="shared" si="294"/>
        <v>1</v>
      </c>
      <c r="AT433" s="15">
        <f t="shared" si="295"/>
        <v>1</v>
      </c>
      <c r="AU433" s="15">
        <f t="shared" si="296"/>
        <v>1</v>
      </c>
      <c r="AV433" s="15">
        <f t="shared" si="297"/>
        <v>1</v>
      </c>
      <c r="AW433" s="15">
        <f t="shared" si="298"/>
        <v>1</v>
      </c>
      <c r="AX433" s="15">
        <f t="shared" si="299"/>
        <v>1</v>
      </c>
      <c r="AY433" s="15">
        <f t="shared" si="300"/>
        <v>1</v>
      </c>
      <c r="AZ433" s="15">
        <f t="shared" si="301"/>
        <v>1</v>
      </c>
      <c r="BA433" s="15">
        <f t="shared" si="302"/>
        <v>1</v>
      </c>
      <c r="BB433" s="15">
        <f t="shared" si="270"/>
        <v>0</v>
      </c>
      <c r="BC433" s="15" t="str">
        <f t="shared" si="271"/>
        <v/>
      </c>
      <c r="BD433" s="15" t="str">
        <f t="shared" si="272"/>
        <v/>
      </c>
      <c r="BE433" s="11" t="e">
        <f t="shared" si="303"/>
        <v>#VALUE!</v>
      </c>
      <c r="BF433" s="11" t="e">
        <f t="shared" si="304"/>
        <v>#VALUE!</v>
      </c>
      <c r="BG433" s="11" t="e">
        <f t="shared" si="305"/>
        <v>#VALUE!</v>
      </c>
      <c r="BH433" t="str">
        <f t="shared" si="306"/>
        <v/>
      </c>
      <c r="BI433" t="str" cm="1">
        <f t="array" ref="BI433">_xlfn.IFS(
  L433&gt;0,"Critical Fail",
  M433&gt;0,"Important (Coaching)",
  TRUE,"Clean Pass"
)</f>
        <v>Clean Pass</v>
      </c>
      <c r="BJ433" t="str">
        <f t="shared" si="307"/>
        <v>NA</v>
      </c>
    </row>
    <row r="434" spans="1:62" x14ac:dyDescent="0.3">
      <c r="A434">
        <v>479683</v>
      </c>
      <c r="K434" t="str">
        <f t="shared" si="269"/>
        <v>Pass</v>
      </c>
      <c r="L434" s="15">
        <f t="shared" si="273"/>
        <v>0</v>
      </c>
      <c r="M434" s="15">
        <f t="shared" si="274"/>
        <v>0</v>
      </c>
      <c r="Z434" s="15">
        <f t="shared" si="275"/>
        <v>1</v>
      </c>
      <c r="AA434" s="15">
        <f t="shared" si="276"/>
        <v>1</v>
      </c>
      <c r="AB434" s="15">
        <f t="shared" si="277"/>
        <v>1</v>
      </c>
      <c r="AC434" s="15">
        <f t="shared" si="278"/>
        <v>1</v>
      </c>
      <c r="AD434" s="15">
        <f t="shared" si="279"/>
        <v>1</v>
      </c>
      <c r="AE434" s="15">
        <f t="shared" si="280"/>
        <v>1</v>
      </c>
      <c r="AF434" s="15">
        <f t="shared" si="281"/>
        <v>1</v>
      </c>
      <c r="AG434" s="15">
        <f t="shared" si="282"/>
        <v>1</v>
      </c>
      <c r="AH434" s="15">
        <f t="shared" si="283"/>
        <v>1</v>
      </c>
      <c r="AI434" s="15">
        <f t="shared" si="284"/>
        <v>1</v>
      </c>
      <c r="AJ434" s="15">
        <f t="shared" si="285"/>
        <v>1</v>
      </c>
      <c r="AK434" s="15">
        <f t="shared" si="286"/>
        <v>1</v>
      </c>
      <c r="AL434" s="15">
        <f t="shared" si="287"/>
        <v>1</v>
      </c>
      <c r="AM434" s="15">
        <f t="shared" si="288"/>
        <v>1</v>
      </c>
      <c r="AN434" s="15">
        <f t="shared" si="289"/>
        <v>1</v>
      </c>
      <c r="AO434" s="15">
        <f t="shared" si="290"/>
        <v>1</v>
      </c>
      <c r="AP434" s="15">
        <f t="shared" si="291"/>
        <v>1</v>
      </c>
      <c r="AQ434" s="15">
        <f t="shared" si="292"/>
        <v>1</v>
      </c>
      <c r="AR434" s="15">
        <f t="shared" si="293"/>
        <v>1</v>
      </c>
      <c r="AS434" s="15">
        <f t="shared" si="294"/>
        <v>1</v>
      </c>
      <c r="AT434" s="15">
        <f t="shared" si="295"/>
        <v>1</v>
      </c>
      <c r="AU434" s="15">
        <f t="shared" si="296"/>
        <v>1</v>
      </c>
      <c r="AV434" s="15">
        <f t="shared" si="297"/>
        <v>1</v>
      </c>
      <c r="AW434" s="15">
        <f t="shared" si="298"/>
        <v>1</v>
      </c>
      <c r="AX434" s="15">
        <f t="shared" si="299"/>
        <v>1</v>
      </c>
      <c r="AY434" s="15">
        <f t="shared" si="300"/>
        <v>1</v>
      </c>
      <c r="AZ434" s="15">
        <f t="shared" si="301"/>
        <v>1</v>
      </c>
      <c r="BA434" s="15">
        <f t="shared" si="302"/>
        <v>1</v>
      </c>
      <c r="BB434" s="15">
        <f t="shared" si="270"/>
        <v>0</v>
      </c>
      <c r="BC434" s="15" t="str">
        <f t="shared" si="271"/>
        <v/>
      </c>
      <c r="BD434" s="15" t="str">
        <f t="shared" si="272"/>
        <v/>
      </c>
      <c r="BE434" s="11" t="e">
        <f t="shared" si="303"/>
        <v>#VALUE!</v>
      </c>
      <c r="BF434" s="11" t="e">
        <f t="shared" si="304"/>
        <v>#VALUE!</v>
      </c>
      <c r="BG434" s="11" t="e">
        <f t="shared" si="305"/>
        <v>#VALUE!</v>
      </c>
      <c r="BH434" t="str">
        <f t="shared" si="306"/>
        <v/>
      </c>
      <c r="BI434" t="str" cm="1">
        <f t="array" ref="BI434">_xlfn.IFS(
  L434&gt;0,"Critical Fail",
  M434&gt;0,"Important (Coaching)",
  TRUE,"Clean Pass"
)</f>
        <v>Clean Pass</v>
      </c>
      <c r="BJ434" t="str">
        <f t="shared" si="307"/>
        <v>NA</v>
      </c>
    </row>
    <row r="435" spans="1:62" x14ac:dyDescent="0.3">
      <c r="A435">
        <v>717562</v>
      </c>
      <c r="K435" t="str">
        <f t="shared" si="269"/>
        <v>Pass</v>
      </c>
      <c r="L435" s="15">
        <f t="shared" si="273"/>
        <v>0</v>
      </c>
      <c r="M435" s="15">
        <f t="shared" si="274"/>
        <v>0</v>
      </c>
      <c r="Z435" s="15">
        <f t="shared" si="275"/>
        <v>1</v>
      </c>
      <c r="AA435" s="15">
        <f t="shared" si="276"/>
        <v>1</v>
      </c>
      <c r="AB435" s="15">
        <f t="shared" si="277"/>
        <v>1</v>
      </c>
      <c r="AC435" s="15">
        <f t="shared" si="278"/>
        <v>1</v>
      </c>
      <c r="AD435" s="15">
        <f t="shared" si="279"/>
        <v>1</v>
      </c>
      <c r="AE435" s="15">
        <f t="shared" si="280"/>
        <v>1</v>
      </c>
      <c r="AF435" s="15">
        <f t="shared" si="281"/>
        <v>1</v>
      </c>
      <c r="AG435" s="15">
        <f t="shared" si="282"/>
        <v>1</v>
      </c>
      <c r="AH435" s="15">
        <f t="shared" si="283"/>
        <v>1</v>
      </c>
      <c r="AI435" s="15">
        <f t="shared" si="284"/>
        <v>1</v>
      </c>
      <c r="AJ435" s="15">
        <f t="shared" si="285"/>
        <v>1</v>
      </c>
      <c r="AK435" s="15">
        <f t="shared" si="286"/>
        <v>1</v>
      </c>
      <c r="AL435" s="15">
        <f t="shared" si="287"/>
        <v>1</v>
      </c>
      <c r="AM435" s="15">
        <f t="shared" si="288"/>
        <v>1</v>
      </c>
      <c r="AN435" s="15">
        <f t="shared" si="289"/>
        <v>1</v>
      </c>
      <c r="AO435" s="15">
        <f t="shared" si="290"/>
        <v>1</v>
      </c>
      <c r="AP435" s="15">
        <f t="shared" si="291"/>
        <v>1</v>
      </c>
      <c r="AQ435" s="15">
        <f t="shared" si="292"/>
        <v>1</v>
      </c>
      <c r="AR435" s="15">
        <f t="shared" si="293"/>
        <v>1</v>
      </c>
      <c r="AS435" s="15">
        <f t="shared" si="294"/>
        <v>1</v>
      </c>
      <c r="AT435" s="15">
        <f t="shared" si="295"/>
        <v>1</v>
      </c>
      <c r="AU435" s="15">
        <f t="shared" si="296"/>
        <v>1</v>
      </c>
      <c r="AV435" s="15">
        <f t="shared" si="297"/>
        <v>1</v>
      </c>
      <c r="AW435" s="15">
        <f t="shared" si="298"/>
        <v>1</v>
      </c>
      <c r="AX435" s="15">
        <f t="shared" si="299"/>
        <v>1</v>
      </c>
      <c r="AY435" s="15">
        <f t="shared" si="300"/>
        <v>1</v>
      </c>
      <c r="AZ435" s="15">
        <f t="shared" si="301"/>
        <v>1</v>
      </c>
      <c r="BA435" s="15">
        <f t="shared" si="302"/>
        <v>1</v>
      </c>
      <c r="BB435" s="15">
        <f t="shared" si="270"/>
        <v>0</v>
      </c>
      <c r="BC435" s="15" t="str">
        <f t="shared" si="271"/>
        <v/>
      </c>
      <c r="BD435" s="15" t="str">
        <f t="shared" si="272"/>
        <v/>
      </c>
      <c r="BE435" s="11" t="e">
        <f t="shared" si="303"/>
        <v>#VALUE!</v>
      </c>
      <c r="BF435" s="11" t="e">
        <f t="shared" si="304"/>
        <v>#VALUE!</v>
      </c>
      <c r="BG435" s="11" t="e">
        <f t="shared" si="305"/>
        <v>#VALUE!</v>
      </c>
      <c r="BH435" t="str">
        <f t="shared" si="306"/>
        <v/>
      </c>
      <c r="BI435" t="str" cm="1">
        <f t="array" ref="BI435">_xlfn.IFS(
  L435&gt;0,"Critical Fail",
  M435&gt;0,"Important (Coaching)",
  TRUE,"Clean Pass"
)</f>
        <v>Clean Pass</v>
      </c>
      <c r="BJ435" t="str">
        <f t="shared" si="307"/>
        <v>NA</v>
      </c>
    </row>
    <row r="436" spans="1:62" x14ac:dyDescent="0.3">
      <c r="A436">
        <v>712041</v>
      </c>
      <c r="K436" t="str">
        <f t="shared" si="269"/>
        <v>Pass</v>
      </c>
      <c r="L436" s="15">
        <f t="shared" si="273"/>
        <v>0</v>
      </c>
      <c r="M436" s="15">
        <f t="shared" si="274"/>
        <v>0</v>
      </c>
      <c r="Z436" s="15">
        <f t="shared" si="275"/>
        <v>1</v>
      </c>
      <c r="AA436" s="15">
        <f t="shared" si="276"/>
        <v>1</v>
      </c>
      <c r="AB436" s="15">
        <f t="shared" si="277"/>
        <v>1</v>
      </c>
      <c r="AC436" s="15">
        <f t="shared" si="278"/>
        <v>1</v>
      </c>
      <c r="AD436" s="15">
        <f t="shared" si="279"/>
        <v>1</v>
      </c>
      <c r="AE436" s="15">
        <f t="shared" si="280"/>
        <v>1</v>
      </c>
      <c r="AF436" s="15">
        <f t="shared" si="281"/>
        <v>1</v>
      </c>
      <c r="AG436" s="15">
        <f t="shared" si="282"/>
        <v>1</v>
      </c>
      <c r="AH436" s="15">
        <f t="shared" si="283"/>
        <v>1</v>
      </c>
      <c r="AI436" s="15">
        <f t="shared" si="284"/>
        <v>1</v>
      </c>
      <c r="AJ436" s="15">
        <f t="shared" si="285"/>
        <v>1</v>
      </c>
      <c r="AK436" s="15">
        <f t="shared" si="286"/>
        <v>1</v>
      </c>
      <c r="AL436" s="15">
        <f t="shared" si="287"/>
        <v>1</v>
      </c>
      <c r="AM436" s="15">
        <f t="shared" si="288"/>
        <v>1</v>
      </c>
      <c r="AN436" s="15">
        <f t="shared" si="289"/>
        <v>1</v>
      </c>
      <c r="AO436" s="15">
        <f t="shared" si="290"/>
        <v>1</v>
      </c>
      <c r="AP436" s="15">
        <f t="shared" si="291"/>
        <v>1</v>
      </c>
      <c r="AQ436" s="15">
        <f t="shared" si="292"/>
        <v>1</v>
      </c>
      <c r="AR436" s="15">
        <f t="shared" si="293"/>
        <v>1</v>
      </c>
      <c r="AS436" s="15">
        <f t="shared" si="294"/>
        <v>1</v>
      </c>
      <c r="AT436" s="15">
        <f t="shared" si="295"/>
        <v>1</v>
      </c>
      <c r="AU436" s="15">
        <f t="shared" si="296"/>
        <v>1</v>
      </c>
      <c r="AV436" s="15">
        <f t="shared" si="297"/>
        <v>1</v>
      </c>
      <c r="AW436" s="15">
        <f t="shared" si="298"/>
        <v>1</v>
      </c>
      <c r="AX436" s="15">
        <f t="shared" si="299"/>
        <v>1</v>
      </c>
      <c r="AY436" s="15">
        <f t="shared" si="300"/>
        <v>1</v>
      </c>
      <c r="AZ436" s="15">
        <f t="shared" si="301"/>
        <v>1</v>
      </c>
      <c r="BA436" s="15">
        <f t="shared" si="302"/>
        <v>1</v>
      </c>
      <c r="BB436" s="15">
        <f t="shared" si="270"/>
        <v>0</v>
      </c>
      <c r="BC436" s="15" t="str">
        <f t="shared" si="271"/>
        <v/>
      </c>
      <c r="BD436" s="15" t="str">
        <f t="shared" si="272"/>
        <v/>
      </c>
      <c r="BE436" s="11" t="e">
        <f t="shared" si="303"/>
        <v>#VALUE!</v>
      </c>
      <c r="BF436" s="11" t="e">
        <f t="shared" si="304"/>
        <v>#VALUE!</v>
      </c>
      <c r="BG436" s="11" t="e">
        <f t="shared" si="305"/>
        <v>#VALUE!</v>
      </c>
      <c r="BH436" t="str">
        <f t="shared" si="306"/>
        <v/>
      </c>
      <c r="BI436" t="str" cm="1">
        <f t="array" ref="BI436">_xlfn.IFS(
  L436&gt;0,"Critical Fail",
  M436&gt;0,"Important (Coaching)",
  TRUE,"Clean Pass"
)</f>
        <v>Clean Pass</v>
      </c>
      <c r="BJ436" t="str">
        <f t="shared" si="307"/>
        <v>NA</v>
      </c>
    </row>
    <row r="437" spans="1:62" x14ac:dyDescent="0.3">
      <c r="A437">
        <v>470066</v>
      </c>
      <c r="K437" t="str">
        <f t="shared" si="269"/>
        <v>Pass</v>
      </c>
      <c r="L437" s="15">
        <f t="shared" si="273"/>
        <v>0</v>
      </c>
      <c r="M437" s="15">
        <f t="shared" si="274"/>
        <v>0</v>
      </c>
      <c r="Z437" s="15">
        <f t="shared" si="275"/>
        <v>1</v>
      </c>
      <c r="AA437" s="15">
        <f t="shared" si="276"/>
        <v>1</v>
      </c>
      <c r="AB437" s="15">
        <f t="shared" si="277"/>
        <v>1</v>
      </c>
      <c r="AC437" s="15">
        <f t="shared" si="278"/>
        <v>1</v>
      </c>
      <c r="AD437" s="15">
        <f t="shared" si="279"/>
        <v>1</v>
      </c>
      <c r="AE437" s="15">
        <f t="shared" si="280"/>
        <v>1</v>
      </c>
      <c r="AF437" s="15">
        <f t="shared" si="281"/>
        <v>1</v>
      </c>
      <c r="AG437" s="15">
        <f t="shared" si="282"/>
        <v>1</v>
      </c>
      <c r="AH437" s="15">
        <f t="shared" si="283"/>
        <v>1</v>
      </c>
      <c r="AI437" s="15">
        <f t="shared" si="284"/>
        <v>1</v>
      </c>
      <c r="AJ437" s="15">
        <f t="shared" si="285"/>
        <v>1</v>
      </c>
      <c r="AK437" s="15">
        <f t="shared" si="286"/>
        <v>1</v>
      </c>
      <c r="AL437" s="15">
        <f t="shared" si="287"/>
        <v>1</v>
      </c>
      <c r="AM437" s="15">
        <f t="shared" si="288"/>
        <v>1</v>
      </c>
      <c r="AN437" s="15">
        <f t="shared" si="289"/>
        <v>1</v>
      </c>
      <c r="AO437" s="15">
        <f t="shared" si="290"/>
        <v>1</v>
      </c>
      <c r="AP437" s="15">
        <f t="shared" si="291"/>
        <v>1</v>
      </c>
      <c r="AQ437" s="15">
        <f t="shared" si="292"/>
        <v>1</v>
      </c>
      <c r="AR437" s="15">
        <f t="shared" si="293"/>
        <v>1</v>
      </c>
      <c r="AS437" s="15">
        <f t="shared" si="294"/>
        <v>1</v>
      </c>
      <c r="AT437" s="15">
        <f t="shared" si="295"/>
        <v>1</v>
      </c>
      <c r="AU437" s="15">
        <f t="shared" si="296"/>
        <v>1</v>
      </c>
      <c r="AV437" s="15">
        <f t="shared" si="297"/>
        <v>1</v>
      </c>
      <c r="AW437" s="15">
        <f t="shared" si="298"/>
        <v>1</v>
      </c>
      <c r="AX437" s="15">
        <f t="shared" si="299"/>
        <v>1</v>
      </c>
      <c r="AY437" s="15">
        <f t="shared" si="300"/>
        <v>1</v>
      </c>
      <c r="AZ437" s="15">
        <f t="shared" si="301"/>
        <v>1</v>
      </c>
      <c r="BA437" s="15">
        <f t="shared" si="302"/>
        <v>1</v>
      </c>
      <c r="BB437" s="15">
        <f t="shared" si="270"/>
        <v>0</v>
      </c>
      <c r="BC437" s="15" t="str">
        <f t="shared" si="271"/>
        <v/>
      </c>
      <c r="BD437" s="15" t="str">
        <f t="shared" si="272"/>
        <v/>
      </c>
      <c r="BE437" s="11" t="e">
        <f t="shared" si="303"/>
        <v>#VALUE!</v>
      </c>
      <c r="BF437" s="11" t="e">
        <f t="shared" si="304"/>
        <v>#VALUE!</v>
      </c>
      <c r="BG437" s="11" t="e">
        <f t="shared" si="305"/>
        <v>#VALUE!</v>
      </c>
      <c r="BH437" t="str">
        <f t="shared" si="306"/>
        <v/>
      </c>
      <c r="BI437" t="str" cm="1">
        <f t="array" ref="BI437">_xlfn.IFS(
  L437&gt;0,"Critical Fail",
  M437&gt;0,"Important (Coaching)",
  TRUE,"Clean Pass"
)</f>
        <v>Clean Pass</v>
      </c>
      <c r="BJ437" t="str">
        <f t="shared" si="307"/>
        <v>NA</v>
      </c>
    </row>
    <row r="438" spans="1:62" x14ac:dyDescent="0.3">
      <c r="A438">
        <v>389653</v>
      </c>
      <c r="K438" t="str">
        <f t="shared" si="269"/>
        <v>Pass</v>
      </c>
      <c r="L438" s="15">
        <f t="shared" si="273"/>
        <v>0</v>
      </c>
      <c r="M438" s="15">
        <f t="shared" si="274"/>
        <v>0</v>
      </c>
      <c r="Z438" s="15">
        <f t="shared" si="275"/>
        <v>1</v>
      </c>
      <c r="AA438" s="15">
        <f t="shared" si="276"/>
        <v>1</v>
      </c>
      <c r="AB438" s="15">
        <f t="shared" si="277"/>
        <v>1</v>
      </c>
      <c r="AC438" s="15">
        <f t="shared" si="278"/>
        <v>1</v>
      </c>
      <c r="AD438" s="15">
        <f t="shared" si="279"/>
        <v>1</v>
      </c>
      <c r="AE438" s="15">
        <f t="shared" si="280"/>
        <v>1</v>
      </c>
      <c r="AF438" s="15">
        <f t="shared" si="281"/>
        <v>1</v>
      </c>
      <c r="AG438" s="15">
        <f t="shared" si="282"/>
        <v>1</v>
      </c>
      <c r="AH438" s="15">
        <f t="shared" si="283"/>
        <v>1</v>
      </c>
      <c r="AI438" s="15">
        <f t="shared" si="284"/>
        <v>1</v>
      </c>
      <c r="AJ438" s="15">
        <f t="shared" si="285"/>
        <v>1</v>
      </c>
      <c r="AK438" s="15">
        <f t="shared" si="286"/>
        <v>1</v>
      </c>
      <c r="AL438" s="15">
        <f t="shared" si="287"/>
        <v>1</v>
      </c>
      <c r="AM438" s="15">
        <f t="shared" si="288"/>
        <v>1</v>
      </c>
      <c r="AN438" s="15">
        <f t="shared" si="289"/>
        <v>1</v>
      </c>
      <c r="AO438" s="15">
        <f t="shared" si="290"/>
        <v>1</v>
      </c>
      <c r="AP438" s="15">
        <f t="shared" si="291"/>
        <v>1</v>
      </c>
      <c r="AQ438" s="15">
        <f t="shared" si="292"/>
        <v>1</v>
      </c>
      <c r="AR438" s="15">
        <f t="shared" si="293"/>
        <v>1</v>
      </c>
      <c r="AS438" s="15">
        <f t="shared" si="294"/>
        <v>1</v>
      </c>
      <c r="AT438" s="15">
        <f t="shared" si="295"/>
        <v>1</v>
      </c>
      <c r="AU438" s="15">
        <f t="shared" si="296"/>
        <v>1</v>
      </c>
      <c r="AV438" s="15">
        <f t="shared" si="297"/>
        <v>1</v>
      </c>
      <c r="AW438" s="15">
        <f t="shared" si="298"/>
        <v>1</v>
      </c>
      <c r="AX438" s="15">
        <f t="shared" si="299"/>
        <v>1</v>
      </c>
      <c r="AY438" s="15">
        <f t="shared" si="300"/>
        <v>1</v>
      </c>
      <c r="AZ438" s="15">
        <f t="shared" si="301"/>
        <v>1</v>
      </c>
      <c r="BA438" s="15">
        <f t="shared" si="302"/>
        <v>1</v>
      </c>
      <c r="BB438" s="15">
        <f t="shared" si="270"/>
        <v>0</v>
      </c>
      <c r="BC438" s="15" t="str">
        <f t="shared" si="271"/>
        <v/>
      </c>
      <c r="BD438" s="15" t="str">
        <f t="shared" si="272"/>
        <v/>
      </c>
      <c r="BE438" s="11" t="e">
        <f t="shared" si="303"/>
        <v>#VALUE!</v>
      </c>
      <c r="BF438" s="11" t="e">
        <f t="shared" si="304"/>
        <v>#VALUE!</v>
      </c>
      <c r="BG438" s="11" t="e">
        <f t="shared" si="305"/>
        <v>#VALUE!</v>
      </c>
      <c r="BH438" t="str">
        <f t="shared" si="306"/>
        <v/>
      </c>
      <c r="BI438" t="str" cm="1">
        <f t="array" ref="BI438">_xlfn.IFS(
  L438&gt;0,"Critical Fail",
  M438&gt;0,"Important (Coaching)",
  TRUE,"Clean Pass"
)</f>
        <v>Clean Pass</v>
      </c>
      <c r="BJ438" t="str">
        <f t="shared" si="307"/>
        <v>NA</v>
      </c>
    </row>
    <row r="439" spans="1:62" x14ac:dyDescent="0.3">
      <c r="A439">
        <v>220178</v>
      </c>
      <c r="K439" t="str">
        <f t="shared" si="269"/>
        <v>Pass</v>
      </c>
      <c r="L439" s="15">
        <f t="shared" si="273"/>
        <v>0</v>
      </c>
      <c r="M439" s="15">
        <f t="shared" si="274"/>
        <v>0</v>
      </c>
      <c r="Z439" s="15">
        <f t="shared" si="275"/>
        <v>1</v>
      </c>
      <c r="AA439" s="15">
        <f t="shared" si="276"/>
        <v>1</v>
      </c>
      <c r="AB439" s="15">
        <f t="shared" si="277"/>
        <v>1</v>
      </c>
      <c r="AC439" s="15">
        <f t="shared" si="278"/>
        <v>1</v>
      </c>
      <c r="AD439" s="15">
        <f t="shared" si="279"/>
        <v>1</v>
      </c>
      <c r="AE439" s="15">
        <f t="shared" si="280"/>
        <v>1</v>
      </c>
      <c r="AF439" s="15">
        <f t="shared" si="281"/>
        <v>1</v>
      </c>
      <c r="AG439" s="15">
        <f t="shared" si="282"/>
        <v>1</v>
      </c>
      <c r="AH439" s="15">
        <f t="shared" si="283"/>
        <v>1</v>
      </c>
      <c r="AI439" s="15">
        <f t="shared" si="284"/>
        <v>1</v>
      </c>
      <c r="AJ439" s="15">
        <f t="shared" si="285"/>
        <v>1</v>
      </c>
      <c r="AK439" s="15">
        <f t="shared" si="286"/>
        <v>1</v>
      </c>
      <c r="AL439" s="15">
        <f t="shared" si="287"/>
        <v>1</v>
      </c>
      <c r="AM439" s="15">
        <f t="shared" si="288"/>
        <v>1</v>
      </c>
      <c r="AN439" s="15">
        <f t="shared" si="289"/>
        <v>1</v>
      </c>
      <c r="AO439" s="15">
        <f t="shared" si="290"/>
        <v>1</v>
      </c>
      <c r="AP439" s="15">
        <f t="shared" si="291"/>
        <v>1</v>
      </c>
      <c r="AQ439" s="15">
        <f t="shared" si="292"/>
        <v>1</v>
      </c>
      <c r="AR439" s="15">
        <f t="shared" si="293"/>
        <v>1</v>
      </c>
      <c r="AS439" s="15">
        <f t="shared" si="294"/>
        <v>1</v>
      </c>
      <c r="AT439" s="15">
        <f t="shared" si="295"/>
        <v>1</v>
      </c>
      <c r="AU439" s="15">
        <f t="shared" si="296"/>
        <v>1</v>
      </c>
      <c r="AV439" s="15">
        <f t="shared" si="297"/>
        <v>1</v>
      </c>
      <c r="AW439" s="15">
        <f t="shared" si="298"/>
        <v>1</v>
      </c>
      <c r="AX439" s="15">
        <f t="shared" si="299"/>
        <v>1</v>
      </c>
      <c r="AY439" s="15">
        <f t="shared" si="300"/>
        <v>1</v>
      </c>
      <c r="AZ439" s="15">
        <f t="shared" si="301"/>
        <v>1</v>
      </c>
      <c r="BA439" s="15">
        <f t="shared" si="302"/>
        <v>1</v>
      </c>
      <c r="BB439" s="15">
        <f t="shared" si="270"/>
        <v>0</v>
      </c>
      <c r="BC439" s="15" t="str">
        <f t="shared" si="271"/>
        <v/>
      </c>
      <c r="BD439" s="15" t="str">
        <f t="shared" si="272"/>
        <v/>
      </c>
      <c r="BE439" s="11" t="e">
        <f t="shared" si="303"/>
        <v>#VALUE!</v>
      </c>
      <c r="BF439" s="11" t="e">
        <f t="shared" si="304"/>
        <v>#VALUE!</v>
      </c>
      <c r="BG439" s="11" t="e">
        <f t="shared" si="305"/>
        <v>#VALUE!</v>
      </c>
      <c r="BH439" t="str">
        <f t="shared" si="306"/>
        <v/>
      </c>
      <c r="BI439" t="str" cm="1">
        <f t="array" ref="BI439">_xlfn.IFS(
  L439&gt;0,"Critical Fail",
  M439&gt;0,"Important (Coaching)",
  TRUE,"Clean Pass"
)</f>
        <v>Clean Pass</v>
      </c>
      <c r="BJ439" t="str">
        <f t="shared" si="307"/>
        <v>NA</v>
      </c>
    </row>
    <row r="440" spans="1:62" x14ac:dyDescent="0.3">
      <c r="A440">
        <v>116726</v>
      </c>
      <c r="K440" t="str">
        <f t="shared" si="269"/>
        <v>Pass</v>
      </c>
      <c r="L440" s="15">
        <f t="shared" si="273"/>
        <v>0</v>
      </c>
      <c r="M440" s="15">
        <f t="shared" si="274"/>
        <v>0</v>
      </c>
      <c r="Z440" s="15">
        <f t="shared" si="275"/>
        <v>1</v>
      </c>
      <c r="AA440" s="15">
        <f t="shared" si="276"/>
        <v>1</v>
      </c>
      <c r="AB440" s="15">
        <f t="shared" si="277"/>
        <v>1</v>
      </c>
      <c r="AC440" s="15">
        <f t="shared" si="278"/>
        <v>1</v>
      </c>
      <c r="AD440" s="15">
        <f t="shared" si="279"/>
        <v>1</v>
      </c>
      <c r="AE440" s="15">
        <f t="shared" si="280"/>
        <v>1</v>
      </c>
      <c r="AF440" s="15">
        <f t="shared" si="281"/>
        <v>1</v>
      </c>
      <c r="AG440" s="15">
        <f t="shared" si="282"/>
        <v>1</v>
      </c>
      <c r="AH440" s="15">
        <f t="shared" si="283"/>
        <v>1</v>
      </c>
      <c r="AI440" s="15">
        <f t="shared" si="284"/>
        <v>1</v>
      </c>
      <c r="AJ440" s="15">
        <f t="shared" si="285"/>
        <v>1</v>
      </c>
      <c r="AK440" s="15">
        <f t="shared" si="286"/>
        <v>1</v>
      </c>
      <c r="AL440" s="15">
        <f t="shared" si="287"/>
        <v>1</v>
      </c>
      <c r="AM440" s="15">
        <f t="shared" si="288"/>
        <v>1</v>
      </c>
      <c r="AN440" s="15">
        <f t="shared" si="289"/>
        <v>1</v>
      </c>
      <c r="AO440" s="15">
        <f t="shared" si="290"/>
        <v>1</v>
      </c>
      <c r="AP440" s="15">
        <f t="shared" si="291"/>
        <v>1</v>
      </c>
      <c r="AQ440" s="15">
        <f t="shared" si="292"/>
        <v>1</v>
      </c>
      <c r="AR440" s="15">
        <f t="shared" si="293"/>
        <v>1</v>
      </c>
      <c r="AS440" s="15">
        <f t="shared" si="294"/>
        <v>1</v>
      </c>
      <c r="AT440" s="15">
        <f t="shared" si="295"/>
        <v>1</v>
      </c>
      <c r="AU440" s="15">
        <f t="shared" si="296"/>
        <v>1</v>
      </c>
      <c r="AV440" s="15">
        <f t="shared" si="297"/>
        <v>1</v>
      </c>
      <c r="AW440" s="15">
        <f t="shared" si="298"/>
        <v>1</v>
      </c>
      <c r="AX440" s="15">
        <f t="shared" si="299"/>
        <v>1</v>
      </c>
      <c r="AY440" s="15">
        <f t="shared" si="300"/>
        <v>1</v>
      </c>
      <c r="AZ440" s="15">
        <f t="shared" si="301"/>
        <v>1</v>
      </c>
      <c r="BA440" s="15">
        <f t="shared" si="302"/>
        <v>1</v>
      </c>
      <c r="BB440" s="15">
        <f t="shared" si="270"/>
        <v>0</v>
      </c>
      <c r="BC440" s="15" t="str">
        <f t="shared" si="271"/>
        <v/>
      </c>
      <c r="BD440" s="15" t="str">
        <f t="shared" si="272"/>
        <v/>
      </c>
      <c r="BE440" s="11" t="e">
        <f t="shared" si="303"/>
        <v>#VALUE!</v>
      </c>
      <c r="BF440" s="11" t="e">
        <f t="shared" si="304"/>
        <v>#VALUE!</v>
      </c>
      <c r="BG440" s="11" t="e">
        <f t="shared" si="305"/>
        <v>#VALUE!</v>
      </c>
      <c r="BH440" t="str">
        <f t="shared" si="306"/>
        <v/>
      </c>
      <c r="BI440" t="str" cm="1">
        <f t="array" ref="BI440">_xlfn.IFS(
  L440&gt;0,"Critical Fail",
  M440&gt;0,"Important (Coaching)",
  TRUE,"Clean Pass"
)</f>
        <v>Clean Pass</v>
      </c>
      <c r="BJ440" t="str">
        <f t="shared" si="307"/>
        <v>NA</v>
      </c>
    </row>
    <row r="441" spans="1:62" x14ac:dyDescent="0.3">
      <c r="A441">
        <v>637296</v>
      </c>
      <c r="K441" t="str">
        <f t="shared" si="269"/>
        <v>Pass</v>
      </c>
      <c r="L441" s="15">
        <f t="shared" si="273"/>
        <v>0</v>
      </c>
      <c r="M441" s="15">
        <f t="shared" si="274"/>
        <v>0</v>
      </c>
      <c r="Z441" s="15">
        <f t="shared" si="275"/>
        <v>1</v>
      </c>
      <c r="AA441" s="15">
        <f t="shared" si="276"/>
        <v>1</v>
      </c>
      <c r="AB441" s="15">
        <f t="shared" si="277"/>
        <v>1</v>
      </c>
      <c r="AC441" s="15">
        <f t="shared" si="278"/>
        <v>1</v>
      </c>
      <c r="AD441" s="15">
        <f t="shared" si="279"/>
        <v>1</v>
      </c>
      <c r="AE441" s="15">
        <f t="shared" si="280"/>
        <v>1</v>
      </c>
      <c r="AF441" s="15">
        <f t="shared" si="281"/>
        <v>1</v>
      </c>
      <c r="AG441" s="15">
        <f t="shared" si="282"/>
        <v>1</v>
      </c>
      <c r="AH441" s="15">
        <f t="shared" si="283"/>
        <v>1</v>
      </c>
      <c r="AI441" s="15">
        <f t="shared" si="284"/>
        <v>1</v>
      </c>
      <c r="AJ441" s="15">
        <f t="shared" si="285"/>
        <v>1</v>
      </c>
      <c r="AK441" s="15">
        <f t="shared" si="286"/>
        <v>1</v>
      </c>
      <c r="AL441" s="15">
        <f t="shared" si="287"/>
        <v>1</v>
      </c>
      <c r="AM441" s="15">
        <f t="shared" si="288"/>
        <v>1</v>
      </c>
      <c r="AN441" s="15">
        <f t="shared" si="289"/>
        <v>1</v>
      </c>
      <c r="AO441" s="15">
        <f t="shared" si="290"/>
        <v>1</v>
      </c>
      <c r="AP441" s="15">
        <f t="shared" si="291"/>
        <v>1</v>
      </c>
      <c r="AQ441" s="15">
        <f t="shared" si="292"/>
        <v>1</v>
      </c>
      <c r="AR441" s="15">
        <f t="shared" si="293"/>
        <v>1</v>
      </c>
      <c r="AS441" s="15">
        <f t="shared" si="294"/>
        <v>1</v>
      </c>
      <c r="AT441" s="15">
        <f t="shared" si="295"/>
        <v>1</v>
      </c>
      <c r="AU441" s="15">
        <f t="shared" si="296"/>
        <v>1</v>
      </c>
      <c r="AV441" s="15">
        <f t="shared" si="297"/>
        <v>1</v>
      </c>
      <c r="AW441" s="15">
        <f t="shared" si="298"/>
        <v>1</v>
      </c>
      <c r="AX441" s="15">
        <f t="shared" si="299"/>
        <v>1</v>
      </c>
      <c r="AY441" s="15">
        <f t="shared" si="300"/>
        <v>1</v>
      </c>
      <c r="AZ441" s="15">
        <f t="shared" si="301"/>
        <v>1</v>
      </c>
      <c r="BA441" s="15">
        <f t="shared" si="302"/>
        <v>1</v>
      </c>
      <c r="BB441" s="15">
        <f t="shared" si="270"/>
        <v>0</v>
      </c>
      <c r="BC441" s="15" t="str">
        <f t="shared" si="271"/>
        <v/>
      </c>
      <c r="BD441" s="15" t="str">
        <f t="shared" si="272"/>
        <v/>
      </c>
      <c r="BE441" s="11" t="e">
        <f t="shared" si="303"/>
        <v>#VALUE!</v>
      </c>
      <c r="BF441" s="11" t="e">
        <f t="shared" si="304"/>
        <v>#VALUE!</v>
      </c>
      <c r="BG441" s="11" t="e">
        <f t="shared" si="305"/>
        <v>#VALUE!</v>
      </c>
      <c r="BH441" t="str">
        <f t="shared" si="306"/>
        <v/>
      </c>
      <c r="BI441" t="str" cm="1">
        <f t="array" ref="BI441">_xlfn.IFS(
  L441&gt;0,"Critical Fail",
  M441&gt;0,"Important (Coaching)",
  TRUE,"Clean Pass"
)</f>
        <v>Clean Pass</v>
      </c>
      <c r="BJ441" t="str">
        <f t="shared" si="307"/>
        <v>NA</v>
      </c>
    </row>
    <row r="442" spans="1:62" x14ac:dyDescent="0.3">
      <c r="A442">
        <v>369195</v>
      </c>
      <c r="K442" t="str">
        <f t="shared" si="269"/>
        <v>Pass</v>
      </c>
      <c r="L442" s="15">
        <f t="shared" si="273"/>
        <v>0</v>
      </c>
      <c r="M442" s="15">
        <f t="shared" si="274"/>
        <v>0</v>
      </c>
      <c r="Z442" s="15">
        <f t="shared" si="275"/>
        <v>1</v>
      </c>
      <c r="AA442" s="15">
        <f t="shared" si="276"/>
        <v>1</v>
      </c>
      <c r="AB442" s="15">
        <f t="shared" si="277"/>
        <v>1</v>
      </c>
      <c r="AC442" s="15">
        <f t="shared" si="278"/>
        <v>1</v>
      </c>
      <c r="AD442" s="15">
        <f t="shared" si="279"/>
        <v>1</v>
      </c>
      <c r="AE442" s="15">
        <f t="shared" si="280"/>
        <v>1</v>
      </c>
      <c r="AF442" s="15">
        <f t="shared" si="281"/>
        <v>1</v>
      </c>
      <c r="AG442" s="15">
        <f t="shared" si="282"/>
        <v>1</v>
      </c>
      <c r="AH442" s="15">
        <f t="shared" si="283"/>
        <v>1</v>
      </c>
      <c r="AI442" s="15">
        <f t="shared" si="284"/>
        <v>1</v>
      </c>
      <c r="AJ442" s="15">
        <f t="shared" si="285"/>
        <v>1</v>
      </c>
      <c r="AK442" s="15">
        <f t="shared" si="286"/>
        <v>1</v>
      </c>
      <c r="AL442" s="15">
        <f t="shared" si="287"/>
        <v>1</v>
      </c>
      <c r="AM442" s="15">
        <f t="shared" si="288"/>
        <v>1</v>
      </c>
      <c r="AN442" s="15">
        <f t="shared" si="289"/>
        <v>1</v>
      </c>
      <c r="AO442" s="15">
        <f t="shared" si="290"/>
        <v>1</v>
      </c>
      <c r="AP442" s="15">
        <f t="shared" si="291"/>
        <v>1</v>
      </c>
      <c r="AQ442" s="15">
        <f t="shared" si="292"/>
        <v>1</v>
      </c>
      <c r="AR442" s="15">
        <f t="shared" si="293"/>
        <v>1</v>
      </c>
      <c r="AS442" s="15">
        <f t="shared" si="294"/>
        <v>1</v>
      </c>
      <c r="AT442" s="15">
        <f t="shared" si="295"/>
        <v>1</v>
      </c>
      <c r="AU442" s="15">
        <f t="shared" si="296"/>
        <v>1</v>
      </c>
      <c r="AV442" s="15">
        <f t="shared" si="297"/>
        <v>1</v>
      </c>
      <c r="AW442" s="15">
        <f t="shared" si="298"/>
        <v>1</v>
      </c>
      <c r="AX442" s="15">
        <f t="shared" si="299"/>
        <v>1</v>
      </c>
      <c r="AY442" s="15">
        <f t="shared" si="300"/>
        <v>1</v>
      </c>
      <c r="AZ442" s="15">
        <f t="shared" si="301"/>
        <v>1</v>
      </c>
      <c r="BA442" s="15">
        <f t="shared" si="302"/>
        <v>1</v>
      </c>
      <c r="BB442" s="15">
        <f t="shared" si="270"/>
        <v>0</v>
      </c>
      <c r="BC442" s="15" t="str">
        <f t="shared" si="271"/>
        <v/>
      </c>
      <c r="BD442" s="15" t="str">
        <f t="shared" si="272"/>
        <v/>
      </c>
      <c r="BE442" s="11" t="e">
        <f t="shared" si="303"/>
        <v>#VALUE!</v>
      </c>
      <c r="BF442" s="11" t="e">
        <f t="shared" si="304"/>
        <v>#VALUE!</v>
      </c>
      <c r="BG442" s="11" t="e">
        <f t="shared" si="305"/>
        <v>#VALUE!</v>
      </c>
      <c r="BH442" t="str">
        <f t="shared" si="306"/>
        <v/>
      </c>
      <c r="BI442" t="str" cm="1">
        <f t="array" ref="BI442">_xlfn.IFS(
  L442&gt;0,"Critical Fail",
  M442&gt;0,"Important (Coaching)",
  TRUE,"Clean Pass"
)</f>
        <v>Clean Pass</v>
      </c>
      <c r="BJ442" t="str">
        <f t="shared" si="307"/>
        <v>NA</v>
      </c>
    </row>
    <row r="443" spans="1:62" x14ac:dyDescent="0.3">
      <c r="A443">
        <v>795704</v>
      </c>
      <c r="K443" t="str">
        <f t="shared" si="269"/>
        <v>Pass</v>
      </c>
      <c r="L443" s="15">
        <f t="shared" si="273"/>
        <v>0</v>
      </c>
      <c r="M443" s="15">
        <f t="shared" si="274"/>
        <v>0</v>
      </c>
      <c r="Z443" s="15">
        <f t="shared" si="275"/>
        <v>1</v>
      </c>
      <c r="AA443" s="15">
        <f t="shared" si="276"/>
        <v>1</v>
      </c>
      <c r="AB443" s="15">
        <f t="shared" si="277"/>
        <v>1</v>
      </c>
      <c r="AC443" s="15">
        <f t="shared" si="278"/>
        <v>1</v>
      </c>
      <c r="AD443" s="15">
        <f t="shared" si="279"/>
        <v>1</v>
      </c>
      <c r="AE443" s="15">
        <f t="shared" si="280"/>
        <v>1</v>
      </c>
      <c r="AF443" s="15">
        <f t="shared" si="281"/>
        <v>1</v>
      </c>
      <c r="AG443" s="15">
        <f t="shared" si="282"/>
        <v>1</v>
      </c>
      <c r="AH443" s="15">
        <f t="shared" si="283"/>
        <v>1</v>
      </c>
      <c r="AI443" s="15">
        <f t="shared" si="284"/>
        <v>1</v>
      </c>
      <c r="AJ443" s="15">
        <f t="shared" si="285"/>
        <v>1</v>
      </c>
      <c r="AK443" s="15">
        <f t="shared" si="286"/>
        <v>1</v>
      </c>
      <c r="AL443" s="15">
        <f t="shared" si="287"/>
        <v>1</v>
      </c>
      <c r="AM443" s="15">
        <f t="shared" si="288"/>
        <v>1</v>
      </c>
      <c r="AN443" s="15">
        <f t="shared" si="289"/>
        <v>1</v>
      </c>
      <c r="AO443" s="15">
        <f t="shared" si="290"/>
        <v>1</v>
      </c>
      <c r="AP443" s="15">
        <f t="shared" si="291"/>
        <v>1</v>
      </c>
      <c r="AQ443" s="15">
        <f t="shared" si="292"/>
        <v>1</v>
      </c>
      <c r="AR443" s="15">
        <f t="shared" si="293"/>
        <v>1</v>
      </c>
      <c r="AS443" s="15">
        <f t="shared" si="294"/>
        <v>1</v>
      </c>
      <c r="AT443" s="15">
        <f t="shared" si="295"/>
        <v>1</v>
      </c>
      <c r="AU443" s="15">
        <f t="shared" si="296"/>
        <v>1</v>
      </c>
      <c r="AV443" s="15">
        <f t="shared" si="297"/>
        <v>1</v>
      </c>
      <c r="AW443" s="15">
        <f t="shared" si="298"/>
        <v>1</v>
      </c>
      <c r="AX443" s="15">
        <f t="shared" si="299"/>
        <v>1</v>
      </c>
      <c r="AY443" s="15">
        <f t="shared" si="300"/>
        <v>1</v>
      </c>
      <c r="AZ443" s="15">
        <f t="shared" si="301"/>
        <v>1</v>
      </c>
      <c r="BA443" s="15">
        <f t="shared" si="302"/>
        <v>1</v>
      </c>
      <c r="BB443" s="15">
        <f t="shared" si="270"/>
        <v>0</v>
      </c>
      <c r="BC443" s="15" t="str">
        <f t="shared" si="271"/>
        <v/>
      </c>
      <c r="BD443" s="15" t="str">
        <f t="shared" si="272"/>
        <v/>
      </c>
      <c r="BE443" s="11" t="e">
        <f t="shared" si="303"/>
        <v>#VALUE!</v>
      </c>
      <c r="BF443" s="11" t="e">
        <f t="shared" si="304"/>
        <v>#VALUE!</v>
      </c>
      <c r="BG443" s="11" t="e">
        <f t="shared" si="305"/>
        <v>#VALUE!</v>
      </c>
      <c r="BH443" t="str">
        <f t="shared" si="306"/>
        <v/>
      </c>
      <c r="BI443" t="str" cm="1">
        <f t="array" ref="BI443">_xlfn.IFS(
  L443&gt;0,"Critical Fail",
  M443&gt;0,"Important (Coaching)",
  TRUE,"Clean Pass"
)</f>
        <v>Clean Pass</v>
      </c>
      <c r="BJ443" t="str">
        <f t="shared" si="307"/>
        <v>NA</v>
      </c>
    </row>
    <row r="444" spans="1:62" x14ac:dyDescent="0.3">
      <c r="A444">
        <v>365011</v>
      </c>
      <c r="K444" t="str">
        <f t="shared" si="269"/>
        <v>Pass</v>
      </c>
      <c r="L444" s="15">
        <f t="shared" si="273"/>
        <v>0</v>
      </c>
      <c r="M444" s="15">
        <f t="shared" si="274"/>
        <v>0</v>
      </c>
      <c r="Z444" s="15">
        <f t="shared" si="275"/>
        <v>1</v>
      </c>
      <c r="AA444" s="15">
        <f t="shared" si="276"/>
        <v>1</v>
      </c>
      <c r="AB444" s="15">
        <f t="shared" si="277"/>
        <v>1</v>
      </c>
      <c r="AC444" s="15">
        <f t="shared" si="278"/>
        <v>1</v>
      </c>
      <c r="AD444" s="15">
        <f t="shared" si="279"/>
        <v>1</v>
      </c>
      <c r="AE444" s="15">
        <f t="shared" si="280"/>
        <v>1</v>
      </c>
      <c r="AF444" s="15">
        <f t="shared" si="281"/>
        <v>1</v>
      </c>
      <c r="AG444" s="15">
        <f t="shared" si="282"/>
        <v>1</v>
      </c>
      <c r="AH444" s="15">
        <f t="shared" si="283"/>
        <v>1</v>
      </c>
      <c r="AI444" s="15">
        <f t="shared" si="284"/>
        <v>1</v>
      </c>
      <c r="AJ444" s="15">
        <f t="shared" si="285"/>
        <v>1</v>
      </c>
      <c r="AK444" s="15">
        <f t="shared" si="286"/>
        <v>1</v>
      </c>
      <c r="AL444" s="15">
        <f t="shared" si="287"/>
        <v>1</v>
      </c>
      <c r="AM444" s="15">
        <f t="shared" si="288"/>
        <v>1</v>
      </c>
      <c r="AN444" s="15">
        <f t="shared" si="289"/>
        <v>1</v>
      </c>
      <c r="AO444" s="15">
        <f t="shared" si="290"/>
        <v>1</v>
      </c>
      <c r="AP444" s="15">
        <f t="shared" si="291"/>
        <v>1</v>
      </c>
      <c r="AQ444" s="15">
        <f t="shared" si="292"/>
        <v>1</v>
      </c>
      <c r="AR444" s="15">
        <f t="shared" si="293"/>
        <v>1</v>
      </c>
      <c r="AS444" s="15">
        <f t="shared" si="294"/>
        <v>1</v>
      </c>
      <c r="AT444" s="15">
        <f t="shared" si="295"/>
        <v>1</v>
      </c>
      <c r="AU444" s="15">
        <f t="shared" si="296"/>
        <v>1</v>
      </c>
      <c r="AV444" s="15">
        <f t="shared" si="297"/>
        <v>1</v>
      </c>
      <c r="AW444" s="15">
        <f t="shared" si="298"/>
        <v>1</v>
      </c>
      <c r="AX444" s="15">
        <f t="shared" si="299"/>
        <v>1</v>
      </c>
      <c r="AY444" s="15">
        <f t="shared" si="300"/>
        <v>1</v>
      </c>
      <c r="AZ444" s="15">
        <f t="shared" si="301"/>
        <v>1</v>
      </c>
      <c r="BA444" s="15">
        <f t="shared" si="302"/>
        <v>1</v>
      </c>
      <c r="BB444" s="15">
        <f t="shared" si="270"/>
        <v>0</v>
      </c>
      <c r="BC444" s="15" t="str">
        <f t="shared" si="271"/>
        <v/>
      </c>
      <c r="BD444" s="15" t="str">
        <f t="shared" si="272"/>
        <v/>
      </c>
      <c r="BE444" s="11" t="e">
        <f t="shared" si="303"/>
        <v>#VALUE!</v>
      </c>
      <c r="BF444" s="11" t="e">
        <f t="shared" si="304"/>
        <v>#VALUE!</v>
      </c>
      <c r="BG444" s="11" t="e">
        <f t="shared" si="305"/>
        <v>#VALUE!</v>
      </c>
      <c r="BH444" t="str">
        <f t="shared" si="306"/>
        <v/>
      </c>
      <c r="BI444" t="str" cm="1">
        <f t="array" ref="BI444">_xlfn.IFS(
  L444&gt;0,"Critical Fail",
  M444&gt;0,"Important (Coaching)",
  TRUE,"Clean Pass"
)</f>
        <v>Clean Pass</v>
      </c>
      <c r="BJ444" t="str">
        <f t="shared" si="307"/>
        <v>NA</v>
      </c>
    </row>
    <row r="445" spans="1:62" x14ac:dyDescent="0.3">
      <c r="A445">
        <v>707170</v>
      </c>
      <c r="K445" t="str">
        <f t="shared" si="269"/>
        <v>Pass</v>
      </c>
      <c r="L445" s="15">
        <f t="shared" si="273"/>
        <v>0</v>
      </c>
      <c r="M445" s="15">
        <f t="shared" si="274"/>
        <v>0</v>
      </c>
      <c r="Z445" s="15">
        <f t="shared" si="275"/>
        <v>1</v>
      </c>
      <c r="AA445" s="15">
        <f t="shared" si="276"/>
        <v>1</v>
      </c>
      <c r="AB445" s="15">
        <f t="shared" si="277"/>
        <v>1</v>
      </c>
      <c r="AC445" s="15">
        <f t="shared" si="278"/>
        <v>1</v>
      </c>
      <c r="AD445" s="15">
        <f t="shared" si="279"/>
        <v>1</v>
      </c>
      <c r="AE445" s="15">
        <f t="shared" si="280"/>
        <v>1</v>
      </c>
      <c r="AF445" s="15">
        <f t="shared" si="281"/>
        <v>1</v>
      </c>
      <c r="AG445" s="15">
        <f t="shared" si="282"/>
        <v>1</v>
      </c>
      <c r="AH445" s="15">
        <f t="shared" si="283"/>
        <v>1</v>
      </c>
      <c r="AI445" s="15">
        <f t="shared" si="284"/>
        <v>1</v>
      </c>
      <c r="AJ445" s="15">
        <f t="shared" si="285"/>
        <v>1</v>
      </c>
      <c r="AK445" s="15">
        <f t="shared" si="286"/>
        <v>1</v>
      </c>
      <c r="AL445" s="15">
        <f t="shared" si="287"/>
        <v>1</v>
      </c>
      <c r="AM445" s="15">
        <f t="shared" si="288"/>
        <v>1</v>
      </c>
      <c r="AN445" s="15">
        <f t="shared" si="289"/>
        <v>1</v>
      </c>
      <c r="AO445" s="15">
        <f t="shared" si="290"/>
        <v>1</v>
      </c>
      <c r="AP445" s="15">
        <f t="shared" si="291"/>
        <v>1</v>
      </c>
      <c r="AQ445" s="15">
        <f t="shared" si="292"/>
        <v>1</v>
      </c>
      <c r="AR445" s="15">
        <f t="shared" si="293"/>
        <v>1</v>
      </c>
      <c r="AS445" s="15">
        <f t="shared" si="294"/>
        <v>1</v>
      </c>
      <c r="AT445" s="15">
        <f t="shared" si="295"/>
        <v>1</v>
      </c>
      <c r="AU445" s="15">
        <f t="shared" si="296"/>
        <v>1</v>
      </c>
      <c r="AV445" s="15">
        <f t="shared" si="297"/>
        <v>1</v>
      </c>
      <c r="AW445" s="15">
        <f t="shared" si="298"/>
        <v>1</v>
      </c>
      <c r="AX445" s="15">
        <f t="shared" si="299"/>
        <v>1</v>
      </c>
      <c r="AY445" s="15">
        <f t="shared" si="300"/>
        <v>1</v>
      </c>
      <c r="AZ445" s="15">
        <f t="shared" si="301"/>
        <v>1</v>
      </c>
      <c r="BA445" s="15">
        <f t="shared" si="302"/>
        <v>1</v>
      </c>
      <c r="BB445" s="15">
        <f t="shared" si="270"/>
        <v>0</v>
      </c>
      <c r="BC445" s="15" t="str">
        <f t="shared" si="271"/>
        <v/>
      </c>
      <c r="BD445" s="15" t="str">
        <f t="shared" si="272"/>
        <v/>
      </c>
      <c r="BE445" s="11" t="e">
        <f t="shared" si="303"/>
        <v>#VALUE!</v>
      </c>
      <c r="BF445" s="11" t="e">
        <f t="shared" si="304"/>
        <v>#VALUE!</v>
      </c>
      <c r="BG445" s="11" t="e">
        <f t="shared" si="305"/>
        <v>#VALUE!</v>
      </c>
      <c r="BH445" t="str">
        <f t="shared" si="306"/>
        <v/>
      </c>
      <c r="BI445" t="str" cm="1">
        <f t="array" ref="BI445">_xlfn.IFS(
  L445&gt;0,"Critical Fail",
  M445&gt;0,"Important (Coaching)",
  TRUE,"Clean Pass"
)</f>
        <v>Clean Pass</v>
      </c>
      <c r="BJ445" t="str">
        <f t="shared" si="307"/>
        <v>NA</v>
      </c>
    </row>
    <row r="446" spans="1:62" x14ac:dyDescent="0.3">
      <c r="A446">
        <v>153069</v>
      </c>
      <c r="K446" t="str">
        <f t="shared" si="269"/>
        <v>Pass</v>
      </c>
      <c r="L446" s="15">
        <f t="shared" si="273"/>
        <v>0</v>
      </c>
      <c r="M446" s="15">
        <f t="shared" si="274"/>
        <v>0</v>
      </c>
      <c r="Z446" s="15">
        <f t="shared" si="275"/>
        <v>1</v>
      </c>
      <c r="AA446" s="15">
        <f t="shared" si="276"/>
        <v>1</v>
      </c>
      <c r="AB446" s="15">
        <f t="shared" si="277"/>
        <v>1</v>
      </c>
      <c r="AC446" s="15">
        <f t="shared" si="278"/>
        <v>1</v>
      </c>
      <c r="AD446" s="15">
        <f t="shared" si="279"/>
        <v>1</v>
      </c>
      <c r="AE446" s="15">
        <f t="shared" si="280"/>
        <v>1</v>
      </c>
      <c r="AF446" s="15">
        <f t="shared" si="281"/>
        <v>1</v>
      </c>
      <c r="AG446" s="15">
        <f t="shared" si="282"/>
        <v>1</v>
      </c>
      <c r="AH446" s="15">
        <f t="shared" si="283"/>
        <v>1</v>
      </c>
      <c r="AI446" s="15">
        <f t="shared" si="284"/>
        <v>1</v>
      </c>
      <c r="AJ446" s="15">
        <f t="shared" si="285"/>
        <v>1</v>
      </c>
      <c r="AK446" s="15">
        <f t="shared" si="286"/>
        <v>1</v>
      </c>
      <c r="AL446" s="15">
        <f t="shared" si="287"/>
        <v>1</v>
      </c>
      <c r="AM446" s="15">
        <f t="shared" si="288"/>
        <v>1</v>
      </c>
      <c r="AN446" s="15">
        <f t="shared" si="289"/>
        <v>1</v>
      </c>
      <c r="AO446" s="15">
        <f t="shared" si="290"/>
        <v>1</v>
      </c>
      <c r="AP446" s="15">
        <f t="shared" si="291"/>
        <v>1</v>
      </c>
      <c r="AQ446" s="15">
        <f t="shared" si="292"/>
        <v>1</v>
      </c>
      <c r="AR446" s="15">
        <f t="shared" si="293"/>
        <v>1</v>
      </c>
      <c r="AS446" s="15">
        <f t="shared" si="294"/>
        <v>1</v>
      </c>
      <c r="AT446" s="15">
        <f t="shared" si="295"/>
        <v>1</v>
      </c>
      <c r="AU446" s="15">
        <f t="shared" si="296"/>
        <v>1</v>
      </c>
      <c r="AV446" s="15">
        <f t="shared" si="297"/>
        <v>1</v>
      </c>
      <c r="AW446" s="15">
        <f t="shared" si="298"/>
        <v>1</v>
      </c>
      <c r="AX446" s="15">
        <f t="shared" si="299"/>
        <v>1</v>
      </c>
      <c r="AY446" s="15">
        <f t="shared" si="300"/>
        <v>1</v>
      </c>
      <c r="AZ446" s="15">
        <f t="shared" si="301"/>
        <v>1</v>
      </c>
      <c r="BA446" s="15">
        <f t="shared" si="302"/>
        <v>1</v>
      </c>
      <c r="BB446" s="15">
        <f t="shared" si="270"/>
        <v>0</v>
      </c>
      <c r="BC446" s="15" t="str">
        <f t="shared" si="271"/>
        <v/>
      </c>
      <c r="BD446" s="15" t="str">
        <f t="shared" si="272"/>
        <v/>
      </c>
      <c r="BE446" s="11" t="e">
        <f t="shared" si="303"/>
        <v>#VALUE!</v>
      </c>
      <c r="BF446" s="11" t="e">
        <f t="shared" si="304"/>
        <v>#VALUE!</v>
      </c>
      <c r="BG446" s="11" t="e">
        <f t="shared" si="305"/>
        <v>#VALUE!</v>
      </c>
      <c r="BH446" t="str">
        <f t="shared" si="306"/>
        <v/>
      </c>
      <c r="BI446" t="str" cm="1">
        <f t="array" ref="BI446">_xlfn.IFS(
  L446&gt;0,"Critical Fail",
  M446&gt;0,"Important (Coaching)",
  TRUE,"Clean Pass"
)</f>
        <v>Clean Pass</v>
      </c>
      <c r="BJ446" t="str">
        <f t="shared" si="307"/>
        <v>NA</v>
      </c>
    </row>
    <row r="447" spans="1:62" x14ac:dyDescent="0.3">
      <c r="A447">
        <v>538352</v>
      </c>
      <c r="K447" t="str">
        <f t="shared" si="269"/>
        <v>Pass</v>
      </c>
      <c r="L447" s="15">
        <f t="shared" si="273"/>
        <v>0</v>
      </c>
      <c r="M447" s="15">
        <f t="shared" si="274"/>
        <v>0</v>
      </c>
      <c r="Z447" s="15">
        <f t="shared" si="275"/>
        <v>1</v>
      </c>
      <c r="AA447" s="15">
        <f t="shared" si="276"/>
        <v>1</v>
      </c>
      <c r="AB447" s="15">
        <f t="shared" si="277"/>
        <v>1</v>
      </c>
      <c r="AC447" s="15">
        <f t="shared" si="278"/>
        <v>1</v>
      </c>
      <c r="AD447" s="15">
        <f t="shared" si="279"/>
        <v>1</v>
      </c>
      <c r="AE447" s="15">
        <f t="shared" si="280"/>
        <v>1</v>
      </c>
      <c r="AF447" s="15">
        <f t="shared" si="281"/>
        <v>1</v>
      </c>
      <c r="AG447" s="15">
        <f t="shared" si="282"/>
        <v>1</v>
      </c>
      <c r="AH447" s="15">
        <f t="shared" si="283"/>
        <v>1</v>
      </c>
      <c r="AI447" s="15">
        <f t="shared" si="284"/>
        <v>1</v>
      </c>
      <c r="AJ447" s="15">
        <f t="shared" si="285"/>
        <v>1</v>
      </c>
      <c r="AK447" s="15">
        <f t="shared" si="286"/>
        <v>1</v>
      </c>
      <c r="AL447" s="15">
        <f t="shared" si="287"/>
        <v>1</v>
      </c>
      <c r="AM447" s="15">
        <f t="shared" si="288"/>
        <v>1</v>
      </c>
      <c r="AN447" s="15">
        <f t="shared" si="289"/>
        <v>1</v>
      </c>
      <c r="AO447" s="15">
        <f t="shared" si="290"/>
        <v>1</v>
      </c>
      <c r="AP447" s="15">
        <f t="shared" si="291"/>
        <v>1</v>
      </c>
      <c r="AQ447" s="15">
        <f t="shared" si="292"/>
        <v>1</v>
      </c>
      <c r="AR447" s="15">
        <f t="shared" si="293"/>
        <v>1</v>
      </c>
      <c r="AS447" s="15">
        <f t="shared" si="294"/>
        <v>1</v>
      </c>
      <c r="AT447" s="15">
        <f t="shared" si="295"/>
        <v>1</v>
      </c>
      <c r="AU447" s="15">
        <f t="shared" si="296"/>
        <v>1</v>
      </c>
      <c r="AV447" s="15">
        <f t="shared" si="297"/>
        <v>1</v>
      </c>
      <c r="AW447" s="15">
        <f t="shared" si="298"/>
        <v>1</v>
      </c>
      <c r="AX447" s="15">
        <f t="shared" si="299"/>
        <v>1</v>
      </c>
      <c r="AY447" s="15">
        <f t="shared" si="300"/>
        <v>1</v>
      </c>
      <c r="AZ447" s="15">
        <f t="shared" si="301"/>
        <v>1</v>
      </c>
      <c r="BA447" s="15">
        <f t="shared" si="302"/>
        <v>1</v>
      </c>
      <c r="BB447" s="15">
        <f t="shared" si="270"/>
        <v>0</v>
      </c>
      <c r="BC447" s="15" t="str">
        <f t="shared" si="271"/>
        <v/>
      </c>
      <c r="BD447" s="15" t="str">
        <f t="shared" si="272"/>
        <v/>
      </c>
      <c r="BE447" s="11" t="e">
        <f t="shared" si="303"/>
        <v>#VALUE!</v>
      </c>
      <c r="BF447" s="11" t="e">
        <f t="shared" si="304"/>
        <v>#VALUE!</v>
      </c>
      <c r="BG447" s="11" t="e">
        <f t="shared" si="305"/>
        <v>#VALUE!</v>
      </c>
      <c r="BH447" t="str">
        <f t="shared" si="306"/>
        <v/>
      </c>
      <c r="BI447" t="str" cm="1">
        <f t="array" ref="BI447">_xlfn.IFS(
  L447&gt;0,"Critical Fail",
  M447&gt;0,"Important (Coaching)",
  TRUE,"Clean Pass"
)</f>
        <v>Clean Pass</v>
      </c>
      <c r="BJ447" t="str">
        <f t="shared" si="307"/>
        <v>NA</v>
      </c>
    </row>
    <row r="448" spans="1:62" x14ac:dyDescent="0.3">
      <c r="A448">
        <v>144389</v>
      </c>
      <c r="K448" t="str">
        <f t="shared" si="269"/>
        <v>Pass</v>
      </c>
      <c r="L448" s="15">
        <f t="shared" si="273"/>
        <v>0</v>
      </c>
      <c r="M448" s="15">
        <f t="shared" si="274"/>
        <v>0</v>
      </c>
      <c r="Z448" s="15">
        <f t="shared" si="275"/>
        <v>1</v>
      </c>
      <c r="AA448" s="15">
        <f t="shared" si="276"/>
        <v>1</v>
      </c>
      <c r="AB448" s="15">
        <f t="shared" si="277"/>
        <v>1</v>
      </c>
      <c r="AC448" s="15">
        <f t="shared" si="278"/>
        <v>1</v>
      </c>
      <c r="AD448" s="15">
        <f t="shared" si="279"/>
        <v>1</v>
      </c>
      <c r="AE448" s="15">
        <f t="shared" si="280"/>
        <v>1</v>
      </c>
      <c r="AF448" s="15">
        <f t="shared" si="281"/>
        <v>1</v>
      </c>
      <c r="AG448" s="15">
        <f t="shared" si="282"/>
        <v>1</v>
      </c>
      <c r="AH448" s="15">
        <f t="shared" si="283"/>
        <v>1</v>
      </c>
      <c r="AI448" s="15">
        <f t="shared" si="284"/>
        <v>1</v>
      </c>
      <c r="AJ448" s="15">
        <f t="shared" si="285"/>
        <v>1</v>
      </c>
      <c r="AK448" s="15">
        <f t="shared" si="286"/>
        <v>1</v>
      </c>
      <c r="AL448" s="15">
        <f t="shared" si="287"/>
        <v>1</v>
      </c>
      <c r="AM448" s="15">
        <f t="shared" si="288"/>
        <v>1</v>
      </c>
      <c r="AN448" s="15">
        <f t="shared" si="289"/>
        <v>1</v>
      </c>
      <c r="AO448" s="15">
        <f t="shared" si="290"/>
        <v>1</v>
      </c>
      <c r="AP448" s="15">
        <f t="shared" si="291"/>
        <v>1</v>
      </c>
      <c r="AQ448" s="15">
        <f t="shared" si="292"/>
        <v>1</v>
      </c>
      <c r="AR448" s="15">
        <f t="shared" si="293"/>
        <v>1</v>
      </c>
      <c r="AS448" s="15">
        <f t="shared" si="294"/>
        <v>1</v>
      </c>
      <c r="AT448" s="15">
        <f t="shared" si="295"/>
        <v>1</v>
      </c>
      <c r="AU448" s="15">
        <f t="shared" si="296"/>
        <v>1</v>
      </c>
      <c r="AV448" s="15">
        <f t="shared" si="297"/>
        <v>1</v>
      </c>
      <c r="AW448" s="15">
        <f t="shared" si="298"/>
        <v>1</v>
      </c>
      <c r="AX448" s="15">
        <f t="shared" si="299"/>
        <v>1</v>
      </c>
      <c r="AY448" s="15">
        <f t="shared" si="300"/>
        <v>1</v>
      </c>
      <c r="AZ448" s="15">
        <f t="shared" si="301"/>
        <v>1</v>
      </c>
      <c r="BA448" s="15">
        <f t="shared" si="302"/>
        <v>1</v>
      </c>
      <c r="BB448" s="15">
        <f t="shared" si="270"/>
        <v>0</v>
      </c>
      <c r="BC448" s="15" t="str">
        <f t="shared" si="271"/>
        <v/>
      </c>
      <c r="BD448" s="15" t="str">
        <f t="shared" si="272"/>
        <v/>
      </c>
      <c r="BE448" s="11" t="e">
        <f t="shared" si="303"/>
        <v>#VALUE!</v>
      </c>
      <c r="BF448" s="11" t="e">
        <f t="shared" si="304"/>
        <v>#VALUE!</v>
      </c>
      <c r="BG448" s="11" t="e">
        <f t="shared" si="305"/>
        <v>#VALUE!</v>
      </c>
      <c r="BH448" t="str">
        <f t="shared" si="306"/>
        <v/>
      </c>
      <c r="BI448" t="str" cm="1">
        <f t="array" ref="BI448">_xlfn.IFS(
  L448&gt;0,"Critical Fail",
  M448&gt;0,"Important (Coaching)",
  TRUE,"Clean Pass"
)</f>
        <v>Clean Pass</v>
      </c>
      <c r="BJ448" t="str">
        <f t="shared" si="307"/>
        <v>NA</v>
      </c>
    </row>
    <row r="449" spans="1:62" x14ac:dyDescent="0.3">
      <c r="A449">
        <v>633043</v>
      </c>
      <c r="K449" t="str">
        <f t="shared" si="269"/>
        <v>Pass</v>
      </c>
      <c r="L449" s="15">
        <f t="shared" si="273"/>
        <v>0</v>
      </c>
      <c r="M449" s="15">
        <f t="shared" si="274"/>
        <v>0</v>
      </c>
      <c r="Z449" s="15">
        <f t="shared" si="275"/>
        <v>1</v>
      </c>
      <c r="AA449" s="15">
        <f t="shared" si="276"/>
        <v>1</v>
      </c>
      <c r="AB449" s="15">
        <f t="shared" si="277"/>
        <v>1</v>
      </c>
      <c r="AC449" s="15">
        <f t="shared" si="278"/>
        <v>1</v>
      </c>
      <c r="AD449" s="15">
        <f t="shared" si="279"/>
        <v>1</v>
      </c>
      <c r="AE449" s="15">
        <f t="shared" si="280"/>
        <v>1</v>
      </c>
      <c r="AF449" s="15">
        <f t="shared" si="281"/>
        <v>1</v>
      </c>
      <c r="AG449" s="15">
        <f t="shared" si="282"/>
        <v>1</v>
      </c>
      <c r="AH449" s="15">
        <f t="shared" si="283"/>
        <v>1</v>
      </c>
      <c r="AI449" s="15">
        <f t="shared" si="284"/>
        <v>1</v>
      </c>
      <c r="AJ449" s="15">
        <f t="shared" si="285"/>
        <v>1</v>
      </c>
      <c r="AK449" s="15">
        <f t="shared" si="286"/>
        <v>1</v>
      </c>
      <c r="AL449" s="15">
        <f t="shared" si="287"/>
        <v>1</v>
      </c>
      <c r="AM449" s="15">
        <f t="shared" si="288"/>
        <v>1</v>
      </c>
      <c r="AN449" s="15">
        <f t="shared" si="289"/>
        <v>1</v>
      </c>
      <c r="AO449" s="15">
        <f t="shared" si="290"/>
        <v>1</v>
      </c>
      <c r="AP449" s="15">
        <f t="shared" si="291"/>
        <v>1</v>
      </c>
      <c r="AQ449" s="15">
        <f t="shared" si="292"/>
        <v>1</v>
      </c>
      <c r="AR449" s="15">
        <f t="shared" si="293"/>
        <v>1</v>
      </c>
      <c r="AS449" s="15">
        <f t="shared" si="294"/>
        <v>1</v>
      </c>
      <c r="AT449" s="15">
        <f t="shared" si="295"/>
        <v>1</v>
      </c>
      <c r="AU449" s="15">
        <f t="shared" si="296"/>
        <v>1</v>
      </c>
      <c r="AV449" s="15">
        <f t="shared" si="297"/>
        <v>1</v>
      </c>
      <c r="AW449" s="15">
        <f t="shared" si="298"/>
        <v>1</v>
      </c>
      <c r="AX449" s="15">
        <f t="shared" si="299"/>
        <v>1</v>
      </c>
      <c r="AY449" s="15">
        <f t="shared" si="300"/>
        <v>1</v>
      </c>
      <c r="AZ449" s="15">
        <f t="shared" si="301"/>
        <v>1</v>
      </c>
      <c r="BA449" s="15">
        <f t="shared" si="302"/>
        <v>1</v>
      </c>
      <c r="BB449" s="15">
        <f t="shared" si="270"/>
        <v>0</v>
      </c>
      <c r="BC449" s="15" t="str">
        <f t="shared" si="271"/>
        <v/>
      </c>
      <c r="BD449" s="15" t="str">
        <f t="shared" si="272"/>
        <v/>
      </c>
      <c r="BE449" s="11" t="e">
        <f t="shared" si="303"/>
        <v>#VALUE!</v>
      </c>
      <c r="BF449" s="11" t="e">
        <f t="shared" si="304"/>
        <v>#VALUE!</v>
      </c>
      <c r="BG449" s="11" t="e">
        <f t="shared" si="305"/>
        <v>#VALUE!</v>
      </c>
      <c r="BH449" t="str">
        <f t="shared" si="306"/>
        <v/>
      </c>
      <c r="BI449" t="str" cm="1">
        <f t="array" ref="BI449">_xlfn.IFS(
  L449&gt;0,"Critical Fail",
  M449&gt;0,"Important (Coaching)",
  TRUE,"Clean Pass"
)</f>
        <v>Clean Pass</v>
      </c>
      <c r="BJ449" t="str">
        <f t="shared" si="307"/>
        <v>NA</v>
      </c>
    </row>
    <row r="450" spans="1:62" x14ac:dyDescent="0.3">
      <c r="A450">
        <v>673605</v>
      </c>
      <c r="K450" t="str">
        <f t="shared" ref="K450:K513" si="308">IF(L450="","",IF(L450&gt;0,"Fail","Pass"))</f>
        <v>Pass</v>
      </c>
      <c r="L450" s="15">
        <f t="shared" si="273"/>
        <v>0</v>
      </c>
      <c r="M450" s="15">
        <f t="shared" si="274"/>
        <v>0</v>
      </c>
      <c r="Z450" s="15">
        <f t="shared" si="275"/>
        <v>1</v>
      </c>
      <c r="AA450" s="15">
        <f t="shared" si="276"/>
        <v>1</v>
      </c>
      <c r="AB450" s="15">
        <f t="shared" si="277"/>
        <v>1</v>
      </c>
      <c r="AC450" s="15">
        <f t="shared" si="278"/>
        <v>1</v>
      </c>
      <c r="AD450" s="15">
        <f t="shared" si="279"/>
        <v>1</v>
      </c>
      <c r="AE450" s="15">
        <f t="shared" si="280"/>
        <v>1</v>
      </c>
      <c r="AF450" s="15">
        <f t="shared" si="281"/>
        <v>1</v>
      </c>
      <c r="AG450" s="15">
        <f t="shared" si="282"/>
        <v>1</v>
      </c>
      <c r="AH450" s="15">
        <f t="shared" si="283"/>
        <v>1</v>
      </c>
      <c r="AI450" s="15">
        <f t="shared" si="284"/>
        <v>1</v>
      </c>
      <c r="AJ450" s="15">
        <f t="shared" si="285"/>
        <v>1</v>
      </c>
      <c r="AK450" s="15">
        <f t="shared" si="286"/>
        <v>1</v>
      </c>
      <c r="AL450" s="15">
        <f t="shared" si="287"/>
        <v>1</v>
      </c>
      <c r="AM450" s="15">
        <f t="shared" si="288"/>
        <v>1</v>
      </c>
      <c r="AN450" s="15">
        <f t="shared" si="289"/>
        <v>1</v>
      </c>
      <c r="AO450" s="15">
        <f t="shared" si="290"/>
        <v>1</v>
      </c>
      <c r="AP450" s="15">
        <f t="shared" si="291"/>
        <v>1</v>
      </c>
      <c r="AQ450" s="15">
        <f t="shared" si="292"/>
        <v>1</v>
      </c>
      <c r="AR450" s="15">
        <f t="shared" si="293"/>
        <v>1</v>
      </c>
      <c r="AS450" s="15">
        <f t="shared" si="294"/>
        <v>1</v>
      </c>
      <c r="AT450" s="15">
        <f t="shared" si="295"/>
        <v>1</v>
      </c>
      <c r="AU450" s="15">
        <f t="shared" si="296"/>
        <v>1</v>
      </c>
      <c r="AV450" s="15">
        <f t="shared" si="297"/>
        <v>1</v>
      </c>
      <c r="AW450" s="15">
        <f t="shared" si="298"/>
        <v>1</v>
      </c>
      <c r="AX450" s="15">
        <f t="shared" si="299"/>
        <v>1</v>
      </c>
      <c r="AY450" s="15">
        <f t="shared" si="300"/>
        <v>1</v>
      </c>
      <c r="AZ450" s="15">
        <f t="shared" si="301"/>
        <v>1</v>
      </c>
      <c r="BA450" s="15">
        <f t="shared" si="302"/>
        <v>1</v>
      </c>
      <c r="BB450" s="15">
        <f t="shared" ref="BB450:BB513" si="309">IF(L450&gt;0,1,0)</f>
        <v>0</v>
      </c>
      <c r="BC450" s="15" t="str">
        <f t="shared" ref="BC450:BC513" si="310">IF(G450="DV",9,IF(G450="AL",13,""))</f>
        <v/>
      </c>
      <c r="BD450" s="15" t="str">
        <f t="shared" ref="BD450:BD513" si="311">IF(G450="DV",3,IF(G450="AL",3,""))</f>
        <v/>
      </c>
      <c r="BE450" s="11" t="e">
        <f t="shared" si="303"/>
        <v>#VALUE!</v>
      </c>
      <c r="BF450" s="11" t="e">
        <f t="shared" si="304"/>
        <v>#VALUE!</v>
      </c>
      <c r="BG450" s="11" t="e">
        <f t="shared" si="305"/>
        <v>#VALUE!</v>
      </c>
      <c r="BH450" t="str">
        <f t="shared" si="306"/>
        <v/>
      </c>
      <c r="BI450" t="str" cm="1">
        <f t="array" ref="BI450">_xlfn.IFS(
  L450&gt;0,"Critical Fail",
  M450&gt;0,"Important (Coaching)",
  TRUE,"Clean Pass"
)</f>
        <v>Clean Pass</v>
      </c>
      <c r="BJ450" t="str">
        <f t="shared" si="307"/>
        <v>NA</v>
      </c>
    </row>
    <row r="451" spans="1:62" x14ac:dyDescent="0.3">
      <c r="A451">
        <v>315462</v>
      </c>
      <c r="K451" t="str">
        <f t="shared" si="308"/>
        <v>Pass</v>
      </c>
      <c r="L451" s="15">
        <f t="shared" si="273"/>
        <v>0</v>
      </c>
      <c r="M451" s="15">
        <f t="shared" si="274"/>
        <v>0</v>
      </c>
      <c r="Z451" s="15">
        <f t="shared" si="275"/>
        <v>1</v>
      </c>
      <c r="AA451" s="15">
        <f t="shared" si="276"/>
        <v>1</v>
      </c>
      <c r="AB451" s="15">
        <f t="shared" si="277"/>
        <v>1</v>
      </c>
      <c r="AC451" s="15">
        <f t="shared" si="278"/>
        <v>1</v>
      </c>
      <c r="AD451" s="15">
        <f t="shared" si="279"/>
        <v>1</v>
      </c>
      <c r="AE451" s="15">
        <f t="shared" si="280"/>
        <v>1</v>
      </c>
      <c r="AF451" s="15">
        <f t="shared" si="281"/>
        <v>1</v>
      </c>
      <c r="AG451" s="15">
        <f t="shared" si="282"/>
        <v>1</v>
      </c>
      <c r="AH451" s="15">
        <f t="shared" si="283"/>
        <v>1</v>
      </c>
      <c r="AI451" s="15">
        <f t="shared" si="284"/>
        <v>1</v>
      </c>
      <c r="AJ451" s="15">
        <f t="shared" si="285"/>
        <v>1</v>
      </c>
      <c r="AK451" s="15">
        <f t="shared" si="286"/>
        <v>1</v>
      </c>
      <c r="AL451" s="15">
        <f t="shared" si="287"/>
        <v>1</v>
      </c>
      <c r="AM451" s="15">
        <f t="shared" si="288"/>
        <v>1</v>
      </c>
      <c r="AN451" s="15">
        <f t="shared" si="289"/>
        <v>1</v>
      </c>
      <c r="AO451" s="15">
        <f t="shared" si="290"/>
        <v>1</v>
      </c>
      <c r="AP451" s="15">
        <f t="shared" si="291"/>
        <v>1</v>
      </c>
      <c r="AQ451" s="15">
        <f t="shared" si="292"/>
        <v>1</v>
      </c>
      <c r="AR451" s="15">
        <f t="shared" si="293"/>
        <v>1</v>
      </c>
      <c r="AS451" s="15">
        <f t="shared" si="294"/>
        <v>1</v>
      </c>
      <c r="AT451" s="15">
        <f t="shared" si="295"/>
        <v>1</v>
      </c>
      <c r="AU451" s="15">
        <f t="shared" si="296"/>
        <v>1</v>
      </c>
      <c r="AV451" s="15">
        <f t="shared" si="297"/>
        <v>1</v>
      </c>
      <c r="AW451" s="15">
        <f t="shared" si="298"/>
        <v>1</v>
      </c>
      <c r="AX451" s="15">
        <f t="shared" si="299"/>
        <v>1</v>
      </c>
      <c r="AY451" s="15">
        <f t="shared" si="300"/>
        <v>1</v>
      </c>
      <c r="AZ451" s="15">
        <f t="shared" si="301"/>
        <v>1</v>
      </c>
      <c r="BA451" s="15">
        <f t="shared" si="302"/>
        <v>1</v>
      </c>
      <c r="BB451" s="15">
        <f t="shared" si="309"/>
        <v>0</v>
      </c>
      <c r="BC451" s="15" t="str">
        <f t="shared" si="310"/>
        <v/>
      </c>
      <c r="BD451" s="15" t="str">
        <f t="shared" si="311"/>
        <v/>
      </c>
      <c r="BE451" s="11" t="e">
        <f t="shared" si="303"/>
        <v>#VALUE!</v>
      </c>
      <c r="BF451" s="11" t="e">
        <f t="shared" si="304"/>
        <v>#VALUE!</v>
      </c>
      <c r="BG451" s="11" t="e">
        <f t="shared" si="305"/>
        <v>#VALUE!</v>
      </c>
      <c r="BH451" t="str">
        <f t="shared" si="306"/>
        <v/>
      </c>
      <c r="BI451" t="str" cm="1">
        <f t="array" ref="BI451">_xlfn.IFS(
  L451&gt;0,"Critical Fail",
  M451&gt;0,"Important (Coaching)",
  TRUE,"Clean Pass"
)</f>
        <v>Clean Pass</v>
      </c>
      <c r="BJ451" t="str">
        <f t="shared" si="307"/>
        <v>NA</v>
      </c>
    </row>
    <row r="452" spans="1:62" x14ac:dyDescent="0.3">
      <c r="A452">
        <v>301675</v>
      </c>
      <c r="K452" t="str">
        <f t="shared" si="308"/>
        <v>Pass</v>
      </c>
      <c r="L452" s="15">
        <f t="shared" si="273"/>
        <v>0</v>
      </c>
      <c r="M452" s="15">
        <f t="shared" si="274"/>
        <v>0</v>
      </c>
      <c r="Z452" s="15">
        <f t="shared" si="275"/>
        <v>1</v>
      </c>
      <c r="AA452" s="15">
        <f t="shared" si="276"/>
        <v>1</v>
      </c>
      <c r="AB452" s="15">
        <f t="shared" si="277"/>
        <v>1</v>
      </c>
      <c r="AC452" s="15">
        <f t="shared" si="278"/>
        <v>1</v>
      </c>
      <c r="AD452" s="15">
        <f t="shared" si="279"/>
        <v>1</v>
      </c>
      <c r="AE452" s="15">
        <f t="shared" si="280"/>
        <v>1</v>
      </c>
      <c r="AF452" s="15">
        <f t="shared" si="281"/>
        <v>1</v>
      </c>
      <c r="AG452" s="15">
        <f t="shared" si="282"/>
        <v>1</v>
      </c>
      <c r="AH452" s="15">
        <f t="shared" si="283"/>
        <v>1</v>
      </c>
      <c r="AI452" s="15">
        <f t="shared" si="284"/>
        <v>1</v>
      </c>
      <c r="AJ452" s="15">
        <f t="shared" si="285"/>
        <v>1</v>
      </c>
      <c r="AK452" s="15">
        <f t="shared" si="286"/>
        <v>1</v>
      </c>
      <c r="AL452" s="15">
        <f t="shared" si="287"/>
        <v>1</v>
      </c>
      <c r="AM452" s="15">
        <f t="shared" si="288"/>
        <v>1</v>
      </c>
      <c r="AN452" s="15">
        <f t="shared" si="289"/>
        <v>1</v>
      </c>
      <c r="AO452" s="15">
        <f t="shared" si="290"/>
        <v>1</v>
      </c>
      <c r="AP452" s="15">
        <f t="shared" si="291"/>
        <v>1</v>
      </c>
      <c r="AQ452" s="15">
        <f t="shared" si="292"/>
        <v>1</v>
      </c>
      <c r="AR452" s="15">
        <f t="shared" si="293"/>
        <v>1</v>
      </c>
      <c r="AS452" s="15">
        <f t="shared" si="294"/>
        <v>1</v>
      </c>
      <c r="AT452" s="15">
        <f t="shared" si="295"/>
        <v>1</v>
      </c>
      <c r="AU452" s="15">
        <f t="shared" si="296"/>
        <v>1</v>
      </c>
      <c r="AV452" s="15">
        <f t="shared" si="297"/>
        <v>1</v>
      </c>
      <c r="AW452" s="15">
        <f t="shared" si="298"/>
        <v>1</v>
      </c>
      <c r="AX452" s="15">
        <f t="shared" si="299"/>
        <v>1</v>
      </c>
      <c r="AY452" s="15">
        <f t="shared" si="300"/>
        <v>1</v>
      </c>
      <c r="AZ452" s="15">
        <f t="shared" si="301"/>
        <v>1</v>
      </c>
      <c r="BA452" s="15">
        <f t="shared" si="302"/>
        <v>1</v>
      </c>
      <c r="BB452" s="15">
        <f t="shared" si="309"/>
        <v>0</v>
      </c>
      <c r="BC452" s="15" t="str">
        <f t="shared" si="310"/>
        <v/>
      </c>
      <c r="BD452" s="15" t="str">
        <f t="shared" si="311"/>
        <v/>
      </c>
      <c r="BE452" s="11" t="e">
        <f t="shared" si="303"/>
        <v>#VALUE!</v>
      </c>
      <c r="BF452" s="11" t="e">
        <f t="shared" si="304"/>
        <v>#VALUE!</v>
      </c>
      <c r="BG452" s="11" t="e">
        <f t="shared" si="305"/>
        <v>#VALUE!</v>
      </c>
      <c r="BH452" t="str">
        <f t="shared" si="306"/>
        <v/>
      </c>
      <c r="BI452" t="str" cm="1">
        <f t="array" ref="BI452">_xlfn.IFS(
  L452&gt;0,"Critical Fail",
  M452&gt;0,"Important (Coaching)",
  TRUE,"Clean Pass"
)</f>
        <v>Clean Pass</v>
      </c>
      <c r="BJ452" t="str">
        <f t="shared" si="307"/>
        <v>NA</v>
      </c>
    </row>
    <row r="453" spans="1:62" x14ac:dyDescent="0.3">
      <c r="A453">
        <v>233849</v>
      </c>
      <c r="K453" t="str">
        <f t="shared" si="308"/>
        <v>Pass</v>
      </c>
      <c r="L453" s="15">
        <f t="shared" si="273"/>
        <v>0</v>
      </c>
      <c r="M453" s="15">
        <f t="shared" si="274"/>
        <v>0</v>
      </c>
      <c r="Z453" s="15">
        <f t="shared" si="275"/>
        <v>1</v>
      </c>
      <c r="AA453" s="15">
        <f t="shared" si="276"/>
        <v>1</v>
      </c>
      <c r="AB453" s="15">
        <f t="shared" si="277"/>
        <v>1</v>
      </c>
      <c r="AC453" s="15">
        <f t="shared" si="278"/>
        <v>1</v>
      </c>
      <c r="AD453" s="15">
        <f t="shared" si="279"/>
        <v>1</v>
      </c>
      <c r="AE453" s="15">
        <f t="shared" si="280"/>
        <v>1</v>
      </c>
      <c r="AF453" s="15">
        <f t="shared" si="281"/>
        <v>1</v>
      </c>
      <c r="AG453" s="15">
        <f t="shared" si="282"/>
        <v>1</v>
      </c>
      <c r="AH453" s="15">
        <f t="shared" si="283"/>
        <v>1</v>
      </c>
      <c r="AI453" s="15">
        <f t="shared" si="284"/>
        <v>1</v>
      </c>
      <c r="AJ453" s="15">
        <f t="shared" si="285"/>
        <v>1</v>
      </c>
      <c r="AK453" s="15">
        <f t="shared" si="286"/>
        <v>1</v>
      </c>
      <c r="AL453" s="15">
        <f t="shared" si="287"/>
        <v>1</v>
      </c>
      <c r="AM453" s="15">
        <f t="shared" si="288"/>
        <v>1</v>
      </c>
      <c r="AN453" s="15">
        <f t="shared" si="289"/>
        <v>1</v>
      </c>
      <c r="AO453" s="15">
        <f t="shared" si="290"/>
        <v>1</v>
      </c>
      <c r="AP453" s="15">
        <f t="shared" si="291"/>
        <v>1</v>
      </c>
      <c r="AQ453" s="15">
        <f t="shared" si="292"/>
        <v>1</v>
      </c>
      <c r="AR453" s="15">
        <f t="shared" si="293"/>
        <v>1</v>
      </c>
      <c r="AS453" s="15">
        <f t="shared" si="294"/>
        <v>1</v>
      </c>
      <c r="AT453" s="15">
        <f t="shared" si="295"/>
        <v>1</v>
      </c>
      <c r="AU453" s="15">
        <f t="shared" si="296"/>
        <v>1</v>
      </c>
      <c r="AV453" s="15">
        <f t="shared" si="297"/>
        <v>1</v>
      </c>
      <c r="AW453" s="15">
        <f t="shared" si="298"/>
        <v>1</v>
      </c>
      <c r="AX453" s="15">
        <f t="shared" si="299"/>
        <v>1</v>
      </c>
      <c r="AY453" s="15">
        <f t="shared" si="300"/>
        <v>1</v>
      </c>
      <c r="AZ453" s="15">
        <f t="shared" si="301"/>
        <v>1</v>
      </c>
      <c r="BA453" s="15">
        <f t="shared" si="302"/>
        <v>1</v>
      </c>
      <c r="BB453" s="15">
        <f t="shared" si="309"/>
        <v>0</v>
      </c>
      <c r="BC453" s="15" t="str">
        <f t="shared" si="310"/>
        <v/>
      </c>
      <c r="BD453" s="15" t="str">
        <f t="shared" si="311"/>
        <v/>
      </c>
      <c r="BE453" s="11" t="e">
        <f t="shared" si="303"/>
        <v>#VALUE!</v>
      </c>
      <c r="BF453" s="11" t="e">
        <f t="shared" si="304"/>
        <v>#VALUE!</v>
      </c>
      <c r="BG453" s="11" t="e">
        <f t="shared" si="305"/>
        <v>#VALUE!</v>
      </c>
      <c r="BH453" t="str">
        <f t="shared" si="306"/>
        <v/>
      </c>
      <c r="BI453" t="str" cm="1">
        <f t="array" ref="BI453">_xlfn.IFS(
  L453&gt;0,"Critical Fail",
  M453&gt;0,"Important (Coaching)",
  TRUE,"Clean Pass"
)</f>
        <v>Clean Pass</v>
      </c>
      <c r="BJ453" t="str">
        <f t="shared" si="307"/>
        <v>NA</v>
      </c>
    </row>
    <row r="454" spans="1:62" x14ac:dyDescent="0.3">
      <c r="A454">
        <v>262390</v>
      </c>
      <c r="K454" t="str">
        <f t="shared" si="308"/>
        <v>Pass</v>
      </c>
      <c r="L454" s="15">
        <f t="shared" si="273"/>
        <v>0</v>
      </c>
      <c r="M454" s="15">
        <f t="shared" si="274"/>
        <v>0</v>
      </c>
      <c r="Z454" s="15">
        <f t="shared" si="275"/>
        <v>1</v>
      </c>
      <c r="AA454" s="15">
        <f t="shared" si="276"/>
        <v>1</v>
      </c>
      <c r="AB454" s="15">
        <f t="shared" si="277"/>
        <v>1</v>
      </c>
      <c r="AC454" s="15">
        <f t="shared" si="278"/>
        <v>1</v>
      </c>
      <c r="AD454" s="15">
        <f t="shared" si="279"/>
        <v>1</v>
      </c>
      <c r="AE454" s="15">
        <f t="shared" si="280"/>
        <v>1</v>
      </c>
      <c r="AF454" s="15">
        <f t="shared" si="281"/>
        <v>1</v>
      </c>
      <c r="AG454" s="15">
        <f t="shared" si="282"/>
        <v>1</v>
      </c>
      <c r="AH454" s="15">
        <f t="shared" si="283"/>
        <v>1</v>
      </c>
      <c r="AI454" s="15">
        <f t="shared" si="284"/>
        <v>1</v>
      </c>
      <c r="AJ454" s="15">
        <f t="shared" si="285"/>
        <v>1</v>
      </c>
      <c r="AK454" s="15">
        <f t="shared" si="286"/>
        <v>1</v>
      </c>
      <c r="AL454" s="15">
        <f t="shared" si="287"/>
        <v>1</v>
      </c>
      <c r="AM454" s="15">
        <f t="shared" si="288"/>
        <v>1</v>
      </c>
      <c r="AN454" s="15">
        <f t="shared" si="289"/>
        <v>1</v>
      </c>
      <c r="AO454" s="15">
        <f t="shared" si="290"/>
        <v>1</v>
      </c>
      <c r="AP454" s="15">
        <f t="shared" si="291"/>
        <v>1</v>
      </c>
      <c r="AQ454" s="15">
        <f t="shared" si="292"/>
        <v>1</v>
      </c>
      <c r="AR454" s="15">
        <f t="shared" si="293"/>
        <v>1</v>
      </c>
      <c r="AS454" s="15">
        <f t="shared" si="294"/>
        <v>1</v>
      </c>
      <c r="AT454" s="15">
        <f t="shared" si="295"/>
        <v>1</v>
      </c>
      <c r="AU454" s="15">
        <f t="shared" si="296"/>
        <v>1</v>
      </c>
      <c r="AV454" s="15">
        <f t="shared" si="297"/>
        <v>1</v>
      </c>
      <c r="AW454" s="15">
        <f t="shared" si="298"/>
        <v>1</v>
      </c>
      <c r="AX454" s="15">
        <f t="shared" si="299"/>
        <v>1</v>
      </c>
      <c r="AY454" s="15">
        <f t="shared" si="300"/>
        <v>1</v>
      </c>
      <c r="AZ454" s="15">
        <f t="shared" si="301"/>
        <v>1</v>
      </c>
      <c r="BA454" s="15">
        <f t="shared" si="302"/>
        <v>1</v>
      </c>
      <c r="BB454" s="15">
        <f t="shared" si="309"/>
        <v>0</v>
      </c>
      <c r="BC454" s="15" t="str">
        <f t="shared" si="310"/>
        <v/>
      </c>
      <c r="BD454" s="15" t="str">
        <f t="shared" si="311"/>
        <v/>
      </c>
      <c r="BE454" s="11" t="e">
        <f t="shared" si="303"/>
        <v>#VALUE!</v>
      </c>
      <c r="BF454" s="11" t="e">
        <f t="shared" si="304"/>
        <v>#VALUE!</v>
      </c>
      <c r="BG454" s="11" t="e">
        <f t="shared" si="305"/>
        <v>#VALUE!</v>
      </c>
      <c r="BH454" t="str">
        <f t="shared" si="306"/>
        <v/>
      </c>
      <c r="BI454" t="str" cm="1">
        <f t="array" ref="BI454">_xlfn.IFS(
  L454&gt;0,"Critical Fail",
  M454&gt;0,"Important (Coaching)",
  TRUE,"Clean Pass"
)</f>
        <v>Clean Pass</v>
      </c>
      <c r="BJ454" t="str">
        <f t="shared" si="307"/>
        <v>NA</v>
      </c>
    </row>
    <row r="455" spans="1:62" x14ac:dyDescent="0.3">
      <c r="A455">
        <v>566776</v>
      </c>
      <c r="K455" t="str">
        <f t="shared" si="308"/>
        <v>Pass</v>
      </c>
      <c r="L455" s="15">
        <f t="shared" si="273"/>
        <v>0</v>
      </c>
      <c r="M455" s="15">
        <f t="shared" si="274"/>
        <v>0</v>
      </c>
      <c r="Z455" s="15">
        <f t="shared" si="275"/>
        <v>1</v>
      </c>
      <c r="AA455" s="15">
        <f t="shared" si="276"/>
        <v>1</v>
      </c>
      <c r="AB455" s="15">
        <f t="shared" si="277"/>
        <v>1</v>
      </c>
      <c r="AC455" s="15">
        <f t="shared" si="278"/>
        <v>1</v>
      </c>
      <c r="AD455" s="15">
        <f t="shared" si="279"/>
        <v>1</v>
      </c>
      <c r="AE455" s="15">
        <f t="shared" si="280"/>
        <v>1</v>
      </c>
      <c r="AF455" s="15">
        <f t="shared" si="281"/>
        <v>1</v>
      </c>
      <c r="AG455" s="15">
        <f t="shared" si="282"/>
        <v>1</v>
      </c>
      <c r="AH455" s="15">
        <f t="shared" si="283"/>
        <v>1</v>
      </c>
      <c r="AI455" s="15">
        <f t="shared" si="284"/>
        <v>1</v>
      </c>
      <c r="AJ455" s="15">
        <f t="shared" si="285"/>
        <v>1</v>
      </c>
      <c r="AK455" s="15">
        <f t="shared" si="286"/>
        <v>1</v>
      </c>
      <c r="AL455" s="15">
        <f t="shared" si="287"/>
        <v>1</v>
      </c>
      <c r="AM455" s="15">
        <f t="shared" si="288"/>
        <v>1</v>
      </c>
      <c r="AN455" s="15">
        <f t="shared" si="289"/>
        <v>1</v>
      </c>
      <c r="AO455" s="15">
        <f t="shared" si="290"/>
        <v>1</v>
      </c>
      <c r="AP455" s="15">
        <f t="shared" si="291"/>
        <v>1</v>
      </c>
      <c r="AQ455" s="15">
        <f t="shared" si="292"/>
        <v>1</v>
      </c>
      <c r="AR455" s="15">
        <f t="shared" si="293"/>
        <v>1</v>
      </c>
      <c r="AS455" s="15">
        <f t="shared" si="294"/>
        <v>1</v>
      </c>
      <c r="AT455" s="15">
        <f t="shared" si="295"/>
        <v>1</v>
      </c>
      <c r="AU455" s="15">
        <f t="shared" si="296"/>
        <v>1</v>
      </c>
      <c r="AV455" s="15">
        <f t="shared" si="297"/>
        <v>1</v>
      </c>
      <c r="AW455" s="15">
        <f t="shared" si="298"/>
        <v>1</v>
      </c>
      <c r="AX455" s="15">
        <f t="shared" si="299"/>
        <v>1</v>
      </c>
      <c r="AY455" s="15">
        <f t="shared" si="300"/>
        <v>1</v>
      </c>
      <c r="AZ455" s="15">
        <f t="shared" si="301"/>
        <v>1</v>
      </c>
      <c r="BA455" s="15">
        <f t="shared" si="302"/>
        <v>1</v>
      </c>
      <c r="BB455" s="15">
        <f t="shared" si="309"/>
        <v>0</v>
      </c>
      <c r="BC455" s="15" t="str">
        <f t="shared" si="310"/>
        <v/>
      </c>
      <c r="BD455" s="15" t="str">
        <f t="shared" si="311"/>
        <v/>
      </c>
      <c r="BE455" s="11" t="e">
        <f t="shared" si="303"/>
        <v>#VALUE!</v>
      </c>
      <c r="BF455" s="11" t="e">
        <f t="shared" si="304"/>
        <v>#VALUE!</v>
      </c>
      <c r="BG455" s="11" t="e">
        <f t="shared" si="305"/>
        <v>#VALUE!</v>
      </c>
      <c r="BH455" t="str">
        <f t="shared" si="306"/>
        <v/>
      </c>
      <c r="BI455" t="str" cm="1">
        <f t="array" ref="BI455">_xlfn.IFS(
  L455&gt;0,"Critical Fail",
  M455&gt;0,"Important (Coaching)",
  TRUE,"Clean Pass"
)</f>
        <v>Clean Pass</v>
      </c>
      <c r="BJ455" t="str">
        <f t="shared" si="307"/>
        <v>NA</v>
      </c>
    </row>
    <row r="456" spans="1:62" x14ac:dyDescent="0.3">
      <c r="A456">
        <v>440165</v>
      </c>
      <c r="K456" t="str">
        <f t="shared" si="308"/>
        <v>Pass</v>
      </c>
      <c r="L456" s="15">
        <f t="shared" si="273"/>
        <v>0</v>
      </c>
      <c r="M456" s="15">
        <f t="shared" si="274"/>
        <v>0</v>
      </c>
      <c r="Z456" s="15">
        <f t="shared" si="275"/>
        <v>1</v>
      </c>
      <c r="AA456" s="15">
        <f t="shared" si="276"/>
        <v>1</v>
      </c>
      <c r="AB456" s="15">
        <f t="shared" si="277"/>
        <v>1</v>
      </c>
      <c r="AC456" s="15">
        <f t="shared" si="278"/>
        <v>1</v>
      </c>
      <c r="AD456" s="15">
        <f t="shared" si="279"/>
        <v>1</v>
      </c>
      <c r="AE456" s="15">
        <f t="shared" si="280"/>
        <v>1</v>
      </c>
      <c r="AF456" s="15">
        <f t="shared" si="281"/>
        <v>1</v>
      </c>
      <c r="AG456" s="15">
        <f t="shared" si="282"/>
        <v>1</v>
      </c>
      <c r="AH456" s="15">
        <f t="shared" si="283"/>
        <v>1</v>
      </c>
      <c r="AI456" s="15">
        <f t="shared" si="284"/>
        <v>1</v>
      </c>
      <c r="AJ456" s="15">
        <f t="shared" si="285"/>
        <v>1</v>
      </c>
      <c r="AK456" s="15">
        <f t="shared" si="286"/>
        <v>1</v>
      </c>
      <c r="AL456" s="15">
        <f t="shared" si="287"/>
        <v>1</v>
      </c>
      <c r="AM456" s="15">
        <f t="shared" si="288"/>
        <v>1</v>
      </c>
      <c r="AN456" s="15">
        <f t="shared" si="289"/>
        <v>1</v>
      </c>
      <c r="AO456" s="15">
        <f t="shared" si="290"/>
        <v>1</v>
      </c>
      <c r="AP456" s="15">
        <f t="shared" si="291"/>
        <v>1</v>
      </c>
      <c r="AQ456" s="15">
        <f t="shared" si="292"/>
        <v>1</v>
      </c>
      <c r="AR456" s="15">
        <f t="shared" si="293"/>
        <v>1</v>
      </c>
      <c r="AS456" s="15">
        <f t="shared" si="294"/>
        <v>1</v>
      </c>
      <c r="AT456" s="15">
        <f t="shared" si="295"/>
        <v>1</v>
      </c>
      <c r="AU456" s="15">
        <f t="shared" si="296"/>
        <v>1</v>
      </c>
      <c r="AV456" s="15">
        <f t="shared" si="297"/>
        <v>1</v>
      </c>
      <c r="AW456" s="15">
        <f t="shared" si="298"/>
        <v>1</v>
      </c>
      <c r="AX456" s="15">
        <f t="shared" si="299"/>
        <v>1</v>
      </c>
      <c r="AY456" s="15">
        <f t="shared" si="300"/>
        <v>1</v>
      </c>
      <c r="AZ456" s="15">
        <f t="shared" si="301"/>
        <v>1</v>
      </c>
      <c r="BA456" s="15">
        <f t="shared" si="302"/>
        <v>1</v>
      </c>
      <c r="BB456" s="15">
        <f t="shared" si="309"/>
        <v>0</v>
      </c>
      <c r="BC456" s="15" t="str">
        <f t="shared" si="310"/>
        <v/>
      </c>
      <c r="BD456" s="15" t="str">
        <f t="shared" si="311"/>
        <v/>
      </c>
      <c r="BE456" s="11" t="e">
        <f t="shared" si="303"/>
        <v>#VALUE!</v>
      </c>
      <c r="BF456" s="11" t="e">
        <f t="shared" si="304"/>
        <v>#VALUE!</v>
      </c>
      <c r="BG456" s="11" t="e">
        <f t="shared" si="305"/>
        <v>#VALUE!</v>
      </c>
      <c r="BH456" t="str">
        <f t="shared" si="306"/>
        <v/>
      </c>
      <c r="BI456" t="str" cm="1">
        <f t="array" ref="BI456">_xlfn.IFS(
  L456&gt;0,"Critical Fail",
  M456&gt;0,"Important (Coaching)",
  TRUE,"Clean Pass"
)</f>
        <v>Clean Pass</v>
      </c>
      <c r="BJ456" t="str">
        <f t="shared" si="307"/>
        <v>NA</v>
      </c>
    </row>
    <row r="457" spans="1:62" x14ac:dyDescent="0.3">
      <c r="A457">
        <v>937953</v>
      </c>
      <c r="K457" t="str">
        <f t="shared" si="308"/>
        <v>Pass</v>
      </c>
      <c r="L457" s="15">
        <f t="shared" si="273"/>
        <v>0</v>
      </c>
      <c r="M457" s="15">
        <f t="shared" si="274"/>
        <v>0</v>
      </c>
      <c r="Z457" s="15">
        <f t="shared" si="275"/>
        <v>1</v>
      </c>
      <c r="AA457" s="15">
        <f t="shared" si="276"/>
        <v>1</v>
      </c>
      <c r="AB457" s="15">
        <f t="shared" si="277"/>
        <v>1</v>
      </c>
      <c r="AC457" s="15">
        <f t="shared" si="278"/>
        <v>1</v>
      </c>
      <c r="AD457" s="15">
        <f t="shared" si="279"/>
        <v>1</v>
      </c>
      <c r="AE457" s="15">
        <f t="shared" si="280"/>
        <v>1</v>
      </c>
      <c r="AF457" s="15">
        <f t="shared" si="281"/>
        <v>1</v>
      </c>
      <c r="AG457" s="15">
        <f t="shared" si="282"/>
        <v>1</v>
      </c>
      <c r="AH457" s="15">
        <f t="shared" si="283"/>
        <v>1</v>
      </c>
      <c r="AI457" s="15">
        <f t="shared" si="284"/>
        <v>1</v>
      </c>
      <c r="AJ457" s="15">
        <f t="shared" si="285"/>
        <v>1</v>
      </c>
      <c r="AK457" s="15">
        <f t="shared" si="286"/>
        <v>1</v>
      </c>
      <c r="AL457" s="15">
        <f t="shared" si="287"/>
        <v>1</v>
      </c>
      <c r="AM457" s="15">
        <f t="shared" si="288"/>
        <v>1</v>
      </c>
      <c r="AN457" s="15">
        <f t="shared" si="289"/>
        <v>1</v>
      </c>
      <c r="AO457" s="15">
        <f t="shared" si="290"/>
        <v>1</v>
      </c>
      <c r="AP457" s="15">
        <f t="shared" si="291"/>
        <v>1</v>
      </c>
      <c r="AQ457" s="15">
        <f t="shared" si="292"/>
        <v>1</v>
      </c>
      <c r="AR457" s="15">
        <f t="shared" si="293"/>
        <v>1</v>
      </c>
      <c r="AS457" s="15">
        <f t="shared" si="294"/>
        <v>1</v>
      </c>
      <c r="AT457" s="15">
        <f t="shared" si="295"/>
        <v>1</v>
      </c>
      <c r="AU457" s="15">
        <f t="shared" si="296"/>
        <v>1</v>
      </c>
      <c r="AV457" s="15">
        <f t="shared" si="297"/>
        <v>1</v>
      </c>
      <c r="AW457" s="15">
        <f t="shared" si="298"/>
        <v>1</v>
      </c>
      <c r="AX457" s="15">
        <f t="shared" si="299"/>
        <v>1</v>
      </c>
      <c r="AY457" s="15">
        <f t="shared" si="300"/>
        <v>1</v>
      </c>
      <c r="AZ457" s="15">
        <f t="shared" si="301"/>
        <v>1</v>
      </c>
      <c r="BA457" s="15">
        <f t="shared" si="302"/>
        <v>1</v>
      </c>
      <c r="BB457" s="15">
        <f t="shared" si="309"/>
        <v>0</v>
      </c>
      <c r="BC457" s="15" t="str">
        <f t="shared" si="310"/>
        <v/>
      </c>
      <c r="BD457" s="15" t="str">
        <f t="shared" si="311"/>
        <v/>
      </c>
      <c r="BE457" s="11" t="e">
        <f t="shared" si="303"/>
        <v>#VALUE!</v>
      </c>
      <c r="BF457" s="11" t="e">
        <f t="shared" si="304"/>
        <v>#VALUE!</v>
      </c>
      <c r="BG457" s="11" t="e">
        <f t="shared" si="305"/>
        <v>#VALUE!</v>
      </c>
      <c r="BH457" t="str">
        <f t="shared" si="306"/>
        <v/>
      </c>
      <c r="BI457" t="str" cm="1">
        <f t="array" ref="BI457">_xlfn.IFS(
  L457&gt;0,"Critical Fail",
  M457&gt;0,"Important (Coaching)",
  TRUE,"Clean Pass"
)</f>
        <v>Clean Pass</v>
      </c>
      <c r="BJ457" t="str">
        <f t="shared" si="307"/>
        <v>NA</v>
      </c>
    </row>
    <row r="458" spans="1:62" x14ac:dyDescent="0.3">
      <c r="A458">
        <v>199984</v>
      </c>
      <c r="K458" t="str">
        <f t="shared" si="308"/>
        <v>Pass</v>
      </c>
      <c r="L458" s="15">
        <f t="shared" si="273"/>
        <v>0</v>
      </c>
      <c r="M458" s="15">
        <f t="shared" si="274"/>
        <v>0</v>
      </c>
      <c r="Z458" s="15">
        <f t="shared" si="275"/>
        <v>1</v>
      </c>
      <c r="AA458" s="15">
        <f t="shared" si="276"/>
        <v>1</v>
      </c>
      <c r="AB458" s="15">
        <f t="shared" si="277"/>
        <v>1</v>
      </c>
      <c r="AC458" s="15">
        <f t="shared" si="278"/>
        <v>1</v>
      </c>
      <c r="AD458" s="15">
        <f t="shared" si="279"/>
        <v>1</v>
      </c>
      <c r="AE458" s="15">
        <f t="shared" si="280"/>
        <v>1</v>
      </c>
      <c r="AF458" s="15">
        <f t="shared" si="281"/>
        <v>1</v>
      </c>
      <c r="AG458" s="15">
        <f t="shared" si="282"/>
        <v>1</v>
      </c>
      <c r="AH458" s="15">
        <f t="shared" si="283"/>
        <v>1</v>
      </c>
      <c r="AI458" s="15">
        <f t="shared" si="284"/>
        <v>1</v>
      </c>
      <c r="AJ458" s="15">
        <f t="shared" si="285"/>
        <v>1</v>
      </c>
      <c r="AK458" s="15">
        <f t="shared" si="286"/>
        <v>1</v>
      </c>
      <c r="AL458" s="15">
        <f t="shared" si="287"/>
        <v>1</v>
      </c>
      <c r="AM458" s="15">
        <f t="shared" si="288"/>
        <v>1</v>
      </c>
      <c r="AN458" s="15">
        <f t="shared" si="289"/>
        <v>1</v>
      </c>
      <c r="AO458" s="15">
        <f t="shared" si="290"/>
        <v>1</v>
      </c>
      <c r="AP458" s="15">
        <f t="shared" si="291"/>
        <v>1</v>
      </c>
      <c r="AQ458" s="15">
        <f t="shared" si="292"/>
        <v>1</v>
      </c>
      <c r="AR458" s="15">
        <f t="shared" si="293"/>
        <v>1</v>
      </c>
      <c r="AS458" s="15">
        <f t="shared" si="294"/>
        <v>1</v>
      </c>
      <c r="AT458" s="15">
        <f t="shared" si="295"/>
        <v>1</v>
      </c>
      <c r="AU458" s="15">
        <f t="shared" si="296"/>
        <v>1</v>
      </c>
      <c r="AV458" s="15">
        <f t="shared" si="297"/>
        <v>1</v>
      </c>
      <c r="AW458" s="15">
        <f t="shared" si="298"/>
        <v>1</v>
      </c>
      <c r="AX458" s="15">
        <f t="shared" si="299"/>
        <v>1</v>
      </c>
      <c r="AY458" s="15">
        <f t="shared" si="300"/>
        <v>1</v>
      </c>
      <c r="AZ458" s="15">
        <f t="shared" si="301"/>
        <v>1</v>
      </c>
      <c r="BA458" s="15">
        <f t="shared" si="302"/>
        <v>1</v>
      </c>
      <c r="BB458" s="15">
        <f t="shared" si="309"/>
        <v>0</v>
      </c>
      <c r="BC458" s="15" t="str">
        <f t="shared" si="310"/>
        <v/>
      </c>
      <c r="BD458" s="15" t="str">
        <f t="shared" si="311"/>
        <v/>
      </c>
      <c r="BE458" s="11" t="e">
        <f t="shared" si="303"/>
        <v>#VALUE!</v>
      </c>
      <c r="BF458" s="11" t="e">
        <f t="shared" si="304"/>
        <v>#VALUE!</v>
      </c>
      <c r="BG458" s="11" t="e">
        <f t="shared" si="305"/>
        <v>#VALUE!</v>
      </c>
      <c r="BH458" t="str">
        <f t="shared" si="306"/>
        <v/>
      </c>
      <c r="BI458" t="str" cm="1">
        <f t="array" ref="BI458">_xlfn.IFS(
  L458&gt;0,"Critical Fail",
  M458&gt;0,"Important (Coaching)",
  TRUE,"Clean Pass"
)</f>
        <v>Clean Pass</v>
      </c>
      <c r="BJ458" t="str">
        <f t="shared" si="307"/>
        <v>NA</v>
      </c>
    </row>
    <row r="459" spans="1:62" x14ac:dyDescent="0.3">
      <c r="A459">
        <v>965810</v>
      </c>
      <c r="K459" t="str">
        <f t="shared" si="308"/>
        <v>Pass</v>
      </c>
      <c r="L459" s="15">
        <f t="shared" si="273"/>
        <v>0</v>
      </c>
      <c r="M459" s="15">
        <f t="shared" si="274"/>
        <v>0</v>
      </c>
      <c r="Z459" s="15">
        <f t="shared" si="275"/>
        <v>1</v>
      </c>
      <c r="AA459" s="15">
        <f t="shared" si="276"/>
        <v>1</v>
      </c>
      <c r="AB459" s="15">
        <f t="shared" si="277"/>
        <v>1</v>
      </c>
      <c r="AC459" s="15">
        <f t="shared" si="278"/>
        <v>1</v>
      </c>
      <c r="AD459" s="15">
        <f t="shared" si="279"/>
        <v>1</v>
      </c>
      <c r="AE459" s="15">
        <f t="shared" si="280"/>
        <v>1</v>
      </c>
      <c r="AF459" s="15">
        <f t="shared" si="281"/>
        <v>1</v>
      </c>
      <c r="AG459" s="15">
        <f t="shared" si="282"/>
        <v>1</v>
      </c>
      <c r="AH459" s="15">
        <f t="shared" si="283"/>
        <v>1</v>
      </c>
      <c r="AI459" s="15">
        <f t="shared" si="284"/>
        <v>1</v>
      </c>
      <c r="AJ459" s="15">
        <f t="shared" si="285"/>
        <v>1</v>
      </c>
      <c r="AK459" s="15">
        <f t="shared" si="286"/>
        <v>1</v>
      </c>
      <c r="AL459" s="15">
        <f t="shared" si="287"/>
        <v>1</v>
      </c>
      <c r="AM459" s="15">
        <f t="shared" si="288"/>
        <v>1</v>
      </c>
      <c r="AN459" s="15">
        <f t="shared" si="289"/>
        <v>1</v>
      </c>
      <c r="AO459" s="15">
        <f t="shared" si="290"/>
        <v>1</v>
      </c>
      <c r="AP459" s="15">
        <f t="shared" si="291"/>
        <v>1</v>
      </c>
      <c r="AQ459" s="15">
        <f t="shared" si="292"/>
        <v>1</v>
      </c>
      <c r="AR459" s="15">
        <f t="shared" si="293"/>
        <v>1</v>
      </c>
      <c r="AS459" s="15">
        <f t="shared" si="294"/>
        <v>1</v>
      </c>
      <c r="AT459" s="15">
        <f t="shared" si="295"/>
        <v>1</v>
      </c>
      <c r="AU459" s="15">
        <f t="shared" si="296"/>
        <v>1</v>
      </c>
      <c r="AV459" s="15">
        <f t="shared" si="297"/>
        <v>1</v>
      </c>
      <c r="AW459" s="15">
        <f t="shared" si="298"/>
        <v>1</v>
      </c>
      <c r="AX459" s="15">
        <f t="shared" si="299"/>
        <v>1</v>
      </c>
      <c r="AY459" s="15">
        <f t="shared" si="300"/>
        <v>1</v>
      </c>
      <c r="AZ459" s="15">
        <f t="shared" si="301"/>
        <v>1</v>
      </c>
      <c r="BA459" s="15">
        <f t="shared" si="302"/>
        <v>1</v>
      </c>
      <c r="BB459" s="15">
        <f t="shared" si="309"/>
        <v>0</v>
      </c>
      <c r="BC459" s="15" t="str">
        <f t="shared" si="310"/>
        <v/>
      </c>
      <c r="BD459" s="15" t="str">
        <f t="shared" si="311"/>
        <v/>
      </c>
      <c r="BE459" s="11" t="e">
        <f t="shared" si="303"/>
        <v>#VALUE!</v>
      </c>
      <c r="BF459" s="11" t="e">
        <f t="shared" si="304"/>
        <v>#VALUE!</v>
      </c>
      <c r="BG459" s="11" t="e">
        <f t="shared" si="305"/>
        <v>#VALUE!</v>
      </c>
      <c r="BH459" t="str">
        <f t="shared" si="306"/>
        <v/>
      </c>
      <c r="BI459" t="str" cm="1">
        <f t="array" ref="BI459">_xlfn.IFS(
  L459&gt;0,"Critical Fail",
  M459&gt;0,"Important (Coaching)",
  TRUE,"Clean Pass"
)</f>
        <v>Clean Pass</v>
      </c>
      <c r="BJ459" t="str">
        <f t="shared" si="307"/>
        <v>NA</v>
      </c>
    </row>
    <row r="460" spans="1:62" x14ac:dyDescent="0.3">
      <c r="A460">
        <v>817011</v>
      </c>
      <c r="K460" t="str">
        <f t="shared" si="308"/>
        <v>Pass</v>
      </c>
      <c r="L460" s="15">
        <f t="shared" si="273"/>
        <v>0</v>
      </c>
      <c r="M460" s="15">
        <f t="shared" si="274"/>
        <v>0</v>
      </c>
      <c r="Z460" s="15">
        <f t="shared" si="275"/>
        <v>1</v>
      </c>
      <c r="AA460" s="15">
        <f t="shared" si="276"/>
        <v>1</v>
      </c>
      <c r="AB460" s="15">
        <f t="shared" si="277"/>
        <v>1</v>
      </c>
      <c r="AC460" s="15">
        <f t="shared" si="278"/>
        <v>1</v>
      </c>
      <c r="AD460" s="15">
        <f t="shared" si="279"/>
        <v>1</v>
      </c>
      <c r="AE460" s="15">
        <f t="shared" si="280"/>
        <v>1</v>
      </c>
      <c r="AF460" s="15">
        <f t="shared" si="281"/>
        <v>1</v>
      </c>
      <c r="AG460" s="15">
        <f t="shared" si="282"/>
        <v>1</v>
      </c>
      <c r="AH460" s="15">
        <f t="shared" si="283"/>
        <v>1</v>
      </c>
      <c r="AI460" s="15">
        <f t="shared" si="284"/>
        <v>1</v>
      </c>
      <c r="AJ460" s="15">
        <f t="shared" si="285"/>
        <v>1</v>
      </c>
      <c r="AK460" s="15">
        <f t="shared" si="286"/>
        <v>1</v>
      </c>
      <c r="AL460" s="15">
        <f t="shared" si="287"/>
        <v>1</v>
      </c>
      <c r="AM460" s="15">
        <f t="shared" si="288"/>
        <v>1</v>
      </c>
      <c r="AN460" s="15">
        <f t="shared" si="289"/>
        <v>1</v>
      </c>
      <c r="AO460" s="15">
        <f t="shared" si="290"/>
        <v>1</v>
      </c>
      <c r="AP460" s="15">
        <f t="shared" si="291"/>
        <v>1</v>
      </c>
      <c r="AQ460" s="15">
        <f t="shared" si="292"/>
        <v>1</v>
      </c>
      <c r="AR460" s="15">
        <f t="shared" si="293"/>
        <v>1</v>
      </c>
      <c r="AS460" s="15">
        <f t="shared" si="294"/>
        <v>1</v>
      </c>
      <c r="AT460" s="15">
        <f t="shared" si="295"/>
        <v>1</v>
      </c>
      <c r="AU460" s="15">
        <f t="shared" si="296"/>
        <v>1</v>
      </c>
      <c r="AV460" s="15">
        <f t="shared" si="297"/>
        <v>1</v>
      </c>
      <c r="AW460" s="15">
        <f t="shared" si="298"/>
        <v>1</v>
      </c>
      <c r="AX460" s="15">
        <f t="shared" si="299"/>
        <v>1</v>
      </c>
      <c r="AY460" s="15">
        <f t="shared" si="300"/>
        <v>1</v>
      </c>
      <c r="AZ460" s="15">
        <f t="shared" si="301"/>
        <v>1</v>
      </c>
      <c r="BA460" s="15">
        <f t="shared" si="302"/>
        <v>1</v>
      </c>
      <c r="BB460" s="15">
        <f t="shared" si="309"/>
        <v>0</v>
      </c>
      <c r="BC460" s="15" t="str">
        <f t="shared" si="310"/>
        <v/>
      </c>
      <c r="BD460" s="15" t="str">
        <f t="shared" si="311"/>
        <v/>
      </c>
      <c r="BE460" s="11" t="e">
        <f t="shared" si="303"/>
        <v>#VALUE!</v>
      </c>
      <c r="BF460" s="11" t="e">
        <f t="shared" si="304"/>
        <v>#VALUE!</v>
      </c>
      <c r="BG460" s="11" t="e">
        <f t="shared" si="305"/>
        <v>#VALUE!</v>
      </c>
      <c r="BH460" t="str">
        <f t="shared" si="306"/>
        <v/>
      </c>
      <c r="BI460" t="str" cm="1">
        <f t="array" ref="BI460">_xlfn.IFS(
  L460&gt;0,"Critical Fail",
  M460&gt;0,"Important (Coaching)",
  TRUE,"Clean Pass"
)</f>
        <v>Clean Pass</v>
      </c>
      <c r="BJ460" t="str">
        <f t="shared" si="307"/>
        <v>NA</v>
      </c>
    </row>
    <row r="461" spans="1:62" x14ac:dyDescent="0.3">
      <c r="A461">
        <v>709071</v>
      </c>
      <c r="K461" t="str">
        <f t="shared" si="308"/>
        <v>Pass</v>
      </c>
      <c r="L461" s="15">
        <f t="shared" si="273"/>
        <v>0</v>
      </c>
      <c r="M461" s="15">
        <f t="shared" si="274"/>
        <v>0</v>
      </c>
      <c r="Z461" s="15">
        <f t="shared" si="275"/>
        <v>1</v>
      </c>
      <c r="AA461" s="15">
        <f t="shared" si="276"/>
        <v>1</v>
      </c>
      <c r="AB461" s="15">
        <f t="shared" si="277"/>
        <v>1</v>
      </c>
      <c r="AC461" s="15">
        <f t="shared" si="278"/>
        <v>1</v>
      </c>
      <c r="AD461" s="15">
        <f t="shared" si="279"/>
        <v>1</v>
      </c>
      <c r="AE461" s="15">
        <f t="shared" si="280"/>
        <v>1</v>
      </c>
      <c r="AF461" s="15">
        <f t="shared" si="281"/>
        <v>1</v>
      </c>
      <c r="AG461" s="15">
        <f t="shared" si="282"/>
        <v>1</v>
      </c>
      <c r="AH461" s="15">
        <f t="shared" si="283"/>
        <v>1</v>
      </c>
      <c r="AI461" s="15">
        <f t="shared" si="284"/>
        <v>1</v>
      </c>
      <c r="AJ461" s="15">
        <f t="shared" si="285"/>
        <v>1</v>
      </c>
      <c r="AK461" s="15">
        <f t="shared" si="286"/>
        <v>1</v>
      </c>
      <c r="AL461" s="15">
        <f t="shared" si="287"/>
        <v>1</v>
      </c>
      <c r="AM461" s="15">
        <f t="shared" si="288"/>
        <v>1</v>
      </c>
      <c r="AN461" s="15">
        <f t="shared" si="289"/>
        <v>1</v>
      </c>
      <c r="AO461" s="15">
        <f t="shared" si="290"/>
        <v>1</v>
      </c>
      <c r="AP461" s="15">
        <f t="shared" si="291"/>
        <v>1</v>
      </c>
      <c r="AQ461" s="15">
        <f t="shared" si="292"/>
        <v>1</v>
      </c>
      <c r="AR461" s="15">
        <f t="shared" si="293"/>
        <v>1</v>
      </c>
      <c r="AS461" s="15">
        <f t="shared" si="294"/>
        <v>1</v>
      </c>
      <c r="AT461" s="15">
        <f t="shared" si="295"/>
        <v>1</v>
      </c>
      <c r="AU461" s="15">
        <f t="shared" si="296"/>
        <v>1</v>
      </c>
      <c r="AV461" s="15">
        <f t="shared" si="297"/>
        <v>1</v>
      </c>
      <c r="AW461" s="15">
        <f t="shared" si="298"/>
        <v>1</v>
      </c>
      <c r="AX461" s="15">
        <f t="shared" si="299"/>
        <v>1</v>
      </c>
      <c r="AY461" s="15">
        <f t="shared" si="300"/>
        <v>1</v>
      </c>
      <c r="AZ461" s="15">
        <f t="shared" si="301"/>
        <v>1</v>
      </c>
      <c r="BA461" s="15">
        <f t="shared" si="302"/>
        <v>1</v>
      </c>
      <c r="BB461" s="15">
        <f t="shared" si="309"/>
        <v>0</v>
      </c>
      <c r="BC461" s="15" t="str">
        <f t="shared" si="310"/>
        <v/>
      </c>
      <c r="BD461" s="15" t="str">
        <f t="shared" si="311"/>
        <v/>
      </c>
      <c r="BE461" s="11" t="e">
        <f t="shared" si="303"/>
        <v>#VALUE!</v>
      </c>
      <c r="BF461" s="11" t="e">
        <f t="shared" si="304"/>
        <v>#VALUE!</v>
      </c>
      <c r="BG461" s="11" t="e">
        <f t="shared" si="305"/>
        <v>#VALUE!</v>
      </c>
      <c r="BH461" t="str">
        <f t="shared" si="306"/>
        <v/>
      </c>
      <c r="BI461" t="str" cm="1">
        <f t="array" ref="BI461">_xlfn.IFS(
  L461&gt;0,"Critical Fail",
  M461&gt;0,"Important (Coaching)",
  TRUE,"Clean Pass"
)</f>
        <v>Clean Pass</v>
      </c>
      <c r="BJ461" t="str">
        <f t="shared" si="307"/>
        <v>NA</v>
      </c>
    </row>
    <row r="462" spans="1:62" x14ac:dyDescent="0.3">
      <c r="A462">
        <v>729943</v>
      </c>
      <c r="K462" t="str">
        <f t="shared" si="308"/>
        <v>Pass</v>
      </c>
      <c r="L462" s="15">
        <f t="shared" si="273"/>
        <v>0</v>
      </c>
      <c r="M462" s="15">
        <f t="shared" si="274"/>
        <v>0</v>
      </c>
      <c r="Z462" s="15">
        <f t="shared" si="275"/>
        <v>1</v>
      </c>
      <c r="AA462" s="15">
        <f t="shared" si="276"/>
        <v>1</v>
      </c>
      <c r="AB462" s="15">
        <f t="shared" si="277"/>
        <v>1</v>
      </c>
      <c r="AC462" s="15">
        <f t="shared" si="278"/>
        <v>1</v>
      </c>
      <c r="AD462" s="15">
        <f t="shared" si="279"/>
        <v>1</v>
      </c>
      <c r="AE462" s="15">
        <f t="shared" si="280"/>
        <v>1</v>
      </c>
      <c r="AF462" s="15">
        <f t="shared" si="281"/>
        <v>1</v>
      </c>
      <c r="AG462" s="15">
        <f t="shared" si="282"/>
        <v>1</v>
      </c>
      <c r="AH462" s="15">
        <f t="shared" si="283"/>
        <v>1</v>
      </c>
      <c r="AI462" s="15">
        <f t="shared" si="284"/>
        <v>1</v>
      </c>
      <c r="AJ462" s="15">
        <f t="shared" si="285"/>
        <v>1</v>
      </c>
      <c r="AK462" s="15">
        <f t="shared" si="286"/>
        <v>1</v>
      </c>
      <c r="AL462" s="15">
        <f t="shared" si="287"/>
        <v>1</v>
      </c>
      <c r="AM462" s="15">
        <f t="shared" si="288"/>
        <v>1</v>
      </c>
      <c r="AN462" s="15">
        <f t="shared" si="289"/>
        <v>1</v>
      </c>
      <c r="AO462" s="15">
        <f t="shared" si="290"/>
        <v>1</v>
      </c>
      <c r="AP462" s="15">
        <f t="shared" si="291"/>
        <v>1</v>
      </c>
      <c r="AQ462" s="15">
        <f t="shared" si="292"/>
        <v>1</v>
      </c>
      <c r="AR462" s="15">
        <f t="shared" si="293"/>
        <v>1</v>
      </c>
      <c r="AS462" s="15">
        <f t="shared" si="294"/>
        <v>1</v>
      </c>
      <c r="AT462" s="15">
        <f t="shared" si="295"/>
        <v>1</v>
      </c>
      <c r="AU462" s="15">
        <f t="shared" si="296"/>
        <v>1</v>
      </c>
      <c r="AV462" s="15">
        <f t="shared" si="297"/>
        <v>1</v>
      </c>
      <c r="AW462" s="15">
        <f t="shared" si="298"/>
        <v>1</v>
      </c>
      <c r="AX462" s="15">
        <f t="shared" si="299"/>
        <v>1</v>
      </c>
      <c r="AY462" s="15">
        <f t="shared" si="300"/>
        <v>1</v>
      </c>
      <c r="AZ462" s="15">
        <f t="shared" si="301"/>
        <v>1</v>
      </c>
      <c r="BA462" s="15">
        <f t="shared" si="302"/>
        <v>1</v>
      </c>
      <c r="BB462" s="15">
        <f t="shared" si="309"/>
        <v>0</v>
      </c>
      <c r="BC462" s="15" t="str">
        <f t="shared" si="310"/>
        <v/>
      </c>
      <c r="BD462" s="15" t="str">
        <f t="shared" si="311"/>
        <v/>
      </c>
      <c r="BE462" s="11" t="e">
        <f t="shared" si="303"/>
        <v>#VALUE!</v>
      </c>
      <c r="BF462" s="11" t="e">
        <f t="shared" si="304"/>
        <v>#VALUE!</v>
      </c>
      <c r="BG462" s="11" t="e">
        <f t="shared" si="305"/>
        <v>#VALUE!</v>
      </c>
      <c r="BH462" t="str">
        <f t="shared" si="306"/>
        <v/>
      </c>
      <c r="BI462" t="str" cm="1">
        <f t="array" ref="BI462">_xlfn.IFS(
  L462&gt;0,"Critical Fail",
  M462&gt;0,"Important (Coaching)",
  TRUE,"Clean Pass"
)</f>
        <v>Clean Pass</v>
      </c>
      <c r="BJ462" t="str">
        <f t="shared" si="307"/>
        <v>NA</v>
      </c>
    </row>
    <row r="463" spans="1:62" x14ac:dyDescent="0.3">
      <c r="A463">
        <v>242646</v>
      </c>
      <c r="K463" t="str">
        <f t="shared" si="308"/>
        <v>Pass</v>
      </c>
      <c r="L463" s="15">
        <f t="shared" si="273"/>
        <v>0</v>
      </c>
      <c r="M463" s="15">
        <f t="shared" si="274"/>
        <v>0</v>
      </c>
      <c r="Z463" s="15">
        <f t="shared" si="275"/>
        <v>1</v>
      </c>
      <c r="AA463" s="15">
        <f t="shared" si="276"/>
        <v>1</v>
      </c>
      <c r="AB463" s="15">
        <f t="shared" si="277"/>
        <v>1</v>
      </c>
      <c r="AC463" s="15">
        <f t="shared" si="278"/>
        <v>1</v>
      </c>
      <c r="AD463" s="15">
        <f t="shared" si="279"/>
        <v>1</v>
      </c>
      <c r="AE463" s="15">
        <f t="shared" si="280"/>
        <v>1</v>
      </c>
      <c r="AF463" s="15">
        <f t="shared" si="281"/>
        <v>1</v>
      </c>
      <c r="AG463" s="15">
        <f t="shared" si="282"/>
        <v>1</v>
      </c>
      <c r="AH463" s="15">
        <f t="shared" si="283"/>
        <v>1</v>
      </c>
      <c r="AI463" s="15">
        <f t="shared" si="284"/>
        <v>1</v>
      </c>
      <c r="AJ463" s="15">
        <f t="shared" si="285"/>
        <v>1</v>
      </c>
      <c r="AK463" s="15">
        <f t="shared" si="286"/>
        <v>1</v>
      </c>
      <c r="AL463" s="15">
        <f t="shared" si="287"/>
        <v>1</v>
      </c>
      <c r="AM463" s="15">
        <f t="shared" si="288"/>
        <v>1</v>
      </c>
      <c r="AN463" s="15">
        <f t="shared" si="289"/>
        <v>1</v>
      </c>
      <c r="AO463" s="15">
        <f t="shared" si="290"/>
        <v>1</v>
      </c>
      <c r="AP463" s="15">
        <f t="shared" si="291"/>
        <v>1</v>
      </c>
      <c r="AQ463" s="15">
        <f t="shared" si="292"/>
        <v>1</v>
      </c>
      <c r="AR463" s="15">
        <f t="shared" si="293"/>
        <v>1</v>
      </c>
      <c r="AS463" s="15">
        <f t="shared" si="294"/>
        <v>1</v>
      </c>
      <c r="AT463" s="15">
        <f t="shared" si="295"/>
        <v>1</v>
      </c>
      <c r="AU463" s="15">
        <f t="shared" si="296"/>
        <v>1</v>
      </c>
      <c r="AV463" s="15">
        <f t="shared" si="297"/>
        <v>1</v>
      </c>
      <c r="AW463" s="15">
        <f t="shared" si="298"/>
        <v>1</v>
      </c>
      <c r="AX463" s="15">
        <f t="shared" si="299"/>
        <v>1</v>
      </c>
      <c r="AY463" s="15">
        <f t="shared" si="300"/>
        <v>1</v>
      </c>
      <c r="AZ463" s="15">
        <f t="shared" si="301"/>
        <v>1</v>
      </c>
      <c r="BA463" s="15">
        <f t="shared" si="302"/>
        <v>1</v>
      </c>
      <c r="BB463" s="15">
        <f t="shared" si="309"/>
        <v>0</v>
      </c>
      <c r="BC463" s="15" t="str">
        <f t="shared" si="310"/>
        <v/>
      </c>
      <c r="BD463" s="15" t="str">
        <f t="shared" si="311"/>
        <v/>
      </c>
      <c r="BE463" s="11" t="e">
        <f t="shared" si="303"/>
        <v>#VALUE!</v>
      </c>
      <c r="BF463" s="11" t="e">
        <f t="shared" si="304"/>
        <v>#VALUE!</v>
      </c>
      <c r="BG463" s="11" t="e">
        <f t="shared" si="305"/>
        <v>#VALUE!</v>
      </c>
      <c r="BH463" t="str">
        <f t="shared" si="306"/>
        <v/>
      </c>
      <c r="BI463" t="str" cm="1">
        <f t="array" ref="BI463">_xlfn.IFS(
  L463&gt;0,"Critical Fail",
  M463&gt;0,"Important (Coaching)",
  TRUE,"Clean Pass"
)</f>
        <v>Clean Pass</v>
      </c>
      <c r="BJ463" t="str">
        <f t="shared" si="307"/>
        <v>NA</v>
      </c>
    </row>
    <row r="464" spans="1:62" x14ac:dyDescent="0.3">
      <c r="A464">
        <v>923331</v>
      </c>
      <c r="K464" t="str">
        <f t="shared" si="308"/>
        <v>Pass</v>
      </c>
      <c r="L464" s="15">
        <f t="shared" si="273"/>
        <v>0</v>
      </c>
      <c r="M464" s="15">
        <f t="shared" si="274"/>
        <v>0</v>
      </c>
      <c r="Z464" s="15">
        <f t="shared" si="275"/>
        <v>1</v>
      </c>
      <c r="AA464" s="15">
        <f t="shared" si="276"/>
        <v>1</v>
      </c>
      <c r="AB464" s="15">
        <f t="shared" si="277"/>
        <v>1</v>
      </c>
      <c r="AC464" s="15">
        <f t="shared" si="278"/>
        <v>1</v>
      </c>
      <c r="AD464" s="15">
        <f t="shared" si="279"/>
        <v>1</v>
      </c>
      <c r="AE464" s="15">
        <f t="shared" si="280"/>
        <v>1</v>
      </c>
      <c r="AF464" s="15">
        <f t="shared" si="281"/>
        <v>1</v>
      </c>
      <c r="AG464" s="15">
        <f t="shared" si="282"/>
        <v>1</v>
      </c>
      <c r="AH464" s="15">
        <f t="shared" si="283"/>
        <v>1</v>
      </c>
      <c r="AI464" s="15">
        <f t="shared" si="284"/>
        <v>1</v>
      </c>
      <c r="AJ464" s="15">
        <f t="shared" si="285"/>
        <v>1</v>
      </c>
      <c r="AK464" s="15">
        <f t="shared" si="286"/>
        <v>1</v>
      </c>
      <c r="AL464" s="15">
        <f t="shared" si="287"/>
        <v>1</v>
      </c>
      <c r="AM464" s="15">
        <f t="shared" si="288"/>
        <v>1</v>
      </c>
      <c r="AN464" s="15">
        <f t="shared" si="289"/>
        <v>1</v>
      </c>
      <c r="AO464" s="15">
        <f t="shared" si="290"/>
        <v>1</v>
      </c>
      <c r="AP464" s="15">
        <f t="shared" si="291"/>
        <v>1</v>
      </c>
      <c r="AQ464" s="15">
        <f t="shared" si="292"/>
        <v>1</v>
      </c>
      <c r="AR464" s="15">
        <f t="shared" si="293"/>
        <v>1</v>
      </c>
      <c r="AS464" s="15">
        <f t="shared" si="294"/>
        <v>1</v>
      </c>
      <c r="AT464" s="15">
        <f t="shared" si="295"/>
        <v>1</v>
      </c>
      <c r="AU464" s="15">
        <f t="shared" si="296"/>
        <v>1</v>
      </c>
      <c r="AV464" s="15">
        <f t="shared" si="297"/>
        <v>1</v>
      </c>
      <c r="AW464" s="15">
        <f t="shared" si="298"/>
        <v>1</v>
      </c>
      <c r="AX464" s="15">
        <f t="shared" si="299"/>
        <v>1</v>
      </c>
      <c r="AY464" s="15">
        <f t="shared" si="300"/>
        <v>1</v>
      </c>
      <c r="AZ464" s="15">
        <f t="shared" si="301"/>
        <v>1</v>
      </c>
      <c r="BA464" s="15">
        <f t="shared" si="302"/>
        <v>1</v>
      </c>
      <c r="BB464" s="15">
        <f t="shared" si="309"/>
        <v>0</v>
      </c>
      <c r="BC464" s="15" t="str">
        <f t="shared" si="310"/>
        <v/>
      </c>
      <c r="BD464" s="15" t="str">
        <f t="shared" si="311"/>
        <v/>
      </c>
      <c r="BE464" s="11" t="e">
        <f t="shared" si="303"/>
        <v>#VALUE!</v>
      </c>
      <c r="BF464" s="11" t="e">
        <f t="shared" si="304"/>
        <v>#VALUE!</v>
      </c>
      <c r="BG464" s="11" t="e">
        <f t="shared" si="305"/>
        <v>#VALUE!</v>
      </c>
      <c r="BH464" t="str">
        <f t="shared" si="306"/>
        <v/>
      </c>
      <c r="BI464" t="str" cm="1">
        <f t="array" ref="BI464">_xlfn.IFS(
  L464&gt;0,"Critical Fail",
  M464&gt;0,"Important (Coaching)",
  TRUE,"Clean Pass"
)</f>
        <v>Clean Pass</v>
      </c>
      <c r="BJ464" t="str">
        <f t="shared" si="307"/>
        <v>NA</v>
      </c>
    </row>
    <row r="465" spans="1:62" x14ac:dyDescent="0.3">
      <c r="A465">
        <v>980423</v>
      </c>
      <c r="K465" t="str">
        <f t="shared" si="308"/>
        <v>Pass</v>
      </c>
      <c r="L465" s="15">
        <f t="shared" si="273"/>
        <v>0</v>
      </c>
      <c r="M465" s="15">
        <f t="shared" si="274"/>
        <v>0</v>
      </c>
      <c r="Z465" s="15">
        <f t="shared" si="275"/>
        <v>1</v>
      </c>
      <c r="AA465" s="15">
        <f t="shared" si="276"/>
        <v>1</v>
      </c>
      <c r="AB465" s="15">
        <f t="shared" si="277"/>
        <v>1</v>
      </c>
      <c r="AC465" s="15">
        <f t="shared" si="278"/>
        <v>1</v>
      </c>
      <c r="AD465" s="15">
        <f t="shared" si="279"/>
        <v>1</v>
      </c>
      <c r="AE465" s="15">
        <f t="shared" si="280"/>
        <v>1</v>
      </c>
      <c r="AF465" s="15">
        <f t="shared" si="281"/>
        <v>1</v>
      </c>
      <c r="AG465" s="15">
        <f t="shared" si="282"/>
        <v>1</v>
      </c>
      <c r="AH465" s="15">
        <f t="shared" si="283"/>
        <v>1</v>
      </c>
      <c r="AI465" s="15">
        <f t="shared" si="284"/>
        <v>1</v>
      </c>
      <c r="AJ465" s="15">
        <f t="shared" si="285"/>
        <v>1</v>
      </c>
      <c r="AK465" s="15">
        <f t="shared" si="286"/>
        <v>1</v>
      </c>
      <c r="AL465" s="15">
        <f t="shared" si="287"/>
        <v>1</v>
      </c>
      <c r="AM465" s="15">
        <f t="shared" si="288"/>
        <v>1</v>
      </c>
      <c r="AN465" s="15">
        <f t="shared" si="289"/>
        <v>1</v>
      </c>
      <c r="AO465" s="15">
        <f t="shared" si="290"/>
        <v>1</v>
      </c>
      <c r="AP465" s="15">
        <f t="shared" si="291"/>
        <v>1</v>
      </c>
      <c r="AQ465" s="15">
        <f t="shared" si="292"/>
        <v>1</v>
      </c>
      <c r="AR465" s="15">
        <f t="shared" si="293"/>
        <v>1</v>
      </c>
      <c r="AS465" s="15">
        <f t="shared" si="294"/>
        <v>1</v>
      </c>
      <c r="AT465" s="15">
        <f t="shared" si="295"/>
        <v>1</v>
      </c>
      <c r="AU465" s="15">
        <f t="shared" si="296"/>
        <v>1</v>
      </c>
      <c r="AV465" s="15">
        <f t="shared" si="297"/>
        <v>1</v>
      </c>
      <c r="AW465" s="15">
        <f t="shared" si="298"/>
        <v>1</v>
      </c>
      <c r="AX465" s="15">
        <f t="shared" si="299"/>
        <v>1</v>
      </c>
      <c r="AY465" s="15">
        <f t="shared" si="300"/>
        <v>1</v>
      </c>
      <c r="AZ465" s="15">
        <f t="shared" si="301"/>
        <v>1</v>
      </c>
      <c r="BA465" s="15">
        <f t="shared" si="302"/>
        <v>1</v>
      </c>
      <c r="BB465" s="15">
        <f t="shared" si="309"/>
        <v>0</v>
      </c>
      <c r="BC465" s="15" t="str">
        <f t="shared" si="310"/>
        <v/>
      </c>
      <c r="BD465" s="15" t="str">
        <f t="shared" si="311"/>
        <v/>
      </c>
      <c r="BE465" s="11" t="e">
        <f t="shared" si="303"/>
        <v>#VALUE!</v>
      </c>
      <c r="BF465" s="11" t="e">
        <f t="shared" si="304"/>
        <v>#VALUE!</v>
      </c>
      <c r="BG465" s="11" t="e">
        <f t="shared" si="305"/>
        <v>#VALUE!</v>
      </c>
      <c r="BH465" t="str">
        <f t="shared" si="306"/>
        <v/>
      </c>
      <c r="BI465" t="str" cm="1">
        <f t="array" ref="BI465">_xlfn.IFS(
  L465&gt;0,"Critical Fail",
  M465&gt;0,"Important (Coaching)",
  TRUE,"Clean Pass"
)</f>
        <v>Clean Pass</v>
      </c>
      <c r="BJ465" t="str">
        <f t="shared" si="307"/>
        <v>NA</v>
      </c>
    </row>
    <row r="466" spans="1:62" x14ac:dyDescent="0.3">
      <c r="A466">
        <v>189440</v>
      </c>
      <c r="K466" t="str">
        <f t="shared" si="308"/>
        <v>Pass</v>
      </c>
      <c r="L466" s="15">
        <f t="shared" si="273"/>
        <v>0</v>
      </c>
      <c r="M466" s="15">
        <f t="shared" si="274"/>
        <v>0</v>
      </c>
      <c r="Z466" s="15">
        <f t="shared" si="275"/>
        <v>1</v>
      </c>
      <c r="AA466" s="15">
        <f t="shared" si="276"/>
        <v>1</v>
      </c>
      <c r="AB466" s="15">
        <f t="shared" si="277"/>
        <v>1</v>
      </c>
      <c r="AC466" s="15">
        <f t="shared" si="278"/>
        <v>1</v>
      </c>
      <c r="AD466" s="15">
        <f t="shared" si="279"/>
        <v>1</v>
      </c>
      <c r="AE466" s="15">
        <f t="shared" si="280"/>
        <v>1</v>
      </c>
      <c r="AF466" s="15">
        <f t="shared" si="281"/>
        <v>1</v>
      </c>
      <c r="AG466" s="15">
        <f t="shared" si="282"/>
        <v>1</v>
      </c>
      <c r="AH466" s="15">
        <f t="shared" si="283"/>
        <v>1</v>
      </c>
      <c r="AI466" s="15">
        <f t="shared" si="284"/>
        <v>1</v>
      </c>
      <c r="AJ466" s="15">
        <f t="shared" si="285"/>
        <v>1</v>
      </c>
      <c r="AK466" s="15">
        <f t="shared" si="286"/>
        <v>1</v>
      </c>
      <c r="AL466" s="15">
        <f t="shared" si="287"/>
        <v>1</v>
      </c>
      <c r="AM466" s="15">
        <f t="shared" si="288"/>
        <v>1</v>
      </c>
      <c r="AN466" s="15">
        <f t="shared" si="289"/>
        <v>1</v>
      </c>
      <c r="AO466" s="15">
        <f t="shared" si="290"/>
        <v>1</v>
      </c>
      <c r="AP466" s="15">
        <f t="shared" si="291"/>
        <v>1</v>
      </c>
      <c r="AQ466" s="15">
        <f t="shared" si="292"/>
        <v>1</v>
      </c>
      <c r="AR466" s="15">
        <f t="shared" si="293"/>
        <v>1</v>
      </c>
      <c r="AS466" s="15">
        <f t="shared" si="294"/>
        <v>1</v>
      </c>
      <c r="AT466" s="15">
        <f t="shared" si="295"/>
        <v>1</v>
      </c>
      <c r="AU466" s="15">
        <f t="shared" si="296"/>
        <v>1</v>
      </c>
      <c r="AV466" s="15">
        <f t="shared" si="297"/>
        <v>1</v>
      </c>
      <c r="AW466" s="15">
        <f t="shared" si="298"/>
        <v>1</v>
      </c>
      <c r="AX466" s="15">
        <f t="shared" si="299"/>
        <v>1</v>
      </c>
      <c r="AY466" s="15">
        <f t="shared" si="300"/>
        <v>1</v>
      </c>
      <c r="AZ466" s="15">
        <f t="shared" si="301"/>
        <v>1</v>
      </c>
      <c r="BA466" s="15">
        <f t="shared" si="302"/>
        <v>1</v>
      </c>
      <c r="BB466" s="15">
        <f t="shared" si="309"/>
        <v>0</v>
      </c>
      <c r="BC466" s="15" t="str">
        <f t="shared" si="310"/>
        <v/>
      </c>
      <c r="BD466" s="15" t="str">
        <f t="shared" si="311"/>
        <v/>
      </c>
      <c r="BE466" s="11" t="e">
        <f t="shared" si="303"/>
        <v>#VALUE!</v>
      </c>
      <c r="BF466" s="11" t="e">
        <f t="shared" si="304"/>
        <v>#VALUE!</v>
      </c>
      <c r="BG466" s="11" t="e">
        <f t="shared" si="305"/>
        <v>#VALUE!</v>
      </c>
      <c r="BH466" t="str">
        <f t="shared" si="306"/>
        <v/>
      </c>
      <c r="BI466" t="str" cm="1">
        <f t="array" ref="BI466">_xlfn.IFS(
  L466&gt;0,"Critical Fail",
  M466&gt;0,"Important (Coaching)",
  TRUE,"Clean Pass"
)</f>
        <v>Clean Pass</v>
      </c>
      <c r="BJ466" t="str">
        <f t="shared" si="307"/>
        <v>NA</v>
      </c>
    </row>
    <row r="467" spans="1:62" x14ac:dyDescent="0.3">
      <c r="A467">
        <v>502499</v>
      </c>
      <c r="K467" t="str">
        <f t="shared" si="308"/>
        <v>Pass</v>
      </c>
      <c r="L467" s="15">
        <f t="shared" si="273"/>
        <v>0</v>
      </c>
      <c r="M467" s="15">
        <f t="shared" si="274"/>
        <v>0</v>
      </c>
      <c r="Z467" s="15">
        <f t="shared" si="275"/>
        <v>1</v>
      </c>
      <c r="AA467" s="15">
        <f t="shared" si="276"/>
        <v>1</v>
      </c>
      <c r="AB467" s="15">
        <f t="shared" si="277"/>
        <v>1</v>
      </c>
      <c r="AC467" s="15">
        <f t="shared" si="278"/>
        <v>1</v>
      </c>
      <c r="AD467" s="15">
        <f t="shared" si="279"/>
        <v>1</v>
      </c>
      <c r="AE467" s="15">
        <f t="shared" si="280"/>
        <v>1</v>
      </c>
      <c r="AF467" s="15">
        <f t="shared" si="281"/>
        <v>1</v>
      </c>
      <c r="AG467" s="15">
        <f t="shared" si="282"/>
        <v>1</v>
      </c>
      <c r="AH467" s="15">
        <f t="shared" si="283"/>
        <v>1</v>
      </c>
      <c r="AI467" s="15">
        <f t="shared" si="284"/>
        <v>1</v>
      </c>
      <c r="AJ467" s="15">
        <f t="shared" si="285"/>
        <v>1</v>
      </c>
      <c r="AK467" s="15">
        <f t="shared" si="286"/>
        <v>1</v>
      </c>
      <c r="AL467" s="15">
        <f t="shared" si="287"/>
        <v>1</v>
      </c>
      <c r="AM467" s="15">
        <f t="shared" si="288"/>
        <v>1</v>
      </c>
      <c r="AN467" s="15">
        <f t="shared" si="289"/>
        <v>1</v>
      </c>
      <c r="AO467" s="15">
        <f t="shared" si="290"/>
        <v>1</v>
      </c>
      <c r="AP467" s="15">
        <f t="shared" si="291"/>
        <v>1</v>
      </c>
      <c r="AQ467" s="15">
        <f t="shared" si="292"/>
        <v>1</v>
      </c>
      <c r="AR467" s="15">
        <f t="shared" si="293"/>
        <v>1</v>
      </c>
      <c r="AS467" s="15">
        <f t="shared" si="294"/>
        <v>1</v>
      </c>
      <c r="AT467" s="15">
        <f t="shared" si="295"/>
        <v>1</v>
      </c>
      <c r="AU467" s="15">
        <f t="shared" si="296"/>
        <v>1</v>
      </c>
      <c r="AV467" s="15">
        <f t="shared" si="297"/>
        <v>1</v>
      </c>
      <c r="AW467" s="15">
        <f t="shared" si="298"/>
        <v>1</v>
      </c>
      <c r="AX467" s="15">
        <f t="shared" si="299"/>
        <v>1</v>
      </c>
      <c r="AY467" s="15">
        <f t="shared" si="300"/>
        <v>1</v>
      </c>
      <c r="AZ467" s="15">
        <f t="shared" si="301"/>
        <v>1</v>
      </c>
      <c r="BA467" s="15">
        <f t="shared" si="302"/>
        <v>1</v>
      </c>
      <c r="BB467" s="15">
        <f t="shared" si="309"/>
        <v>0</v>
      </c>
      <c r="BC467" s="15" t="str">
        <f t="shared" si="310"/>
        <v/>
      </c>
      <c r="BD467" s="15" t="str">
        <f t="shared" si="311"/>
        <v/>
      </c>
      <c r="BE467" s="11" t="e">
        <f t="shared" si="303"/>
        <v>#VALUE!</v>
      </c>
      <c r="BF467" s="11" t="e">
        <f t="shared" si="304"/>
        <v>#VALUE!</v>
      </c>
      <c r="BG467" s="11" t="e">
        <f t="shared" si="305"/>
        <v>#VALUE!</v>
      </c>
      <c r="BH467" t="str">
        <f t="shared" si="306"/>
        <v/>
      </c>
      <c r="BI467" t="str" cm="1">
        <f t="array" ref="BI467">_xlfn.IFS(
  L467&gt;0,"Critical Fail",
  M467&gt;0,"Important (Coaching)",
  TRUE,"Clean Pass"
)</f>
        <v>Clean Pass</v>
      </c>
      <c r="BJ467" t="str">
        <f t="shared" si="307"/>
        <v>NA</v>
      </c>
    </row>
    <row r="468" spans="1:62" x14ac:dyDescent="0.3">
      <c r="A468">
        <v>973869</v>
      </c>
      <c r="K468" t="str">
        <f t="shared" si="308"/>
        <v>Pass</v>
      </c>
      <c r="L468" s="15">
        <f t="shared" si="273"/>
        <v>0</v>
      </c>
      <c r="M468" s="15">
        <f t="shared" si="274"/>
        <v>0</v>
      </c>
      <c r="Z468" s="15">
        <f t="shared" si="275"/>
        <v>1</v>
      </c>
      <c r="AA468" s="15">
        <f t="shared" si="276"/>
        <v>1</v>
      </c>
      <c r="AB468" s="15">
        <f t="shared" si="277"/>
        <v>1</v>
      </c>
      <c r="AC468" s="15">
        <f t="shared" si="278"/>
        <v>1</v>
      </c>
      <c r="AD468" s="15">
        <f t="shared" si="279"/>
        <v>1</v>
      </c>
      <c r="AE468" s="15">
        <f t="shared" si="280"/>
        <v>1</v>
      </c>
      <c r="AF468" s="15">
        <f t="shared" si="281"/>
        <v>1</v>
      </c>
      <c r="AG468" s="15">
        <f t="shared" si="282"/>
        <v>1</v>
      </c>
      <c r="AH468" s="15">
        <f t="shared" si="283"/>
        <v>1</v>
      </c>
      <c r="AI468" s="15">
        <f t="shared" si="284"/>
        <v>1</v>
      </c>
      <c r="AJ468" s="15">
        <f t="shared" si="285"/>
        <v>1</v>
      </c>
      <c r="AK468" s="15">
        <f t="shared" si="286"/>
        <v>1</v>
      </c>
      <c r="AL468" s="15">
        <f t="shared" si="287"/>
        <v>1</v>
      </c>
      <c r="AM468" s="15">
        <f t="shared" si="288"/>
        <v>1</v>
      </c>
      <c r="AN468" s="15">
        <f t="shared" si="289"/>
        <v>1</v>
      </c>
      <c r="AO468" s="15">
        <f t="shared" si="290"/>
        <v>1</v>
      </c>
      <c r="AP468" s="15">
        <f t="shared" si="291"/>
        <v>1</v>
      </c>
      <c r="AQ468" s="15">
        <f t="shared" si="292"/>
        <v>1</v>
      </c>
      <c r="AR468" s="15">
        <f t="shared" si="293"/>
        <v>1</v>
      </c>
      <c r="AS468" s="15">
        <f t="shared" si="294"/>
        <v>1</v>
      </c>
      <c r="AT468" s="15">
        <f t="shared" si="295"/>
        <v>1</v>
      </c>
      <c r="AU468" s="15">
        <f t="shared" si="296"/>
        <v>1</v>
      </c>
      <c r="AV468" s="15">
        <f t="shared" si="297"/>
        <v>1</v>
      </c>
      <c r="AW468" s="15">
        <f t="shared" si="298"/>
        <v>1</v>
      </c>
      <c r="AX468" s="15">
        <f t="shared" si="299"/>
        <v>1</v>
      </c>
      <c r="AY468" s="15">
        <f t="shared" si="300"/>
        <v>1</v>
      </c>
      <c r="AZ468" s="15">
        <f t="shared" si="301"/>
        <v>1</v>
      </c>
      <c r="BA468" s="15">
        <f t="shared" si="302"/>
        <v>1</v>
      </c>
      <c r="BB468" s="15">
        <f t="shared" si="309"/>
        <v>0</v>
      </c>
      <c r="BC468" s="15" t="str">
        <f t="shared" si="310"/>
        <v/>
      </c>
      <c r="BD468" s="15" t="str">
        <f t="shared" si="311"/>
        <v/>
      </c>
      <c r="BE468" s="11" t="e">
        <f t="shared" si="303"/>
        <v>#VALUE!</v>
      </c>
      <c r="BF468" s="11" t="e">
        <f t="shared" si="304"/>
        <v>#VALUE!</v>
      </c>
      <c r="BG468" s="11" t="e">
        <f t="shared" si="305"/>
        <v>#VALUE!</v>
      </c>
      <c r="BH468" t="str">
        <f t="shared" si="306"/>
        <v/>
      </c>
      <c r="BI468" t="str" cm="1">
        <f t="array" ref="BI468">_xlfn.IFS(
  L468&gt;0,"Critical Fail",
  M468&gt;0,"Important (Coaching)",
  TRUE,"Clean Pass"
)</f>
        <v>Clean Pass</v>
      </c>
      <c r="BJ468" t="str">
        <f t="shared" si="307"/>
        <v>NA</v>
      </c>
    </row>
    <row r="469" spans="1:62" x14ac:dyDescent="0.3">
      <c r="A469">
        <v>188937</v>
      </c>
      <c r="K469" t="str">
        <f t="shared" si="308"/>
        <v>Pass</v>
      </c>
      <c r="L469" s="15">
        <f t="shared" si="273"/>
        <v>0</v>
      </c>
      <c r="M469" s="15">
        <f t="shared" si="274"/>
        <v>0</v>
      </c>
      <c r="Z469" s="15">
        <f t="shared" si="275"/>
        <v>1</v>
      </c>
      <c r="AA469" s="15">
        <f t="shared" si="276"/>
        <v>1</v>
      </c>
      <c r="AB469" s="15">
        <f t="shared" si="277"/>
        <v>1</v>
      </c>
      <c r="AC469" s="15">
        <f t="shared" si="278"/>
        <v>1</v>
      </c>
      <c r="AD469" s="15">
        <f t="shared" si="279"/>
        <v>1</v>
      </c>
      <c r="AE469" s="15">
        <f t="shared" si="280"/>
        <v>1</v>
      </c>
      <c r="AF469" s="15">
        <f t="shared" si="281"/>
        <v>1</v>
      </c>
      <c r="AG469" s="15">
        <f t="shared" si="282"/>
        <v>1</v>
      </c>
      <c r="AH469" s="15">
        <f t="shared" si="283"/>
        <v>1</v>
      </c>
      <c r="AI469" s="15">
        <f t="shared" si="284"/>
        <v>1</v>
      </c>
      <c r="AJ469" s="15">
        <f t="shared" si="285"/>
        <v>1</v>
      </c>
      <c r="AK469" s="15">
        <f t="shared" si="286"/>
        <v>1</v>
      </c>
      <c r="AL469" s="15">
        <f t="shared" si="287"/>
        <v>1</v>
      </c>
      <c r="AM469" s="15">
        <f t="shared" si="288"/>
        <v>1</v>
      </c>
      <c r="AN469" s="15">
        <f t="shared" si="289"/>
        <v>1</v>
      </c>
      <c r="AO469" s="15">
        <f t="shared" si="290"/>
        <v>1</v>
      </c>
      <c r="AP469" s="15">
        <f t="shared" si="291"/>
        <v>1</v>
      </c>
      <c r="AQ469" s="15">
        <f t="shared" si="292"/>
        <v>1</v>
      </c>
      <c r="AR469" s="15">
        <f t="shared" si="293"/>
        <v>1</v>
      </c>
      <c r="AS469" s="15">
        <f t="shared" si="294"/>
        <v>1</v>
      </c>
      <c r="AT469" s="15">
        <f t="shared" si="295"/>
        <v>1</v>
      </c>
      <c r="AU469" s="15">
        <f t="shared" si="296"/>
        <v>1</v>
      </c>
      <c r="AV469" s="15">
        <f t="shared" si="297"/>
        <v>1</v>
      </c>
      <c r="AW469" s="15">
        <f t="shared" si="298"/>
        <v>1</v>
      </c>
      <c r="AX469" s="15">
        <f t="shared" si="299"/>
        <v>1</v>
      </c>
      <c r="AY469" s="15">
        <f t="shared" si="300"/>
        <v>1</v>
      </c>
      <c r="AZ469" s="15">
        <f t="shared" si="301"/>
        <v>1</v>
      </c>
      <c r="BA469" s="15">
        <f t="shared" si="302"/>
        <v>1</v>
      </c>
      <c r="BB469" s="15">
        <f t="shared" si="309"/>
        <v>0</v>
      </c>
      <c r="BC469" s="15" t="str">
        <f t="shared" si="310"/>
        <v/>
      </c>
      <c r="BD469" s="15" t="str">
        <f t="shared" si="311"/>
        <v/>
      </c>
      <c r="BE469" s="11" t="e">
        <f t="shared" si="303"/>
        <v>#VALUE!</v>
      </c>
      <c r="BF469" s="11" t="e">
        <f t="shared" si="304"/>
        <v>#VALUE!</v>
      </c>
      <c r="BG469" s="11" t="e">
        <f t="shared" si="305"/>
        <v>#VALUE!</v>
      </c>
      <c r="BH469" t="str">
        <f t="shared" si="306"/>
        <v/>
      </c>
      <c r="BI469" t="str" cm="1">
        <f t="array" ref="BI469">_xlfn.IFS(
  L469&gt;0,"Critical Fail",
  M469&gt;0,"Important (Coaching)",
  TRUE,"Clean Pass"
)</f>
        <v>Clean Pass</v>
      </c>
      <c r="BJ469" t="str">
        <f t="shared" si="307"/>
        <v>NA</v>
      </c>
    </row>
    <row r="470" spans="1:62" x14ac:dyDescent="0.3">
      <c r="A470">
        <v>636012</v>
      </c>
      <c r="K470" t="str">
        <f t="shared" si="308"/>
        <v>Pass</v>
      </c>
      <c r="L470" s="15">
        <f t="shared" si="273"/>
        <v>0</v>
      </c>
      <c r="M470" s="15">
        <f t="shared" si="274"/>
        <v>0</v>
      </c>
      <c r="Z470" s="15">
        <f t="shared" si="275"/>
        <v>1</v>
      </c>
      <c r="AA470" s="15">
        <f t="shared" si="276"/>
        <v>1</v>
      </c>
      <c r="AB470" s="15">
        <f t="shared" si="277"/>
        <v>1</v>
      </c>
      <c r="AC470" s="15">
        <f t="shared" si="278"/>
        <v>1</v>
      </c>
      <c r="AD470" s="15">
        <f t="shared" si="279"/>
        <v>1</v>
      </c>
      <c r="AE470" s="15">
        <f t="shared" si="280"/>
        <v>1</v>
      </c>
      <c r="AF470" s="15">
        <f t="shared" si="281"/>
        <v>1</v>
      </c>
      <c r="AG470" s="15">
        <f t="shared" si="282"/>
        <v>1</v>
      </c>
      <c r="AH470" s="15">
        <f t="shared" si="283"/>
        <v>1</v>
      </c>
      <c r="AI470" s="15">
        <f t="shared" si="284"/>
        <v>1</v>
      </c>
      <c r="AJ470" s="15">
        <f t="shared" si="285"/>
        <v>1</v>
      </c>
      <c r="AK470" s="15">
        <f t="shared" si="286"/>
        <v>1</v>
      </c>
      <c r="AL470" s="15">
        <f t="shared" si="287"/>
        <v>1</v>
      </c>
      <c r="AM470" s="15">
        <f t="shared" si="288"/>
        <v>1</v>
      </c>
      <c r="AN470" s="15">
        <f t="shared" si="289"/>
        <v>1</v>
      </c>
      <c r="AO470" s="15">
        <f t="shared" si="290"/>
        <v>1</v>
      </c>
      <c r="AP470" s="15">
        <f t="shared" si="291"/>
        <v>1</v>
      </c>
      <c r="AQ470" s="15">
        <f t="shared" si="292"/>
        <v>1</v>
      </c>
      <c r="AR470" s="15">
        <f t="shared" si="293"/>
        <v>1</v>
      </c>
      <c r="AS470" s="15">
        <f t="shared" si="294"/>
        <v>1</v>
      </c>
      <c r="AT470" s="15">
        <f t="shared" si="295"/>
        <v>1</v>
      </c>
      <c r="AU470" s="15">
        <f t="shared" si="296"/>
        <v>1</v>
      </c>
      <c r="AV470" s="15">
        <f t="shared" si="297"/>
        <v>1</v>
      </c>
      <c r="AW470" s="15">
        <f t="shared" si="298"/>
        <v>1</v>
      </c>
      <c r="AX470" s="15">
        <f t="shared" si="299"/>
        <v>1</v>
      </c>
      <c r="AY470" s="15">
        <f t="shared" si="300"/>
        <v>1</v>
      </c>
      <c r="AZ470" s="15">
        <f t="shared" si="301"/>
        <v>1</v>
      </c>
      <c r="BA470" s="15">
        <f t="shared" si="302"/>
        <v>1</v>
      </c>
      <c r="BB470" s="15">
        <f t="shared" si="309"/>
        <v>0</v>
      </c>
      <c r="BC470" s="15" t="str">
        <f t="shared" si="310"/>
        <v/>
      </c>
      <c r="BD470" s="15" t="str">
        <f t="shared" si="311"/>
        <v/>
      </c>
      <c r="BE470" s="11" t="e">
        <f t="shared" si="303"/>
        <v>#VALUE!</v>
      </c>
      <c r="BF470" s="11" t="e">
        <f t="shared" si="304"/>
        <v>#VALUE!</v>
      </c>
      <c r="BG470" s="11" t="e">
        <f t="shared" si="305"/>
        <v>#VALUE!</v>
      </c>
      <c r="BH470" t="str">
        <f t="shared" si="306"/>
        <v/>
      </c>
      <c r="BI470" t="str" cm="1">
        <f t="array" ref="BI470">_xlfn.IFS(
  L470&gt;0,"Critical Fail",
  M470&gt;0,"Important (Coaching)",
  TRUE,"Clean Pass"
)</f>
        <v>Clean Pass</v>
      </c>
      <c r="BJ470" t="str">
        <f t="shared" si="307"/>
        <v>NA</v>
      </c>
    </row>
    <row r="471" spans="1:62" x14ac:dyDescent="0.3">
      <c r="A471">
        <v>689288</v>
      </c>
      <c r="K471" t="str">
        <f t="shared" si="308"/>
        <v>Pass</v>
      </c>
      <c r="L471" s="15">
        <f t="shared" si="273"/>
        <v>0</v>
      </c>
      <c r="M471" s="15">
        <f t="shared" si="274"/>
        <v>0</v>
      </c>
      <c r="Z471" s="15">
        <f t="shared" si="275"/>
        <v>1</v>
      </c>
      <c r="AA471" s="15">
        <f t="shared" si="276"/>
        <v>1</v>
      </c>
      <c r="AB471" s="15">
        <f t="shared" si="277"/>
        <v>1</v>
      </c>
      <c r="AC471" s="15">
        <f t="shared" si="278"/>
        <v>1</v>
      </c>
      <c r="AD471" s="15">
        <f t="shared" si="279"/>
        <v>1</v>
      </c>
      <c r="AE471" s="15">
        <f t="shared" si="280"/>
        <v>1</v>
      </c>
      <c r="AF471" s="15">
        <f t="shared" si="281"/>
        <v>1</v>
      </c>
      <c r="AG471" s="15">
        <f t="shared" si="282"/>
        <v>1</v>
      </c>
      <c r="AH471" s="15">
        <f t="shared" si="283"/>
        <v>1</v>
      </c>
      <c r="AI471" s="15">
        <f t="shared" si="284"/>
        <v>1</v>
      </c>
      <c r="AJ471" s="15">
        <f t="shared" si="285"/>
        <v>1</v>
      </c>
      <c r="AK471" s="15">
        <f t="shared" si="286"/>
        <v>1</v>
      </c>
      <c r="AL471" s="15">
        <f t="shared" si="287"/>
        <v>1</v>
      </c>
      <c r="AM471" s="15">
        <f t="shared" si="288"/>
        <v>1</v>
      </c>
      <c r="AN471" s="15">
        <f t="shared" si="289"/>
        <v>1</v>
      </c>
      <c r="AO471" s="15">
        <f t="shared" si="290"/>
        <v>1</v>
      </c>
      <c r="AP471" s="15">
        <f t="shared" si="291"/>
        <v>1</v>
      </c>
      <c r="AQ471" s="15">
        <f t="shared" si="292"/>
        <v>1</v>
      </c>
      <c r="AR471" s="15">
        <f t="shared" si="293"/>
        <v>1</v>
      </c>
      <c r="AS471" s="15">
        <f t="shared" si="294"/>
        <v>1</v>
      </c>
      <c r="AT471" s="15">
        <f t="shared" si="295"/>
        <v>1</v>
      </c>
      <c r="AU471" s="15">
        <f t="shared" si="296"/>
        <v>1</v>
      </c>
      <c r="AV471" s="15">
        <f t="shared" si="297"/>
        <v>1</v>
      </c>
      <c r="AW471" s="15">
        <f t="shared" si="298"/>
        <v>1</v>
      </c>
      <c r="AX471" s="15">
        <f t="shared" si="299"/>
        <v>1</v>
      </c>
      <c r="AY471" s="15">
        <f t="shared" si="300"/>
        <v>1</v>
      </c>
      <c r="AZ471" s="15">
        <f t="shared" si="301"/>
        <v>1</v>
      </c>
      <c r="BA471" s="15">
        <f t="shared" si="302"/>
        <v>1</v>
      </c>
      <c r="BB471" s="15">
        <f t="shared" si="309"/>
        <v>0</v>
      </c>
      <c r="BC471" s="15" t="str">
        <f t="shared" si="310"/>
        <v/>
      </c>
      <c r="BD471" s="15" t="str">
        <f t="shared" si="311"/>
        <v/>
      </c>
      <c r="BE471" s="11" t="e">
        <f t="shared" si="303"/>
        <v>#VALUE!</v>
      </c>
      <c r="BF471" s="11" t="e">
        <f t="shared" si="304"/>
        <v>#VALUE!</v>
      </c>
      <c r="BG471" s="11" t="e">
        <f t="shared" si="305"/>
        <v>#VALUE!</v>
      </c>
      <c r="BH471" t="str">
        <f t="shared" si="306"/>
        <v/>
      </c>
      <c r="BI471" t="str" cm="1">
        <f t="array" ref="BI471">_xlfn.IFS(
  L471&gt;0,"Critical Fail",
  M471&gt;0,"Important (Coaching)",
  TRUE,"Clean Pass"
)</f>
        <v>Clean Pass</v>
      </c>
      <c r="BJ471" t="str">
        <f t="shared" si="307"/>
        <v>NA</v>
      </c>
    </row>
    <row r="472" spans="1:62" x14ac:dyDescent="0.3">
      <c r="A472">
        <v>216422</v>
      </c>
      <c r="K472" t="str">
        <f t="shared" si="308"/>
        <v>Pass</v>
      </c>
      <c r="L472" s="15">
        <f t="shared" si="273"/>
        <v>0</v>
      </c>
      <c r="M472" s="15">
        <f t="shared" si="274"/>
        <v>0</v>
      </c>
      <c r="Z472" s="15">
        <f t="shared" si="275"/>
        <v>1</v>
      </c>
      <c r="AA472" s="15">
        <f t="shared" si="276"/>
        <v>1</v>
      </c>
      <c r="AB472" s="15">
        <f t="shared" si="277"/>
        <v>1</v>
      </c>
      <c r="AC472" s="15">
        <f t="shared" si="278"/>
        <v>1</v>
      </c>
      <c r="AD472" s="15">
        <f t="shared" si="279"/>
        <v>1</v>
      </c>
      <c r="AE472" s="15">
        <f t="shared" si="280"/>
        <v>1</v>
      </c>
      <c r="AF472" s="15">
        <f t="shared" si="281"/>
        <v>1</v>
      </c>
      <c r="AG472" s="15">
        <f t="shared" si="282"/>
        <v>1</v>
      </c>
      <c r="AH472" s="15">
        <f t="shared" si="283"/>
        <v>1</v>
      </c>
      <c r="AI472" s="15">
        <f t="shared" si="284"/>
        <v>1</v>
      </c>
      <c r="AJ472" s="15">
        <f t="shared" si="285"/>
        <v>1</v>
      </c>
      <c r="AK472" s="15">
        <f t="shared" si="286"/>
        <v>1</v>
      </c>
      <c r="AL472" s="15">
        <f t="shared" si="287"/>
        <v>1</v>
      </c>
      <c r="AM472" s="15">
        <f t="shared" si="288"/>
        <v>1</v>
      </c>
      <c r="AN472" s="15">
        <f t="shared" si="289"/>
        <v>1</v>
      </c>
      <c r="AO472" s="15">
        <f t="shared" si="290"/>
        <v>1</v>
      </c>
      <c r="AP472" s="15">
        <f t="shared" si="291"/>
        <v>1</v>
      </c>
      <c r="AQ472" s="15">
        <f t="shared" si="292"/>
        <v>1</v>
      </c>
      <c r="AR472" s="15">
        <f t="shared" si="293"/>
        <v>1</v>
      </c>
      <c r="AS472" s="15">
        <f t="shared" si="294"/>
        <v>1</v>
      </c>
      <c r="AT472" s="15">
        <f t="shared" si="295"/>
        <v>1</v>
      </c>
      <c r="AU472" s="15">
        <f t="shared" si="296"/>
        <v>1</v>
      </c>
      <c r="AV472" s="15">
        <f t="shared" si="297"/>
        <v>1</v>
      </c>
      <c r="AW472" s="15">
        <f t="shared" si="298"/>
        <v>1</v>
      </c>
      <c r="AX472" s="15">
        <f t="shared" si="299"/>
        <v>1</v>
      </c>
      <c r="AY472" s="15">
        <f t="shared" si="300"/>
        <v>1</v>
      </c>
      <c r="AZ472" s="15">
        <f t="shared" si="301"/>
        <v>1</v>
      </c>
      <c r="BA472" s="15">
        <f t="shared" si="302"/>
        <v>1</v>
      </c>
      <c r="BB472" s="15">
        <f t="shared" si="309"/>
        <v>0</v>
      </c>
      <c r="BC472" s="15" t="str">
        <f t="shared" si="310"/>
        <v/>
      </c>
      <c r="BD472" s="15" t="str">
        <f t="shared" si="311"/>
        <v/>
      </c>
      <c r="BE472" s="11" t="e">
        <f t="shared" si="303"/>
        <v>#VALUE!</v>
      </c>
      <c r="BF472" s="11" t="e">
        <f t="shared" si="304"/>
        <v>#VALUE!</v>
      </c>
      <c r="BG472" s="11" t="e">
        <f t="shared" si="305"/>
        <v>#VALUE!</v>
      </c>
      <c r="BH472" t="str">
        <f t="shared" si="306"/>
        <v/>
      </c>
      <c r="BI472" t="str" cm="1">
        <f t="array" ref="BI472">_xlfn.IFS(
  L472&gt;0,"Critical Fail",
  M472&gt;0,"Important (Coaching)",
  TRUE,"Clean Pass"
)</f>
        <v>Clean Pass</v>
      </c>
      <c r="BJ472" t="str">
        <f t="shared" si="307"/>
        <v>NA</v>
      </c>
    </row>
    <row r="473" spans="1:62" x14ac:dyDescent="0.3">
      <c r="A473">
        <v>807437</v>
      </c>
      <c r="K473" t="str">
        <f t="shared" si="308"/>
        <v>Pass</v>
      </c>
      <c r="L473" s="15">
        <f t="shared" si="273"/>
        <v>0</v>
      </c>
      <c r="M473" s="15">
        <f t="shared" si="274"/>
        <v>0</v>
      </c>
      <c r="Z473" s="15">
        <f t="shared" si="275"/>
        <v>1</v>
      </c>
      <c r="AA473" s="15">
        <f t="shared" si="276"/>
        <v>1</v>
      </c>
      <c r="AB473" s="15">
        <f t="shared" si="277"/>
        <v>1</v>
      </c>
      <c r="AC473" s="15">
        <f t="shared" si="278"/>
        <v>1</v>
      </c>
      <c r="AD473" s="15">
        <f t="shared" si="279"/>
        <v>1</v>
      </c>
      <c r="AE473" s="15">
        <f t="shared" si="280"/>
        <v>1</v>
      </c>
      <c r="AF473" s="15">
        <f t="shared" si="281"/>
        <v>1</v>
      </c>
      <c r="AG473" s="15">
        <f t="shared" si="282"/>
        <v>1</v>
      </c>
      <c r="AH473" s="15">
        <f t="shared" si="283"/>
        <v>1</v>
      </c>
      <c r="AI473" s="15">
        <f t="shared" si="284"/>
        <v>1</v>
      </c>
      <c r="AJ473" s="15">
        <f t="shared" si="285"/>
        <v>1</v>
      </c>
      <c r="AK473" s="15">
        <f t="shared" si="286"/>
        <v>1</v>
      </c>
      <c r="AL473" s="15">
        <f t="shared" si="287"/>
        <v>1</v>
      </c>
      <c r="AM473" s="15">
        <f t="shared" si="288"/>
        <v>1</v>
      </c>
      <c r="AN473" s="15">
        <f t="shared" si="289"/>
        <v>1</v>
      </c>
      <c r="AO473" s="15">
        <f t="shared" si="290"/>
        <v>1</v>
      </c>
      <c r="AP473" s="15">
        <f t="shared" si="291"/>
        <v>1</v>
      </c>
      <c r="AQ473" s="15">
        <f t="shared" si="292"/>
        <v>1</v>
      </c>
      <c r="AR473" s="15">
        <f t="shared" si="293"/>
        <v>1</v>
      </c>
      <c r="AS473" s="15">
        <f t="shared" si="294"/>
        <v>1</v>
      </c>
      <c r="AT473" s="15">
        <f t="shared" si="295"/>
        <v>1</v>
      </c>
      <c r="AU473" s="15">
        <f t="shared" si="296"/>
        <v>1</v>
      </c>
      <c r="AV473" s="15">
        <f t="shared" si="297"/>
        <v>1</v>
      </c>
      <c r="AW473" s="15">
        <f t="shared" si="298"/>
        <v>1</v>
      </c>
      <c r="AX473" s="15">
        <f t="shared" si="299"/>
        <v>1</v>
      </c>
      <c r="AY473" s="15">
        <f t="shared" si="300"/>
        <v>1</v>
      </c>
      <c r="AZ473" s="15">
        <f t="shared" si="301"/>
        <v>1</v>
      </c>
      <c r="BA473" s="15">
        <f t="shared" si="302"/>
        <v>1</v>
      </c>
      <c r="BB473" s="15">
        <f t="shared" si="309"/>
        <v>0</v>
      </c>
      <c r="BC473" s="15" t="str">
        <f t="shared" si="310"/>
        <v/>
      </c>
      <c r="BD473" s="15" t="str">
        <f t="shared" si="311"/>
        <v/>
      </c>
      <c r="BE473" s="11" t="e">
        <f t="shared" si="303"/>
        <v>#VALUE!</v>
      </c>
      <c r="BF473" s="11" t="e">
        <f t="shared" si="304"/>
        <v>#VALUE!</v>
      </c>
      <c r="BG473" s="11" t="e">
        <f t="shared" si="305"/>
        <v>#VALUE!</v>
      </c>
      <c r="BH473" t="str">
        <f t="shared" si="306"/>
        <v/>
      </c>
      <c r="BI473" t="str" cm="1">
        <f t="array" ref="BI473">_xlfn.IFS(
  L473&gt;0,"Critical Fail",
  M473&gt;0,"Important (Coaching)",
  TRUE,"Clean Pass"
)</f>
        <v>Clean Pass</v>
      </c>
      <c r="BJ473" t="str">
        <f t="shared" si="307"/>
        <v>NA</v>
      </c>
    </row>
    <row r="474" spans="1:62" x14ac:dyDescent="0.3">
      <c r="A474">
        <v>634520</v>
      </c>
      <c r="K474" t="str">
        <f t="shared" si="308"/>
        <v>Pass</v>
      </c>
      <c r="L474" s="15">
        <f t="shared" ref="L474:L537" si="312">COUNTA(N474,P474,R474)</f>
        <v>0</v>
      </c>
      <c r="M474" s="15">
        <f t="shared" ref="M474:M537" si="313">COUNTA(T474,V474,X474)</f>
        <v>0</v>
      </c>
      <c r="Z474" s="15">
        <f t="shared" ref="Z474:Z537" si="314">IF(AND(G474="DV",ISNUMBER(SEARCH("C1",N474&amp;P474&amp;R474&amp;T474&amp;V474&amp;X474))),0,1)</f>
        <v>1</v>
      </c>
      <c r="AA474" s="15">
        <f t="shared" ref="AA474:AA537" si="315">IF(AND(G474="DV",ISNUMBER(SEARCH("C2",N474&amp;P474&amp;R474&amp;T474&amp;V474&amp;X474))),0,1)</f>
        <v>1</v>
      </c>
      <c r="AB474" s="15">
        <f t="shared" ref="AB474:AB537" si="316">IF(AND(G474="DV",ISNUMBER(SEARCH("C3",N474&amp;P474&amp;R474&amp;T474&amp;V474&amp;X474))),0,1)</f>
        <v>1</v>
      </c>
      <c r="AC474" s="15">
        <f t="shared" ref="AC474:AC537" si="317">IF(AND(G474="DV",ISNUMBER(SEARCH("C4",N474&amp;P474&amp;R474&amp;T474&amp;V474&amp;X474))),0,1)</f>
        <v>1</v>
      </c>
      <c r="AD474" s="15">
        <f t="shared" ref="AD474:AD537" si="318">IF(AND(G474="DV",ISNUMBER(SEARCH("C5",N474&amp;P474&amp;R474&amp;T474&amp;V474&amp;X474))),0,1)</f>
        <v>1</v>
      </c>
      <c r="AE474" s="15">
        <f t="shared" ref="AE474:AE537" si="319">IF(AND(G474="DV",ISNUMBER(SEARCH("C6",N474&amp;P474&amp;R474&amp;T474&amp;V474&amp;X474))),0,1)</f>
        <v>1</v>
      </c>
      <c r="AF474" s="15">
        <f t="shared" ref="AF474:AF537" si="320">IF(AND(G474="DV",ISNUMBER(SEARCH("C7",N474&amp;P474&amp;R474&amp;T474&amp;V474&amp;X474))),0,1)</f>
        <v>1</v>
      </c>
      <c r="AG474" s="15">
        <f t="shared" ref="AG474:AG537" si="321">IF(AND(G474="DV",ISNUMBER(SEARCH("C8",N474&amp;P474&amp;R474&amp;T474&amp;V474&amp;X474))),0,1)</f>
        <v>1</v>
      </c>
      <c r="AH474" s="15">
        <f t="shared" ref="AH474:AH537" si="322">IF(AND(G474="DV",ISNUMBER(SEARCH("C9",N474&amp;P474&amp;R474&amp;T474&amp;V474&amp;X474))),0,1)</f>
        <v>1</v>
      </c>
      <c r="AI474" s="15">
        <f t="shared" ref="AI474:AI537" si="323">IF(AND(G474="DV",ISNUMBER(SEARCH("I1",N474&amp;P474&amp;R474&amp;T474&amp;V474&amp;X474))),0,1)</f>
        <v>1</v>
      </c>
      <c r="AJ474" s="15">
        <f t="shared" ref="AJ474:AJ537" si="324">IF(AND(G474="DV",ISNUMBER(SEARCH("I2",N474&amp;P474&amp;R474&amp;T474&amp;V474&amp;X474))),0,1)</f>
        <v>1</v>
      </c>
      <c r="AK474" s="15">
        <f t="shared" ref="AK474:AK537" si="325">IF(AND(G474="DV",ISNUMBER(SEARCH("I3",N474&amp;P474&amp;R474&amp;T474&amp;V474&amp;X474))),0,1)</f>
        <v>1</v>
      </c>
      <c r="AL474" s="15">
        <f t="shared" ref="AL474:AL537" si="326">IF(AND(G474="AL",ISNUMBER(SEARCH("C1",N474&amp;P474&amp;R474&amp;T474&amp;V474&amp;X474))),0,1)</f>
        <v>1</v>
      </c>
      <c r="AM474" s="15">
        <f t="shared" ref="AM474:AM537" si="327">IF(AND(G474="AL",ISNUMBER(SEARCH("C2",N474&amp;P474&amp;R474&amp;T474&amp;V474&amp;X474))),0,1)</f>
        <v>1</v>
      </c>
      <c r="AN474" s="15">
        <f t="shared" ref="AN474:AN537" si="328">IF(AND(G474="AL",ISNUMBER(SEARCH("C3",N474&amp;P474&amp;R474&amp;T474&amp;V474&amp;X474))),0,1)</f>
        <v>1</v>
      </c>
      <c r="AO474" s="15">
        <f t="shared" ref="AO474:AO537" si="329">IF(AND(G474="AL",ISNUMBER(SEARCH("C4",N474&amp;P474&amp;R474&amp;T474&amp;V474&amp;X474))),0,1)</f>
        <v>1</v>
      </c>
      <c r="AP474" s="15">
        <f t="shared" ref="AP474:AP537" si="330">IF(AND(G474="AL",ISNUMBER(SEARCH("C5",N474&amp;P474&amp;R474&amp;T474&amp;V474&amp;X474))),0,1)</f>
        <v>1</v>
      </c>
      <c r="AQ474" s="15">
        <f t="shared" ref="AQ474:AQ537" si="331">IF(AND(G474="AL",ISNUMBER(SEARCH("C6",N474&amp;P474&amp;R474&amp;T474&amp;V474&amp;X474))),0,1)</f>
        <v>1</v>
      </c>
      <c r="AR474" s="15">
        <f t="shared" ref="AR474:AR537" si="332">IF(AND(G474="AL",ISNUMBER(SEARCH("C7",N474&amp;P474&amp;R474&amp;T474&amp;V474&amp;X474))),0,1)</f>
        <v>1</v>
      </c>
      <c r="AS474" s="15">
        <f t="shared" ref="AS474:AS537" si="333">IF(AND(G474="AL",ISNUMBER(SEARCH("C8",N474&amp;P474&amp;R474&amp;T474&amp;V474&amp;X474))),0,1)</f>
        <v>1</v>
      </c>
      <c r="AT474" s="15">
        <f t="shared" ref="AT474:AT537" si="334">IF(AND(G474="AL",ISNUMBER(SEARCH("C9",N474&amp;P474&amp;R474&amp;T474&amp;V474&amp;X474))),0,1)</f>
        <v>1</v>
      </c>
      <c r="AU474" s="15">
        <f t="shared" ref="AU474:AU537" si="335">IF(AND(G474="AL",ISNUMBER(SEARCH("C10",N474&amp;P474&amp;R474&amp;T474&amp;V474&amp;X474))),0,1)</f>
        <v>1</v>
      </c>
      <c r="AV474" s="15">
        <f t="shared" ref="AV474:AV537" si="336">IF(AND(G474="AL",ISNUMBER(SEARCH("C11",N474&amp;P474&amp;R474&amp;T474&amp;V474&amp;X474))),0,1)</f>
        <v>1</v>
      </c>
      <c r="AW474" s="15">
        <f t="shared" ref="AW474:AW537" si="337">IF(AND(G474="AL",ISNUMBER(SEARCH("C12",N474&amp;P474&amp;R474&amp;T474&amp;V474&amp;X474))),0,1)</f>
        <v>1</v>
      </c>
      <c r="AX474" s="15">
        <f t="shared" ref="AX474:AX537" si="338">IF(AND(G474="AL",ISNUMBER(SEARCH("C13",N474&amp;P474&amp;R474&amp;T474&amp;V474&amp;X474))),0,1)</f>
        <v>1</v>
      </c>
      <c r="AY474" s="15">
        <f t="shared" ref="AY474:AY537" si="339">IF(AND(G474="AL",ISNUMBER(SEARCH("I1",N474&amp;P474&amp;R474&amp;T474&amp;V474&amp;X474))),0,1)</f>
        <v>1</v>
      </c>
      <c r="AZ474" s="15">
        <f t="shared" ref="AZ474:AZ537" si="340">IF(AND(G474="AL",ISNUMBER(SEARCH("I2",N474&amp;P474&amp;R474&amp;T474&amp;V474&amp;X474))),0,1)</f>
        <v>1</v>
      </c>
      <c r="BA474" s="15">
        <f t="shared" ref="BA474:BA537" si="341">IF(AND(G474="AL",ISNUMBER(SEARCH("I3",N474&amp;P474&amp;R474&amp;T474&amp;V474&amp;X474))),0,1)</f>
        <v>1</v>
      </c>
      <c r="BB474" s="15">
        <f t="shared" si="309"/>
        <v>0</v>
      </c>
      <c r="BC474" s="15" t="str">
        <f t="shared" si="310"/>
        <v/>
      </c>
      <c r="BD474" s="15" t="str">
        <f t="shared" si="311"/>
        <v/>
      </c>
      <c r="BE474" s="11" t="e">
        <f t="shared" ref="BE474:BE537" si="342">IF(BC474=0,1,(BC474-L474)/BC474)</f>
        <v>#VALUE!</v>
      </c>
      <c r="BF474" s="11" t="e">
        <f t="shared" ref="BF474:BF537" si="343">IF(BD474=0,1,(BD474-M474)/BD474)</f>
        <v>#VALUE!</v>
      </c>
      <c r="BG474" s="11" t="e">
        <f t="shared" ref="BG474:BG537" si="344">(BE474*0.7)+(BF474*0.3)</f>
        <v>#VALUE!</v>
      </c>
      <c r="BH474" t="str">
        <f t="shared" ref="BH474:BH537" si="345">_xlfn.TEXTJOIN(",",TRUE,N474,P474,R474)</f>
        <v/>
      </c>
      <c r="BI474" t="str" cm="1">
        <f t="array" ref="BI474">_xlfn.IFS(
  L474&gt;0,"Critical Fail",
  M474&gt;0,"Important (Coaching)",
  TRUE,"Clean Pass"
)</f>
        <v>Clean Pass</v>
      </c>
      <c r="BJ474" t="str">
        <f t="shared" ref="BJ474:BJ537" si="346">IF(COUNTA(N474:Y474)=0,"NA",_xlfn.TEXTJOIN(",",TRUE,N474:Y474))</f>
        <v>NA</v>
      </c>
    </row>
    <row r="475" spans="1:62" x14ac:dyDescent="0.3">
      <c r="A475">
        <v>886843</v>
      </c>
      <c r="K475" t="str">
        <f t="shared" si="308"/>
        <v>Pass</v>
      </c>
      <c r="L475" s="15">
        <f t="shared" si="312"/>
        <v>0</v>
      </c>
      <c r="M475" s="15">
        <f t="shared" si="313"/>
        <v>0</v>
      </c>
      <c r="Z475" s="15">
        <f t="shared" si="314"/>
        <v>1</v>
      </c>
      <c r="AA475" s="15">
        <f t="shared" si="315"/>
        <v>1</v>
      </c>
      <c r="AB475" s="15">
        <f t="shared" si="316"/>
        <v>1</v>
      </c>
      <c r="AC475" s="15">
        <f t="shared" si="317"/>
        <v>1</v>
      </c>
      <c r="AD475" s="15">
        <f t="shared" si="318"/>
        <v>1</v>
      </c>
      <c r="AE475" s="15">
        <f t="shared" si="319"/>
        <v>1</v>
      </c>
      <c r="AF475" s="15">
        <f t="shared" si="320"/>
        <v>1</v>
      </c>
      <c r="AG475" s="15">
        <f t="shared" si="321"/>
        <v>1</v>
      </c>
      <c r="AH475" s="15">
        <f t="shared" si="322"/>
        <v>1</v>
      </c>
      <c r="AI475" s="15">
        <f t="shared" si="323"/>
        <v>1</v>
      </c>
      <c r="AJ475" s="15">
        <f t="shared" si="324"/>
        <v>1</v>
      </c>
      <c r="AK475" s="15">
        <f t="shared" si="325"/>
        <v>1</v>
      </c>
      <c r="AL475" s="15">
        <f t="shared" si="326"/>
        <v>1</v>
      </c>
      <c r="AM475" s="15">
        <f t="shared" si="327"/>
        <v>1</v>
      </c>
      <c r="AN475" s="15">
        <f t="shared" si="328"/>
        <v>1</v>
      </c>
      <c r="AO475" s="15">
        <f t="shared" si="329"/>
        <v>1</v>
      </c>
      <c r="AP475" s="15">
        <f t="shared" si="330"/>
        <v>1</v>
      </c>
      <c r="AQ475" s="15">
        <f t="shared" si="331"/>
        <v>1</v>
      </c>
      <c r="AR475" s="15">
        <f t="shared" si="332"/>
        <v>1</v>
      </c>
      <c r="AS475" s="15">
        <f t="shared" si="333"/>
        <v>1</v>
      </c>
      <c r="AT475" s="15">
        <f t="shared" si="334"/>
        <v>1</v>
      </c>
      <c r="AU475" s="15">
        <f t="shared" si="335"/>
        <v>1</v>
      </c>
      <c r="AV475" s="15">
        <f t="shared" si="336"/>
        <v>1</v>
      </c>
      <c r="AW475" s="15">
        <f t="shared" si="337"/>
        <v>1</v>
      </c>
      <c r="AX475" s="15">
        <f t="shared" si="338"/>
        <v>1</v>
      </c>
      <c r="AY475" s="15">
        <f t="shared" si="339"/>
        <v>1</v>
      </c>
      <c r="AZ475" s="15">
        <f t="shared" si="340"/>
        <v>1</v>
      </c>
      <c r="BA475" s="15">
        <f t="shared" si="341"/>
        <v>1</v>
      </c>
      <c r="BB475" s="15">
        <f t="shared" si="309"/>
        <v>0</v>
      </c>
      <c r="BC475" s="15" t="str">
        <f t="shared" si="310"/>
        <v/>
      </c>
      <c r="BD475" s="15" t="str">
        <f t="shared" si="311"/>
        <v/>
      </c>
      <c r="BE475" s="11" t="e">
        <f t="shared" si="342"/>
        <v>#VALUE!</v>
      </c>
      <c r="BF475" s="11" t="e">
        <f t="shared" si="343"/>
        <v>#VALUE!</v>
      </c>
      <c r="BG475" s="11" t="e">
        <f t="shared" si="344"/>
        <v>#VALUE!</v>
      </c>
      <c r="BH475" t="str">
        <f t="shared" si="345"/>
        <v/>
      </c>
      <c r="BI475" t="str" cm="1">
        <f t="array" ref="BI475">_xlfn.IFS(
  L475&gt;0,"Critical Fail",
  M475&gt;0,"Important (Coaching)",
  TRUE,"Clean Pass"
)</f>
        <v>Clean Pass</v>
      </c>
      <c r="BJ475" t="str">
        <f t="shared" si="346"/>
        <v>NA</v>
      </c>
    </row>
    <row r="476" spans="1:62" x14ac:dyDescent="0.3">
      <c r="A476">
        <v>958558</v>
      </c>
      <c r="K476" t="str">
        <f t="shared" si="308"/>
        <v>Pass</v>
      </c>
      <c r="L476" s="15">
        <f t="shared" si="312"/>
        <v>0</v>
      </c>
      <c r="M476" s="15">
        <f t="shared" si="313"/>
        <v>0</v>
      </c>
      <c r="Z476" s="15">
        <f t="shared" si="314"/>
        <v>1</v>
      </c>
      <c r="AA476" s="15">
        <f t="shared" si="315"/>
        <v>1</v>
      </c>
      <c r="AB476" s="15">
        <f t="shared" si="316"/>
        <v>1</v>
      </c>
      <c r="AC476" s="15">
        <f t="shared" si="317"/>
        <v>1</v>
      </c>
      <c r="AD476" s="15">
        <f t="shared" si="318"/>
        <v>1</v>
      </c>
      <c r="AE476" s="15">
        <f t="shared" si="319"/>
        <v>1</v>
      </c>
      <c r="AF476" s="15">
        <f t="shared" si="320"/>
        <v>1</v>
      </c>
      <c r="AG476" s="15">
        <f t="shared" si="321"/>
        <v>1</v>
      </c>
      <c r="AH476" s="15">
        <f t="shared" si="322"/>
        <v>1</v>
      </c>
      <c r="AI476" s="15">
        <f t="shared" si="323"/>
        <v>1</v>
      </c>
      <c r="AJ476" s="15">
        <f t="shared" si="324"/>
        <v>1</v>
      </c>
      <c r="AK476" s="15">
        <f t="shared" si="325"/>
        <v>1</v>
      </c>
      <c r="AL476" s="15">
        <f t="shared" si="326"/>
        <v>1</v>
      </c>
      <c r="AM476" s="15">
        <f t="shared" si="327"/>
        <v>1</v>
      </c>
      <c r="AN476" s="15">
        <f t="shared" si="328"/>
        <v>1</v>
      </c>
      <c r="AO476" s="15">
        <f t="shared" si="329"/>
        <v>1</v>
      </c>
      <c r="AP476" s="15">
        <f t="shared" si="330"/>
        <v>1</v>
      </c>
      <c r="AQ476" s="15">
        <f t="shared" si="331"/>
        <v>1</v>
      </c>
      <c r="AR476" s="15">
        <f t="shared" si="332"/>
        <v>1</v>
      </c>
      <c r="AS476" s="15">
        <f t="shared" si="333"/>
        <v>1</v>
      </c>
      <c r="AT476" s="15">
        <f t="shared" si="334"/>
        <v>1</v>
      </c>
      <c r="AU476" s="15">
        <f t="shared" si="335"/>
        <v>1</v>
      </c>
      <c r="AV476" s="15">
        <f t="shared" si="336"/>
        <v>1</v>
      </c>
      <c r="AW476" s="15">
        <f t="shared" si="337"/>
        <v>1</v>
      </c>
      <c r="AX476" s="15">
        <f t="shared" si="338"/>
        <v>1</v>
      </c>
      <c r="AY476" s="15">
        <f t="shared" si="339"/>
        <v>1</v>
      </c>
      <c r="AZ476" s="15">
        <f t="shared" si="340"/>
        <v>1</v>
      </c>
      <c r="BA476" s="15">
        <f t="shared" si="341"/>
        <v>1</v>
      </c>
      <c r="BB476" s="15">
        <f t="shared" si="309"/>
        <v>0</v>
      </c>
      <c r="BC476" s="15" t="str">
        <f t="shared" si="310"/>
        <v/>
      </c>
      <c r="BD476" s="15" t="str">
        <f t="shared" si="311"/>
        <v/>
      </c>
      <c r="BE476" s="11" t="e">
        <f t="shared" si="342"/>
        <v>#VALUE!</v>
      </c>
      <c r="BF476" s="11" t="e">
        <f t="shared" si="343"/>
        <v>#VALUE!</v>
      </c>
      <c r="BG476" s="11" t="e">
        <f t="shared" si="344"/>
        <v>#VALUE!</v>
      </c>
      <c r="BH476" t="str">
        <f t="shared" si="345"/>
        <v/>
      </c>
      <c r="BI476" t="str" cm="1">
        <f t="array" ref="BI476">_xlfn.IFS(
  L476&gt;0,"Critical Fail",
  M476&gt;0,"Important (Coaching)",
  TRUE,"Clean Pass"
)</f>
        <v>Clean Pass</v>
      </c>
      <c r="BJ476" t="str">
        <f t="shared" si="346"/>
        <v>NA</v>
      </c>
    </row>
    <row r="477" spans="1:62" x14ac:dyDescent="0.3">
      <c r="A477">
        <v>860759</v>
      </c>
      <c r="K477" t="str">
        <f t="shared" si="308"/>
        <v>Pass</v>
      </c>
      <c r="L477" s="15">
        <f t="shared" si="312"/>
        <v>0</v>
      </c>
      <c r="M477" s="15">
        <f t="shared" si="313"/>
        <v>0</v>
      </c>
      <c r="Z477" s="15">
        <f t="shared" si="314"/>
        <v>1</v>
      </c>
      <c r="AA477" s="15">
        <f t="shared" si="315"/>
        <v>1</v>
      </c>
      <c r="AB477" s="15">
        <f t="shared" si="316"/>
        <v>1</v>
      </c>
      <c r="AC477" s="15">
        <f t="shared" si="317"/>
        <v>1</v>
      </c>
      <c r="AD477" s="15">
        <f t="shared" si="318"/>
        <v>1</v>
      </c>
      <c r="AE477" s="15">
        <f t="shared" si="319"/>
        <v>1</v>
      </c>
      <c r="AF477" s="15">
        <f t="shared" si="320"/>
        <v>1</v>
      </c>
      <c r="AG477" s="15">
        <f t="shared" si="321"/>
        <v>1</v>
      </c>
      <c r="AH477" s="15">
        <f t="shared" si="322"/>
        <v>1</v>
      </c>
      <c r="AI477" s="15">
        <f t="shared" si="323"/>
        <v>1</v>
      </c>
      <c r="AJ477" s="15">
        <f t="shared" si="324"/>
        <v>1</v>
      </c>
      <c r="AK477" s="15">
        <f t="shared" si="325"/>
        <v>1</v>
      </c>
      <c r="AL477" s="15">
        <f t="shared" si="326"/>
        <v>1</v>
      </c>
      <c r="AM477" s="15">
        <f t="shared" si="327"/>
        <v>1</v>
      </c>
      <c r="AN477" s="15">
        <f t="shared" si="328"/>
        <v>1</v>
      </c>
      <c r="AO477" s="15">
        <f t="shared" si="329"/>
        <v>1</v>
      </c>
      <c r="AP477" s="15">
        <f t="shared" si="330"/>
        <v>1</v>
      </c>
      <c r="AQ477" s="15">
        <f t="shared" si="331"/>
        <v>1</v>
      </c>
      <c r="AR477" s="15">
        <f t="shared" si="332"/>
        <v>1</v>
      </c>
      <c r="AS477" s="15">
        <f t="shared" si="333"/>
        <v>1</v>
      </c>
      <c r="AT477" s="15">
        <f t="shared" si="334"/>
        <v>1</v>
      </c>
      <c r="AU477" s="15">
        <f t="shared" si="335"/>
        <v>1</v>
      </c>
      <c r="AV477" s="15">
        <f t="shared" si="336"/>
        <v>1</v>
      </c>
      <c r="AW477" s="15">
        <f t="shared" si="337"/>
        <v>1</v>
      </c>
      <c r="AX477" s="15">
        <f t="shared" si="338"/>
        <v>1</v>
      </c>
      <c r="AY477" s="15">
        <f t="shared" si="339"/>
        <v>1</v>
      </c>
      <c r="AZ477" s="15">
        <f t="shared" si="340"/>
        <v>1</v>
      </c>
      <c r="BA477" s="15">
        <f t="shared" si="341"/>
        <v>1</v>
      </c>
      <c r="BB477" s="15">
        <f t="shared" si="309"/>
        <v>0</v>
      </c>
      <c r="BC477" s="15" t="str">
        <f t="shared" si="310"/>
        <v/>
      </c>
      <c r="BD477" s="15" t="str">
        <f t="shared" si="311"/>
        <v/>
      </c>
      <c r="BE477" s="11" t="e">
        <f t="shared" si="342"/>
        <v>#VALUE!</v>
      </c>
      <c r="BF477" s="11" t="e">
        <f t="shared" si="343"/>
        <v>#VALUE!</v>
      </c>
      <c r="BG477" s="11" t="e">
        <f t="shared" si="344"/>
        <v>#VALUE!</v>
      </c>
      <c r="BH477" t="str">
        <f t="shared" si="345"/>
        <v/>
      </c>
      <c r="BI477" t="str" cm="1">
        <f t="array" ref="BI477">_xlfn.IFS(
  L477&gt;0,"Critical Fail",
  M477&gt;0,"Important (Coaching)",
  TRUE,"Clean Pass"
)</f>
        <v>Clean Pass</v>
      </c>
      <c r="BJ477" t="str">
        <f t="shared" si="346"/>
        <v>NA</v>
      </c>
    </row>
    <row r="478" spans="1:62" x14ac:dyDescent="0.3">
      <c r="A478">
        <v>260844</v>
      </c>
      <c r="K478" t="str">
        <f t="shared" si="308"/>
        <v>Pass</v>
      </c>
      <c r="L478" s="15">
        <f t="shared" si="312"/>
        <v>0</v>
      </c>
      <c r="M478" s="15">
        <f t="shared" si="313"/>
        <v>0</v>
      </c>
      <c r="Z478" s="15">
        <f t="shared" si="314"/>
        <v>1</v>
      </c>
      <c r="AA478" s="15">
        <f t="shared" si="315"/>
        <v>1</v>
      </c>
      <c r="AB478" s="15">
        <f t="shared" si="316"/>
        <v>1</v>
      </c>
      <c r="AC478" s="15">
        <f t="shared" si="317"/>
        <v>1</v>
      </c>
      <c r="AD478" s="15">
        <f t="shared" si="318"/>
        <v>1</v>
      </c>
      <c r="AE478" s="15">
        <f t="shared" si="319"/>
        <v>1</v>
      </c>
      <c r="AF478" s="15">
        <f t="shared" si="320"/>
        <v>1</v>
      </c>
      <c r="AG478" s="15">
        <f t="shared" si="321"/>
        <v>1</v>
      </c>
      <c r="AH478" s="15">
        <f t="shared" si="322"/>
        <v>1</v>
      </c>
      <c r="AI478" s="15">
        <f t="shared" si="323"/>
        <v>1</v>
      </c>
      <c r="AJ478" s="15">
        <f t="shared" si="324"/>
        <v>1</v>
      </c>
      <c r="AK478" s="15">
        <f t="shared" si="325"/>
        <v>1</v>
      </c>
      <c r="AL478" s="15">
        <f t="shared" si="326"/>
        <v>1</v>
      </c>
      <c r="AM478" s="15">
        <f t="shared" si="327"/>
        <v>1</v>
      </c>
      <c r="AN478" s="15">
        <f t="shared" si="328"/>
        <v>1</v>
      </c>
      <c r="AO478" s="15">
        <f t="shared" si="329"/>
        <v>1</v>
      </c>
      <c r="AP478" s="15">
        <f t="shared" si="330"/>
        <v>1</v>
      </c>
      <c r="AQ478" s="15">
        <f t="shared" si="331"/>
        <v>1</v>
      </c>
      <c r="AR478" s="15">
        <f t="shared" si="332"/>
        <v>1</v>
      </c>
      <c r="AS478" s="15">
        <f t="shared" si="333"/>
        <v>1</v>
      </c>
      <c r="AT478" s="15">
        <f t="shared" si="334"/>
        <v>1</v>
      </c>
      <c r="AU478" s="15">
        <f t="shared" si="335"/>
        <v>1</v>
      </c>
      <c r="AV478" s="15">
        <f t="shared" si="336"/>
        <v>1</v>
      </c>
      <c r="AW478" s="15">
        <f t="shared" si="337"/>
        <v>1</v>
      </c>
      <c r="AX478" s="15">
        <f t="shared" si="338"/>
        <v>1</v>
      </c>
      <c r="AY478" s="15">
        <f t="shared" si="339"/>
        <v>1</v>
      </c>
      <c r="AZ478" s="15">
        <f t="shared" si="340"/>
        <v>1</v>
      </c>
      <c r="BA478" s="15">
        <f t="shared" si="341"/>
        <v>1</v>
      </c>
      <c r="BB478" s="15">
        <f t="shared" si="309"/>
        <v>0</v>
      </c>
      <c r="BC478" s="15" t="str">
        <f t="shared" si="310"/>
        <v/>
      </c>
      <c r="BD478" s="15" t="str">
        <f t="shared" si="311"/>
        <v/>
      </c>
      <c r="BE478" s="11" t="e">
        <f t="shared" si="342"/>
        <v>#VALUE!</v>
      </c>
      <c r="BF478" s="11" t="e">
        <f t="shared" si="343"/>
        <v>#VALUE!</v>
      </c>
      <c r="BG478" s="11" t="e">
        <f t="shared" si="344"/>
        <v>#VALUE!</v>
      </c>
      <c r="BH478" t="str">
        <f t="shared" si="345"/>
        <v/>
      </c>
      <c r="BI478" t="str" cm="1">
        <f t="array" ref="BI478">_xlfn.IFS(
  L478&gt;0,"Critical Fail",
  M478&gt;0,"Important (Coaching)",
  TRUE,"Clean Pass"
)</f>
        <v>Clean Pass</v>
      </c>
      <c r="BJ478" t="str">
        <f t="shared" si="346"/>
        <v>NA</v>
      </c>
    </row>
    <row r="479" spans="1:62" x14ac:dyDescent="0.3">
      <c r="A479">
        <v>189425</v>
      </c>
      <c r="K479" t="str">
        <f t="shared" si="308"/>
        <v>Pass</v>
      </c>
      <c r="L479" s="15">
        <f t="shared" si="312"/>
        <v>0</v>
      </c>
      <c r="M479" s="15">
        <f t="shared" si="313"/>
        <v>0</v>
      </c>
      <c r="Z479" s="15">
        <f t="shared" si="314"/>
        <v>1</v>
      </c>
      <c r="AA479" s="15">
        <f t="shared" si="315"/>
        <v>1</v>
      </c>
      <c r="AB479" s="15">
        <f t="shared" si="316"/>
        <v>1</v>
      </c>
      <c r="AC479" s="15">
        <f t="shared" si="317"/>
        <v>1</v>
      </c>
      <c r="AD479" s="15">
        <f t="shared" si="318"/>
        <v>1</v>
      </c>
      <c r="AE479" s="15">
        <f t="shared" si="319"/>
        <v>1</v>
      </c>
      <c r="AF479" s="15">
        <f t="shared" si="320"/>
        <v>1</v>
      </c>
      <c r="AG479" s="15">
        <f t="shared" si="321"/>
        <v>1</v>
      </c>
      <c r="AH479" s="15">
        <f t="shared" si="322"/>
        <v>1</v>
      </c>
      <c r="AI479" s="15">
        <f t="shared" si="323"/>
        <v>1</v>
      </c>
      <c r="AJ479" s="15">
        <f t="shared" si="324"/>
        <v>1</v>
      </c>
      <c r="AK479" s="15">
        <f t="shared" si="325"/>
        <v>1</v>
      </c>
      <c r="AL479" s="15">
        <f t="shared" si="326"/>
        <v>1</v>
      </c>
      <c r="AM479" s="15">
        <f t="shared" si="327"/>
        <v>1</v>
      </c>
      <c r="AN479" s="15">
        <f t="shared" si="328"/>
        <v>1</v>
      </c>
      <c r="AO479" s="15">
        <f t="shared" si="329"/>
        <v>1</v>
      </c>
      <c r="AP479" s="15">
        <f t="shared" si="330"/>
        <v>1</v>
      </c>
      <c r="AQ479" s="15">
        <f t="shared" si="331"/>
        <v>1</v>
      </c>
      <c r="AR479" s="15">
        <f t="shared" si="332"/>
        <v>1</v>
      </c>
      <c r="AS479" s="15">
        <f t="shared" si="333"/>
        <v>1</v>
      </c>
      <c r="AT479" s="15">
        <f t="shared" si="334"/>
        <v>1</v>
      </c>
      <c r="AU479" s="15">
        <f t="shared" si="335"/>
        <v>1</v>
      </c>
      <c r="AV479" s="15">
        <f t="shared" si="336"/>
        <v>1</v>
      </c>
      <c r="AW479" s="15">
        <f t="shared" si="337"/>
        <v>1</v>
      </c>
      <c r="AX479" s="15">
        <f t="shared" si="338"/>
        <v>1</v>
      </c>
      <c r="AY479" s="15">
        <f t="shared" si="339"/>
        <v>1</v>
      </c>
      <c r="AZ479" s="15">
        <f t="shared" si="340"/>
        <v>1</v>
      </c>
      <c r="BA479" s="15">
        <f t="shared" si="341"/>
        <v>1</v>
      </c>
      <c r="BB479" s="15">
        <f t="shared" si="309"/>
        <v>0</v>
      </c>
      <c r="BC479" s="15" t="str">
        <f t="shared" si="310"/>
        <v/>
      </c>
      <c r="BD479" s="15" t="str">
        <f t="shared" si="311"/>
        <v/>
      </c>
      <c r="BE479" s="11" t="e">
        <f t="shared" si="342"/>
        <v>#VALUE!</v>
      </c>
      <c r="BF479" s="11" t="e">
        <f t="shared" si="343"/>
        <v>#VALUE!</v>
      </c>
      <c r="BG479" s="11" t="e">
        <f t="shared" si="344"/>
        <v>#VALUE!</v>
      </c>
      <c r="BH479" t="str">
        <f t="shared" si="345"/>
        <v/>
      </c>
      <c r="BI479" t="str" cm="1">
        <f t="array" ref="BI479">_xlfn.IFS(
  L479&gt;0,"Critical Fail",
  M479&gt;0,"Important (Coaching)",
  TRUE,"Clean Pass"
)</f>
        <v>Clean Pass</v>
      </c>
      <c r="BJ479" t="str">
        <f t="shared" si="346"/>
        <v>NA</v>
      </c>
    </row>
    <row r="480" spans="1:62" x14ac:dyDescent="0.3">
      <c r="A480">
        <v>670552</v>
      </c>
      <c r="K480" t="str">
        <f t="shared" si="308"/>
        <v>Pass</v>
      </c>
      <c r="L480" s="15">
        <f t="shared" si="312"/>
        <v>0</v>
      </c>
      <c r="M480" s="15">
        <f t="shared" si="313"/>
        <v>0</v>
      </c>
      <c r="Z480" s="15">
        <f t="shared" si="314"/>
        <v>1</v>
      </c>
      <c r="AA480" s="15">
        <f t="shared" si="315"/>
        <v>1</v>
      </c>
      <c r="AB480" s="15">
        <f t="shared" si="316"/>
        <v>1</v>
      </c>
      <c r="AC480" s="15">
        <f t="shared" si="317"/>
        <v>1</v>
      </c>
      <c r="AD480" s="15">
        <f t="shared" si="318"/>
        <v>1</v>
      </c>
      <c r="AE480" s="15">
        <f t="shared" si="319"/>
        <v>1</v>
      </c>
      <c r="AF480" s="15">
        <f t="shared" si="320"/>
        <v>1</v>
      </c>
      <c r="AG480" s="15">
        <f t="shared" si="321"/>
        <v>1</v>
      </c>
      <c r="AH480" s="15">
        <f t="shared" si="322"/>
        <v>1</v>
      </c>
      <c r="AI480" s="15">
        <f t="shared" si="323"/>
        <v>1</v>
      </c>
      <c r="AJ480" s="15">
        <f t="shared" si="324"/>
        <v>1</v>
      </c>
      <c r="AK480" s="15">
        <f t="shared" si="325"/>
        <v>1</v>
      </c>
      <c r="AL480" s="15">
        <f t="shared" si="326"/>
        <v>1</v>
      </c>
      <c r="AM480" s="15">
        <f t="shared" si="327"/>
        <v>1</v>
      </c>
      <c r="AN480" s="15">
        <f t="shared" si="328"/>
        <v>1</v>
      </c>
      <c r="AO480" s="15">
        <f t="shared" si="329"/>
        <v>1</v>
      </c>
      <c r="AP480" s="15">
        <f t="shared" si="330"/>
        <v>1</v>
      </c>
      <c r="AQ480" s="15">
        <f t="shared" si="331"/>
        <v>1</v>
      </c>
      <c r="AR480" s="15">
        <f t="shared" si="332"/>
        <v>1</v>
      </c>
      <c r="AS480" s="15">
        <f t="shared" si="333"/>
        <v>1</v>
      </c>
      <c r="AT480" s="15">
        <f t="shared" si="334"/>
        <v>1</v>
      </c>
      <c r="AU480" s="15">
        <f t="shared" si="335"/>
        <v>1</v>
      </c>
      <c r="AV480" s="15">
        <f t="shared" si="336"/>
        <v>1</v>
      </c>
      <c r="AW480" s="15">
        <f t="shared" si="337"/>
        <v>1</v>
      </c>
      <c r="AX480" s="15">
        <f t="shared" si="338"/>
        <v>1</v>
      </c>
      <c r="AY480" s="15">
        <f t="shared" si="339"/>
        <v>1</v>
      </c>
      <c r="AZ480" s="15">
        <f t="shared" si="340"/>
        <v>1</v>
      </c>
      <c r="BA480" s="15">
        <f t="shared" si="341"/>
        <v>1</v>
      </c>
      <c r="BB480" s="15">
        <f t="shared" si="309"/>
        <v>0</v>
      </c>
      <c r="BC480" s="15" t="str">
        <f t="shared" si="310"/>
        <v/>
      </c>
      <c r="BD480" s="15" t="str">
        <f t="shared" si="311"/>
        <v/>
      </c>
      <c r="BE480" s="11" t="e">
        <f t="shared" si="342"/>
        <v>#VALUE!</v>
      </c>
      <c r="BF480" s="11" t="e">
        <f t="shared" si="343"/>
        <v>#VALUE!</v>
      </c>
      <c r="BG480" s="11" t="e">
        <f t="shared" si="344"/>
        <v>#VALUE!</v>
      </c>
      <c r="BH480" t="str">
        <f t="shared" si="345"/>
        <v/>
      </c>
      <c r="BI480" t="str" cm="1">
        <f t="array" ref="BI480">_xlfn.IFS(
  L480&gt;0,"Critical Fail",
  M480&gt;0,"Important (Coaching)",
  TRUE,"Clean Pass"
)</f>
        <v>Clean Pass</v>
      </c>
      <c r="BJ480" t="str">
        <f t="shared" si="346"/>
        <v>NA</v>
      </c>
    </row>
    <row r="481" spans="1:62" x14ac:dyDescent="0.3">
      <c r="A481">
        <v>772346</v>
      </c>
      <c r="K481" t="str">
        <f t="shared" si="308"/>
        <v>Pass</v>
      </c>
      <c r="L481" s="15">
        <f t="shared" si="312"/>
        <v>0</v>
      </c>
      <c r="M481" s="15">
        <f t="shared" si="313"/>
        <v>0</v>
      </c>
      <c r="Z481" s="15">
        <f t="shared" si="314"/>
        <v>1</v>
      </c>
      <c r="AA481" s="15">
        <f t="shared" si="315"/>
        <v>1</v>
      </c>
      <c r="AB481" s="15">
        <f t="shared" si="316"/>
        <v>1</v>
      </c>
      <c r="AC481" s="15">
        <f t="shared" si="317"/>
        <v>1</v>
      </c>
      <c r="AD481" s="15">
        <f t="shared" si="318"/>
        <v>1</v>
      </c>
      <c r="AE481" s="15">
        <f t="shared" si="319"/>
        <v>1</v>
      </c>
      <c r="AF481" s="15">
        <f t="shared" si="320"/>
        <v>1</v>
      </c>
      <c r="AG481" s="15">
        <f t="shared" si="321"/>
        <v>1</v>
      </c>
      <c r="AH481" s="15">
        <f t="shared" si="322"/>
        <v>1</v>
      </c>
      <c r="AI481" s="15">
        <f t="shared" si="323"/>
        <v>1</v>
      </c>
      <c r="AJ481" s="15">
        <f t="shared" si="324"/>
        <v>1</v>
      </c>
      <c r="AK481" s="15">
        <f t="shared" si="325"/>
        <v>1</v>
      </c>
      <c r="AL481" s="15">
        <f t="shared" si="326"/>
        <v>1</v>
      </c>
      <c r="AM481" s="15">
        <f t="shared" si="327"/>
        <v>1</v>
      </c>
      <c r="AN481" s="15">
        <f t="shared" si="328"/>
        <v>1</v>
      </c>
      <c r="AO481" s="15">
        <f t="shared" si="329"/>
        <v>1</v>
      </c>
      <c r="AP481" s="15">
        <f t="shared" si="330"/>
        <v>1</v>
      </c>
      <c r="AQ481" s="15">
        <f t="shared" si="331"/>
        <v>1</v>
      </c>
      <c r="AR481" s="15">
        <f t="shared" si="332"/>
        <v>1</v>
      </c>
      <c r="AS481" s="15">
        <f t="shared" si="333"/>
        <v>1</v>
      </c>
      <c r="AT481" s="15">
        <f t="shared" si="334"/>
        <v>1</v>
      </c>
      <c r="AU481" s="15">
        <f t="shared" si="335"/>
        <v>1</v>
      </c>
      <c r="AV481" s="15">
        <f t="shared" si="336"/>
        <v>1</v>
      </c>
      <c r="AW481" s="15">
        <f t="shared" si="337"/>
        <v>1</v>
      </c>
      <c r="AX481" s="15">
        <f t="shared" si="338"/>
        <v>1</v>
      </c>
      <c r="AY481" s="15">
        <f t="shared" si="339"/>
        <v>1</v>
      </c>
      <c r="AZ481" s="15">
        <f t="shared" si="340"/>
        <v>1</v>
      </c>
      <c r="BA481" s="15">
        <f t="shared" si="341"/>
        <v>1</v>
      </c>
      <c r="BB481" s="15">
        <f t="shared" si="309"/>
        <v>0</v>
      </c>
      <c r="BC481" s="15" t="str">
        <f t="shared" si="310"/>
        <v/>
      </c>
      <c r="BD481" s="15" t="str">
        <f t="shared" si="311"/>
        <v/>
      </c>
      <c r="BE481" s="11" t="e">
        <f t="shared" si="342"/>
        <v>#VALUE!</v>
      </c>
      <c r="BF481" s="11" t="e">
        <f t="shared" si="343"/>
        <v>#VALUE!</v>
      </c>
      <c r="BG481" s="11" t="e">
        <f t="shared" si="344"/>
        <v>#VALUE!</v>
      </c>
      <c r="BH481" t="str">
        <f t="shared" si="345"/>
        <v/>
      </c>
      <c r="BI481" t="str" cm="1">
        <f t="array" ref="BI481">_xlfn.IFS(
  L481&gt;0,"Critical Fail",
  M481&gt;0,"Important (Coaching)",
  TRUE,"Clean Pass"
)</f>
        <v>Clean Pass</v>
      </c>
      <c r="BJ481" t="str">
        <f t="shared" si="346"/>
        <v>NA</v>
      </c>
    </row>
    <row r="482" spans="1:62" x14ac:dyDescent="0.3">
      <c r="A482">
        <v>155933</v>
      </c>
      <c r="K482" t="str">
        <f t="shared" si="308"/>
        <v>Pass</v>
      </c>
      <c r="L482" s="15">
        <f t="shared" si="312"/>
        <v>0</v>
      </c>
      <c r="M482" s="15">
        <f t="shared" si="313"/>
        <v>0</v>
      </c>
      <c r="Z482" s="15">
        <f t="shared" si="314"/>
        <v>1</v>
      </c>
      <c r="AA482" s="15">
        <f t="shared" si="315"/>
        <v>1</v>
      </c>
      <c r="AB482" s="15">
        <f t="shared" si="316"/>
        <v>1</v>
      </c>
      <c r="AC482" s="15">
        <f t="shared" si="317"/>
        <v>1</v>
      </c>
      <c r="AD482" s="15">
        <f t="shared" si="318"/>
        <v>1</v>
      </c>
      <c r="AE482" s="15">
        <f t="shared" si="319"/>
        <v>1</v>
      </c>
      <c r="AF482" s="15">
        <f t="shared" si="320"/>
        <v>1</v>
      </c>
      <c r="AG482" s="15">
        <f t="shared" si="321"/>
        <v>1</v>
      </c>
      <c r="AH482" s="15">
        <f t="shared" si="322"/>
        <v>1</v>
      </c>
      <c r="AI482" s="15">
        <f t="shared" si="323"/>
        <v>1</v>
      </c>
      <c r="AJ482" s="15">
        <f t="shared" si="324"/>
        <v>1</v>
      </c>
      <c r="AK482" s="15">
        <f t="shared" si="325"/>
        <v>1</v>
      </c>
      <c r="AL482" s="15">
        <f t="shared" si="326"/>
        <v>1</v>
      </c>
      <c r="AM482" s="15">
        <f t="shared" si="327"/>
        <v>1</v>
      </c>
      <c r="AN482" s="15">
        <f t="shared" si="328"/>
        <v>1</v>
      </c>
      <c r="AO482" s="15">
        <f t="shared" si="329"/>
        <v>1</v>
      </c>
      <c r="AP482" s="15">
        <f t="shared" si="330"/>
        <v>1</v>
      </c>
      <c r="AQ482" s="15">
        <f t="shared" si="331"/>
        <v>1</v>
      </c>
      <c r="AR482" s="15">
        <f t="shared" si="332"/>
        <v>1</v>
      </c>
      <c r="AS482" s="15">
        <f t="shared" si="333"/>
        <v>1</v>
      </c>
      <c r="AT482" s="15">
        <f t="shared" si="334"/>
        <v>1</v>
      </c>
      <c r="AU482" s="15">
        <f t="shared" si="335"/>
        <v>1</v>
      </c>
      <c r="AV482" s="15">
        <f t="shared" si="336"/>
        <v>1</v>
      </c>
      <c r="AW482" s="15">
        <f t="shared" si="337"/>
        <v>1</v>
      </c>
      <c r="AX482" s="15">
        <f t="shared" si="338"/>
        <v>1</v>
      </c>
      <c r="AY482" s="15">
        <f t="shared" si="339"/>
        <v>1</v>
      </c>
      <c r="AZ482" s="15">
        <f t="shared" si="340"/>
        <v>1</v>
      </c>
      <c r="BA482" s="15">
        <f t="shared" si="341"/>
        <v>1</v>
      </c>
      <c r="BB482" s="15">
        <f t="shared" si="309"/>
        <v>0</v>
      </c>
      <c r="BC482" s="15" t="str">
        <f t="shared" si="310"/>
        <v/>
      </c>
      <c r="BD482" s="15" t="str">
        <f t="shared" si="311"/>
        <v/>
      </c>
      <c r="BE482" s="11" t="e">
        <f t="shared" si="342"/>
        <v>#VALUE!</v>
      </c>
      <c r="BF482" s="11" t="e">
        <f t="shared" si="343"/>
        <v>#VALUE!</v>
      </c>
      <c r="BG482" s="11" t="e">
        <f t="shared" si="344"/>
        <v>#VALUE!</v>
      </c>
      <c r="BH482" t="str">
        <f t="shared" si="345"/>
        <v/>
      </c>
      <c r="BI482" t="str" cm="1">
        <f t="array" ref="BI482">_xlfn.IFS(
  L482&gt;0,"Critical Fail",
  M482&gt;0,"Important (Coaching)",
  TRUE,"Clean Pass"
)</f>
        <v>Clean Pass</v>
      </c>
      <c r="BJ482" t="str">
        <f t="shared" si="346"/>
        <v>NA</v>
      </c>
    </row>
    <row r="483" spans="1:62" x14ac:dyDescent="0.3">
      <c r="A483">
        <v>302743</v>
      </c>
      <c r="K483" t="str">
        <f t="shared" si="308"/>
        <v>Pass</v>
      </c>
      <c r="L483" s="15">
        <f t="shared" si="312"/>
        <v>0</v>
      </c>
      <c r="M483" s="15">
        <f t="shared" si="313"/>
        <v>0</v>
      </c>
      <c r="Z483" s="15">
        <f t="shared" si="314"/>
        <v>1</v>
      </c>
      <c r="AA483" s="15">
        <f t="shared" si="315"/>
        <v>1</v>
      </c>
      <c r="AB483" s="15">
        <f t="shared" si="316"/>
        <v>1</v>
      </c>
      <c r="AC483" s="15">
        <f t="shared" si="317"/>
        <v>1</v>
      </c>
      <c r="AD483" s="15">
        <f t="shared" si="318"/>
        <v>1</v>
      </c>
      <c r="AE483" s="15">
        <f t="shared" si="319"/>
        <v>1</v>
      </c>
      <c r="AF483" s="15">
        <f t="shared" si="320"/>
        <v>1</v>
      </c>
      <c r="AG483" s="15">
        <f t="shared" si="321"/>
        <v>1</v>
      </c>
      <c r="AH483" s="15">
        <f t="shared" si="322"/>
        <v>1</v>
      </c>
      <c r="AI483" s="15">
        <f t="shared" si="323"/>
        <v>1</v>
      </c>
      <c r="AJ483" s="15">
        <f t="shared" si="324"/>
        <v>1</v>
      </c>
      <c r="AK483" s="15">
        <f t="shared" si="325"/>
        <v>1</v>
      </c>
      <c r="AL483" s="15">
        <f t="shared" si="326"/>
        <v>1</v>
      </c>
      <c r="AM483" s="15">
        <f t="shared" si="327"/>
        <v>1</v>
      </c>
      <c r="AN483" s="15">
        <f t="shared" si="328"/>
        <v>1</v>
      </c>
      <c r="AO483" s="15">
        <f t="shared" si="329"/>
        <v>1</v>
      </c>
      <c r="AP483" s="15">
        <f t="shared" si="330"/>
        <v>1</v>
      </c>
      <c r="AQ483" s="15">
        <f t="shared" si="331"/>
        <v>1</v>
      </c>
      <c r="AR483" s="15">
        <f t="shared" si="332"/>
        <v>1</v>
      </c>
      <c r="AS483" s="15">
        <f t="shared" si="333"/>
        <v>1</v>
      </c>
      <c r="AT483" s="15">
        <f t="shared" si="334"/>
        <v>1</v>
      </c>
      <c r="AU483" s="15">
        <f t="shared" si="335"/>
        <v>1</v>
      </c>
      <c r="AV483" s="15">
        <f t="shared" si="336"/>
        <v>1</v>
      </c>
      <c r="AW483" s="15">
        <f t="shared" si="337"/>
        <v>1</v>
      </c>
      <c r="AX483" s="15">
        <f t="shared" si="338"/>
        <v>1</v>
      </c>
      <c r="AY483" s="15">
        <f t="shared" si="339"/>
        <v>1</v>
      </c>
      <c r="AZ483" s="15">
        <f t="shared" si="340"/>
        <v>1</v>
      </c>
      <c r="BA483" s="15">
        <f t="shared" si="341"/>
        <v>1</v>
      </c>
      <c r="BB483" s="15">
        <f t="shared" si="309"/>
        <v>0</v>
      </c>
      <c r="BC483" s="15" t="str">
        <f t="shared" si="310"/>
        <v/>
      </c>
      <c r="BD483" s="15" t="str">
        <f t="shared" si="311"/>
        <v/>
      </c>
      <c r="BE483" s="11" t="e">
        <f t="shared" si="342"/>
        <v>#VALUE!</v>
      </c>
      <c r="BF483" s="11" t="e">
        <f t="shared" si="343"/>
        <v>#VALUE!</v>
      </c>
      <c r="BG483" s="11" t="e">
        <f t="shared" si="344"/>
        <v>#VALUE!</v>
      </c>
      <c r="BH483" t="str">
        <f t="shared" si="345"/>
        <v/>
      </c>
      <c r="BI483" t="str" cm="1">
        <f t="array" ref="BI483">_xlfn.IFS(
  L483&gt;0,"Critical Fail",
  M483&gt;0,"Important (Coaching)",
  TRUE,"Clean Pass"
)</f>
        <v>Clean Pass</v>
      </c>
      <c r="BJ483" t="str">
        <f t="shared" si="346"/>
        <v>NA</v>
      </c>
    </row>
    <row r="484" spans="1:62" x14ac:dyDescent="0.3">
      <c r="A484">
        <v>276158</v>
      </c>
      <c r="K484" t="str">
        <f t="shared" si="308"/>
        <v>Pass</v>
      </c>
      <c r="L484" s="15">
        <f t="shared" si="312"/>
        <v>0</v>
      </c>
      <c r="M484" s="15">
        <f t="shared" si="313"/>
        <v>0</v>
      </c>
      <c r="Z484" s="15">
        <f t="shared" si="314"/>
        <v>1</v>
      </c>
      <c r="AA484" s="15">
        <f t="shared" si="315"/>
        <v>1</v>
      </c>
      <c r="AB484" s="15">
        <f t="shared" si="316"/>
        <v>1</v>
      </c>
      <c r="AC484" s="15">
        <f t="shared" si="317"/>
        <v>1</v>
      </c>
      <c r="AD484" s="15">
        <f t="shared" si="318"/>
        <v>1</v>
      </c>
      <c r="AE484" s="15">
        <f t="shared" si="319"/>
        <v>1</v>
      </c>
      <c r="AF484" s="15">
        <f t="shared" si="320"/>
        <v>1</v>
      </c>
      <c r="AG484" s="15">
        <f t="shared" si="321"/>
        <v>1</v>
      </c>
      <c r="AH484" s="15">
        <f t="shared" si="322"/>
        <v>1</v>
      </c>
      <c r="AI484" s="15">
        <f t="shared" si="323"/>
        <v>1</v>
      </c>
      <c r="AJ484" s="15">
        <f t="shared" si="324"/>
        <v>1</v>
      </c>
      <c r="AK484" s="15">
        <f t="shared" si="325"/>
        <v>1</v>
      </c>
      <c r="AL484" s="15">
        <f t="shared" si="326"/>
        <v>1</v>
      </c>
      <c r="AM484" s="15">
        <f t="shared" si="327"/>
        <v>1</v>
      </c>
      <c r="AN484" s="15">
        <f t="shared" si="328"/>
        <v>1</v>
      </c>
      <c r="AO484" s="15">
        <f t="shared" si="329"/>
        <v>1</v>
      </c>
      <c r="AP484" s="15">
        <f t="shared" si="330"/>
        <v>1</v>
      </c>
      <c r="AQ484" s="15">
        <f t="shared" si="331"/>
        <v>1</v>
      </c>
      <c r="AR484" s="15">
        <f t="shared" si="332"/>
        <v>1</v>
      </c>
      <c r="AS484" s="15">
        <f t="shared" si="333"/>
        <v>1</v>
      </c>
      <c r="AT484" s="15">
        <f t="shared" si="334"/>
        <v>1</v>
      </c>
      <c r="AU484" s="15">
        <f t="shared" si="335"/>
        <v>1</v>
      </c>
      <c r="AV484" s="15">
        <f t="shared" si="336"/>
        <v>1</v>
      </c>
      <c r="AW484" s="15">
        <f t="shared" si="337"/>
        <v>1</v>
      </c>
      <c r="AX484" s="15">
        <f t="shared" si="338"/>
        <v>1</v>
      </c>
      <c r="AY484" s="15">
        <f t="shared" si="339"/>
        <v>1</v>
      </c>
      <c r="AZ484" s="15">
        <f t="shared" si="340"/>
        <v>1</v>
      </c>
      <c r="BA484" s="15">
        <f t="shared" si="341"/>
        <v>1</v>
      </c>
      <c r="BB484" s="15">
        <f t="shared" si="309"/>
        <v>0</v>
      </c>
      <c r="BC484" s="15" t="str">
        <f t="shared" si="310"/>
        <v/>
      </c>
      <c r="BD484" s="15" t="str">
        <f t="shared" si="311"/>
        <v/>
      </c>
      <c r="BE484" s="11" t="e">
        <f t="shared" si="342"/>
        <v>#VALUE!</v>
      </c>
      <c r="BF484" s="11" t="e">
        <f t="shared" si="343"/>
        <v>#VALUE!</v>
      </c>
      <c r="BG484" s="11" t="e">
        <f t="shared" si="344"/>
        <v>#VALUE!</v>
      </c>
      <c r="BH484" t="str">
        <f t="shared" si="345"/>
        <v/>
      </c>
      <c r="BI484" t="str" cm="1">
        <f t="array" ref="BI484">_xlfn.IFS(
  L484&gt;0,"Critical Fail",
  M484&gt;0,"Important (Coaching)",
  TRUE,"Clean Pass"
)</f>
        <v>Clean Pass</v>
      </c>
      <c r="BJ484" t="str">
        <f t="shared" si="346"/>
        <v>NA</v>
      </c>
    </row>
    <row r="485" spans="1:62" x14ac:dyDescent="0.3">
      <c r="A485">
        <v>747836</v>
      </c>
      <c r="K485" t="str">
        <f t="shared" si="308"/>
        <v>Pass</v>
      </c>
      <c r="L485" s="15">
        <f t="shared" si="312"/>
        <v>0</v>
      </c>
      <c r="M485" s="15">
        <f t="shared" si="313"/>
        <v>0</v>
      </c>
      <c r="Z485" s="15">
        <f t="shared" si="314"/>
        <v>1</v>
      </c>
      <c r="AA485" s="15">
        <f t="shared" si="315"/>
        <v>1</v>
      </c>
      <c r="AB485" s="15">
        <f t="shared" si="316"/>
        <v>1</v>
      </c>
      <c r="AC485" s="15">
        <f t="shared" si="317"/>
        <v>1</v>
      </c>
      <c r="AD485" s="15">
        <f t="shared" si="318"/>
        <v>1</v>
      </c>
      <c r="AE485" s="15">
        <f t="shared" si="319"/>
        <v>1</v>
      </c>
      <c r="AF485" s="15">
        <f t="shared" si="320"/>
        <v>1</v>
      </c>
      <c r="AG485" s="15">
        <f t="shared" si="321"/>
        <v>1</v>
      </c>
      <c r="AH485" s="15">
        <f t="shared" si="322"/>
        <v>1</v>
      </c>
      <c r="AI485" s="15">
        <f t="shared" si="323"/>
        <v>1</v>
      </c>
      <c r="AJ485" s="15">
        <f t="shared" si="324"/>
        <v>1</v>
      </c>
      <c r="AK485" s="15">
        <f t="shared" si="325"/>
        <v>1</v>
      </c>
      <c r="AL485" s="15">
        <f t="shared" si="326"/>
        <v>1</v>
      </c>
      <c r="AM485" s="15">
        <f t="shared" si="327"/>
        <v>1</v>
      </c>
      <c r="AN485" s="15">
        <f t="shared" si="328"/>
        <v>1</v>
      </c>
      <c r="AO485" s="15">
        <f t="shared" si="329"/>
        <v>1</v>
      </c>
      <c r="AP485" s="15">
        <f t="shared" si="330"/>
        <v>1</v>
      </c>
      <c r="AQ485" s="15">
        <f t="shared" si="331"/>
        <v>1</v>
      </c>
      <c r="AR485" s="15">
        <f t="shared" si="332"/>
        <v>1</v>
      </c>
      <c r="AS485" s="15">
        <f t="shared" si="333"/>
        <v>1</v>
      </c>
      <c r="AT485" s="15">
        <f t="shared" si="334"/>
        <v>1</v>
      </c>
      <c r="AU485" s="15">
        <f t="shared" si="335"/>
        <v>1</v>
      </c>
      <c r="AV485" s="15">
        <f t="shared" si="336"/>
        <v>1</v>
      </c>
      <c r="AW485" s="15">
        <f t="shared" si="337"/>
        <v>1</v>
      </c>
      <c r="AX485" s="15">
        <f t="shared" si="338"/>
        <v>1</v>
      </c>
      <c r="AY485" s="15">
        <f t="shared" si="339"/>
        <v>1</v>
      </c>
      <c r="AZ485" s="15">
        <f t="shared" si="340"/>
        <v>1</v>
      </c>
      <c r="BA485" s="15">
        <f t="shared" si="341"/>
        <v>1</v>
      </c>
      <c r="BB485" s="15">
        <f t="shared" si="309"/>
        <v>0</v>
      </c>
      <c r="BC485" s="15" t="str">
        <f t="shared" si="310"/>
        <v/>
      </c>
      <c r="BD485" s="15" t="str">
        <f t="shared" si="311"/>
        <v/>
      </c>
      <c r="BE485" s="11" t="e">
        <f t="shared" si="342"/>
        <v>#VALUE!</v>
      </c>
      <c r="BF485" s="11" t="e">
        <f t="shared" si="343"/>
        <v>#VALUE!</v>
      </c>
      <c r="BG485" s="11" t="e">
        <f t="shared" si="344"/>
        <v>#VALUE!</v>
      </c>
      <c r="BH485" t="str">
        <f t="shared" si="345"/>
        <v/>
      </c>
      <c r="BI485" t="str" cm="1">
        <f t="array" ref="BI485">_xlfn.IFS(
  L485&gt;0,"Critical Fail",
  M485&gt;0,"Important (Coaching)",
  TRUE,"Clean Pass"
)</f>
        <v>Clean Pass</v>
      </c>
      <c r="BJ485" t="str">
        <f t="shared" si="346"/>
        <v>NA</v>
      </c>
    </row>
    <row r="486" spans="1:62" x14ac:dyDescent="0.3">
      <c r="A486">
        <v>836232</v>
      </c>
      <c r="K486" t="str">
        <f t="shared" si="308"/>
        <v>Pass</v>
      </c>
      <c r="L486" s="15">
        <f t="shared" si="312"/>
        <v>0</v>
      </c>
      <c r="M486" s="15">
        <f t="shared" si="313"/>
        <v>0</v>
      </c>
      <c r="Z486" s="15">
        <f t="shared" si="314"/>
        <v>1</v>
      </c>
      <c r="AA486" s="15">
        <f t="shared" si="315"/>
        <v>1</v>
      </c>
      <c r="AB486" s="15">
        <f t="shared" si="316"/>
        <v>1</v>
      </c>
      <c r="AC486" s="15">
        <f t="shared" si="317"/>
        <v>1</v>
      </c>
      <c r="AD486" s="15">
        <f t="shared" si="318"/>
        <v>1</v>
      </c>
      <c r="AE486" s="15">
        <f t="shared" si="319"/>
        <v>1</v>
      </c>
      <c r="AF486" s="15">
        <f t="shared" si="320"/>
        <v>1</v>
      </c>
      <c r="AG486" s="15">
        <f t="shared" si="321"/>
        <v>1</v>
      </c>
      <c r="AH486" s="15">
        <f t="shared" si="322"/>
        <v>1</v>
      </c>
      <c r="AI486" s="15">
        <f t="shared" si="323"/>
        <v>1</v>
      </c>
      <c r="AJ486" s="15">
        <f t="shared" si="324"/>
        <v>1</v>
      </c>
      <c r="AK486" s="15">
        <f t="shared" si="325"/>
        <v>1</v>
      </c>
      <c r="AL486" s="15">
        <f t="shared" si="326"/>
        <v>1</v>
      </c>
      <c r="AM486" s="15">
        <f t="shared" si="327"/>
        <v>1</v>
      </c>
      <c r="AN486" s="15">
        <f t="shared" si="328"/>
        <v>1</v>
      </c>
      <c r="AO486" s="15">
        <f t="shared" si="329"/>
        <v>1</v>
      </c>
      <c r="AP486" s="15">
        <f t="shared" si="330"/>
        <v>1</v>
      </c>
      <c r="AQ486" s="15">
        <f t="shared" si="331"/>
        <v>1</v>
      </c>
      <c r="AR486" s="15">
        <f t="shared" si="332"/>
        <v>1</v>
      </c>
      <c r="AS486" s="15">
        <f t="shared" si="333"/>
        <v>1</v>
      </c>
      <c r="AT486" s="15">
        <f t="shared" si="334"/>
        <v>1</v>
      </c>
      <c r="AU486" s="15">
        <f t="shared" si="335"/>
        <v>1</v>
      </c>
      <c r="AV486" s="15">
        <f t="shared" si="336"/>
        <v>1</v>
      </c>
      <c r="AW486" s="15">
        <f t="shared" si="337"/>
        <v>1</v>
      </c>
      <c r="AX486" s="15">
        <f t="shared" si="338"/>
        <v>1</v>
      </c>
      <c r="AY486" s="15">
        <f t="shared" si="339"/>
        <v>1</v>
      </c>
      <c r="AZ486" s="15">
        <f t="shared" si="340"/>
        <v>1</v>
      </c>
      <c r="BA486" s="15">
        <f t="shared" si="341"/>
        <v>1</v>
      </c>
      <c r="BB486" s="15">
        <f t="shared" si="309"/>
        <v>0</v>
      </c>
      <c r="BC486" s="15" t="str">
        <f t="shared" si="310"/>
        <v/>
      </c>
      <c r="BD486" s="15" t="str">
        <f t="shared" si="311"/>
        <v/>
      </c>
      <c r="BE486" s="11" t="e">
        <f t="shared" si="342"/>
        <v>#VALUE!</v>
      </c>
      <c r="BF486" s="11" t="e">
        <f t="shared" si="343"/>
        <v>#VALUE!</v>
      </c>
      <c r="BG486" s="11" t="e">
        <f t="shared" si="344"/>
        <v>#VALUE!</v>
      </c>
      <c r="BH486" t="str">
        <f t="shared" si="345"/>
        <v/>
      </c>
      <c r="BI486" t="str" cm="1">
        <f t="array" ref="BI486">_xlfn.IFS(
  L486&gt;0,"Critical Fail",
  M486&gt;0,"Important (Coaching)",
  TRUE,"Clean Pass"
)</f>
        <v>Clean Pass</v>
      </c>
      <c r="BJ486" t="str">
        <f t="shared" si="346"/>
        <v>NA</v>
      </c>
    </row>
    <row r="487" spans="1:62" x14ac:dyDescent="0.3">
      <c r="A487">
        <v>630469</v>
      </c>
      <c r="K487" t="str">
        <f t="shared" si="308"/>
        <v>Pass</v>
      </c>
      <c r="L487" s="15">
        <f t="shared" si="312"/>
        <v>0</v>
      </c>
      <c r="M487" s="15">
        <f t="shared" si="313"/>
        <v>0</v>
      </c>
      <c r="Z487" s="15">
        <f t="shared" si="314"/>
        <v>1</v>
      </c>
      <c r="AA487" s="15">
        <f t="shared" si="315"/>
        <v>1</v>
      </c>
      <c r="AB487" s="15">
        <f t="shared" si="316"/>
        <v>1</v>
      </c>
      <c r="AC487" s="15">
        <f t="shared" si="317"/>
        <v>1</v>
      </c>
      <c r="AD487" s="15">
        <f t="shared" si="318"/>
        <v>1</v>
      </c>
      <c r="AE487" s="15">
        <f t="shared" si="319"/>
        <v>1</v>
      </c>
      <c r="AF487" s="15">
        <f t="shared" si="320"/>
        <v>1</v>
      </c>
      <c r="AG487" s="15">
        <f t="shared" si="321"/>
        <v>1</v>
      </c>
      <c r="AH487" s="15">
        <f t="shared" si="322"/>
        <v>1</v>
      </c>
      <c r="AI487" s="15">
        <f t="shared" si="323"/>
        <v>1</v>
      </c>
      <c r="AJ487" s="15">
        <f t="shared" si="324"/>
        <v>1</v>
      </c>
      <c r="AK487" s="15">
        <f t="shared" si="325"/>
        <v>1</v>
      </c>
      <c r="AL487" s="15">
        <f t="shared" si="326"/>
        <v>1</v>
      </c>
      <c r="AM487" s="15">
        <f t="shared" si="327"/>
        <v>1</v>
      </c>
      <c r="AN487" s="15">
        <f t="shared" si="328"/>
        <v>1</v>
      </c>
      <c r="AO487" s="15">
        <f t="shared" si="329"/>
        <v>1</v>
      </c>
      <c r="AP487" s="15">
        <f t="shared" si="330"/>
        <v>1</v>
      </c>
      <c r="AQ487" s="15">
        <f t="shared" si="331"/>
        <v>1</v>
      </c>
      <c r="AR487" s="15">
        <f t="shared" si="332"/>
        <v>1</v>
      </c>
      <c r="AS487" s="15">
        <f t="shared" si="333"/>
        <v>1</v>
      </c>
      <c r="AT487" s="15">
        <f t="shared" si="334"/>
        <v>1</v>
      </c>
      <c r="AU487" s="15">
        <f t="shared" si="335"/>
        <v>1</v>
      </c>
      <c r="AV487" s="15">
        <f t="shared" si="336"/>
        <v>1</v>
      </c>
      <c r="AW487" s="15">
        <f t="shared" si="337"/>
        <v>1</v>
      </c>
      <c r="AX487" s="15">
        <f t="shared" si="338"/>
        <v>1</v>
      </c>
      <c r="AY487" s="15">
        <f t="shared" si="339"/>
        <v>1</v>
      </c>
      <c r="AZ487" s="15">
        <f t="shared" si="340"/>
        <v>1</v>
      </c>
      <c r="BA487" s="15">
        <f t="shared" si="341"/>
        <v>1</v>
      </c>
      <c r="BB487" s="15">
        <f t="shared" si="309"/>
        <v>0</v>
      </c>
      <c r="BC487" s="15" t="str">
        <f t="shared" si="310"/>
        <v/>
      </c>
      <c r="BD487" s="15" t="str">
        <f t="shared" si="311"/>
        <v/>
      </c>
      <c r="BE487" s="11" t="e">
        <f t="shared" si="342"/>
        <v>#VALUE!</v>
      </c>
      <c r="BF487" s="11" t="e">
        <f t="shared" si="343"/>
        <v>#VALUE!</v>
      </c>
      <c r="BG487" s="11" t="e">
        <f t="shared" si="344"/>
        <v>#VALUE!</v>
      </c>
      <c r="BH487" t="str">
        <f t="shared" si="345"/>
        <v/>
      </c>
      <c r="BI487" t="str" cm="1">
        <f t="array" ref="BI487">_xlfn.IFS(
  L487&gt;0,"Critical Fail",
  M487&gt;0,"Important (Coaching)",
  TRUE,"Clean Pass"
)</f>
        <v>Clean Pass</v>
      </c>
      <c r="BJ487" t="str">
        <f t="shared" si="346"/>
        <v>NA</v>
      </c>
    </row>
    <row r="488" spans="1:62" x14ac:dyDescent="0.3">
      <c r="A488">
        <v>188927</v>
      </c>
      <c r="K488" t="str">
        <f t="shared" si="308"/>
        <v>Pass</v>
      </c>
      <c r="L488" s="15">
        <f t="shared" si="312"/>
        <v>0</v>
      </c>
      <c r="M488" s="15">
        <f t="shared" si="313"/>
        <v>0</v>
      </c>
      <c r="Z488" s="15">
        <f t="shared" si="314"/>
        <v>1</v>
      </c>
      <c r="AA488" s="15">
        <f t="shared" si="315"/>
        <v>1</v>
      </c>
      <c r="AB488" s="15">
        <f t="shared" si="316"/>
        <v>1</v>
      </c>
      <c r="AC488" s="15">
        <f t="shared" si="317"/>
        <v>1</v>
      </c>
      <c r="AD488" s="15">
        <f t="shared" si="318"/>
        <v>1</v>
      </c>
      <c r="AE488" s="15">
        <f t="shared" si="319"/>
        <v>1</v>
      </c>
      <c r="AF488" s="15">
        <f t="shared" si="320"/>
        <v>1</v>
      </c>
      <c r="AG488" s="15">
        <f t="shared" si="321"/>
        <v>1</v>
      </c>
      <c r="AH488" s="15">
        <f t="shared" si="322"/>
        <v>1</v>
      </c>
      <c r="AI488" s="15">
        <f t="shared" si="323"/>
        <v>1</v>
      </c>
      <c r="AJ488" s="15">
        <f t="shared" si="324"/>
        <v>1</v>
      </c>
      <c r="AK488" s="15">
        <f t="shared" si="325"/>
        <v>1</v>
      </c>
      <c r="AL488" s="15">
        <f t="shared" si="326"/>
        <v>1</v>
      </c>
      <c r="AM488" s="15">
        <f t="shared" si="327"/>
        <v>1</v>
      </c>
      <c r="AN488" s="15">
        <f t="shared" si="328"/>
        <v>1</v>
      </c>
      <c r="AO488" s="15">
        <f t="shared" si="329"/>
        <v>1</v>
      </c>
      <c r="AP488" s="15">
        <f t="shared" si="330"/>
        <v>1</v>
      </c>
      <c r="AQ488" s="15">
        <f t="shared" si="331"/>
        <v>1</v>
      </c>
      <c r="AR488" s="15">
        <f t="shared" si="332"/>
        <v>1</v>
      </c>
      <c r="AS488" s="15">
        <f t="shared" si="333"/>
        <v>1</v>
      </c>
      <c r="AT488" s="15">
        <f t="shared" si="334"/>
        <v>1</v>
      </c>
      <c r="AU488" s="15">
        <f t="shared" si="335"/>
        <v>1</v>
      </c>
      <c r="AV488" s="15">
        <f t="shared" si="336"/>
        <v>1</v>
      </c>
      <c r="AW488" s="15">
        <f t="shared" si="337"/>
        <v>1</v>
      </c>
      <c r="AX488" s="15">
        <f t="shared" si="338"/>
        <v>1</v>
      </c>
      <c r="AY488" s="15">
        <f t="shared" si="339"/>
        <v>1</v>
      </c>
      <c r="AZ488" s="15">
        <f t="shared" si="340"/>
        <v>1</v>
      </c>
      <c r="BA488" s="15">
        <f t="shared" si="341"/>
        <v>1</v>
      </c>
      <c r="BB488" s="15">
        <f t="shared" si="309"/>
        <v>0</v>
      </c>
      <c r="BC488" s="15" t="str">
        <f t="shared" si="310"/>
        <v/>
      </c>
      <c r="BD488" s="15" t="str">
        <f t="shared" si="311"/>
        <v/>
      </c>
      <c r="BE488" s="11" t="e">
        <f t="shared" si="342"/>
        <v>#VALUE!</v>
      </c>
      <c r="BF488" s="11" t="e">
        <f t="shared" si="343"/>
        <v>#VALUE!</v>
      </c>
      <c r="BG488" s="11" t="e">
        <f t="shared" si="344"/>
        <v>#VALUE!</v>
      </c>
      <c r="BH488" t="str">
        <f t="shared" si="345"/>
        <v/>
      </c>
      <c r="BI488" t="str" cm="1">
        <f t="array" ref="BI488">_xlfn.IFS(
  L488&gt;0,"Critical Fail",
  M488&gt;0,"Important (Coaching)",
  TRUE,"Clean Pass"
)</f>
        <v>Clean Pass</v>
      </c>
      <c r="BJ488" t="str">
        <f t="shared" si="346"/>
        <v>NA</v>
      </c>
    </row>
    <row r="489" spans="1:62" x14ac:dyDescent="0.3">
      <c r="A489">
        <v>144187</v>
      </c>
      <c r="K489" t="str">
        <f t="shared" si="308"/>
        <v>Pass</v>
      </c>
      <c r="L489" s="15">
        <f t="shared" si="312"/>
        <v>0</v>
      </c>
      <c r="M489" s="15">
        <f t="shared" si="313"/>
        <v>0</v>
      </c>
      <c r="Z489" s="15">
        <f t="shared" si="314"/>
        <v>1</v>
      </c>
      <c r="AA489" s="15">
        <f t="shared" si="315"/>
        <v>1</v>
      </c>
      <c r="AB489" s="15">
        <f t="shared" si="316"/>
        <v>1</v>
      </c>
      <c r="AC489" s="15">
        <f t="shared" si="317"/>
        <v>1</v>
      </c>
      <c r="AD489" s="15">
        <f t="shared" si="318"/>
        <v>1</v>
      </c>
      <c r="AE489" s="15">
        <f t="shared" si="319"/>
        <v>1</v>
      </c>
      <c r="AF489" s="15">
        <f t="shared" si="320"/>
        <v>1</v>
      </c>
      <c r="AG489" s="15">
        <f t="shared" si="321"/>
        <v>1</v>
      </c>
      <c r="AH489" s="15">
        <f t="shared" si="322"/>
        <v>1</v>
      </c>
      <c r="AI489" s="15">
        <f t="shared" si="323"/>
        <v>1</v>
      </c>
      <c r="AJ489" s="15">
        <f t="shared" si="324"/>
        <v>1</v>
      </c>
      <c r="AK489" s="15">
        <f t="shared" si="325"/>
        <v>1</v>
      </c>
      <c r="AL489" s="15">
        <f t="shared" si="326"/>
        <v>1</v>
      </c>
      <c r="AM489" s="15">
        <f t="shared" si="327"/>
        <v>1</v>
      </c>
      <c r="AN489" s="15">
        <f t="shared" si="328"/>
        <v>1</v>
      </c>
      <c r="AO489" s="15">
        <f t="shared" si="329"/>
        <v>1</v>
      </c>
      <c r="AP489" s="15">
        <f t="shared" si="330"/>
        <v>1</v>
      </c>
      <c r="AQ489" s="15">
        <f t="shared" si="331"/>
        <v>1</v>
      </c>
      <c r="AR489" s="15">
        <f t="shared" si="332"/>
        <v>1</v>
      </c>
      <c r="AS489" s="15">
        <f t="shared" si="333"/>
        <v>1</v>
      </c>
      <c r="AT489" s="15">
        <f t="shared" si="334"/>
        <v>1</v>
      </c>
      <c r="AU489" s="15">
        <f t="shared" si="335"/>
        <v>1</v>
      </c>
      <c r="AV489" s="15">
        <f t="shared" si="336"/>
        <v>1</v>
      </c>
      <c r="AW489" s="15">
        <f t="shared" si="337"/>
        <v>1</v>
      </c>
      <c r="AX489" s="15">
        <f t="shared" si="338"/>
        <v>1</v>
      </c>
      <c r="AY489" s="15">
        <f t="shared" si="339"/>
        <v>1</v>
      </c>
      <c r="AZ489" s="15">
        <f t="shared" si="340"/>
        <v>1</v>
      </c>
      <c r="BA489" s="15">
        <f t="shared" si="341"/>
        <v>1</v>
      </c>
      <c r="BB489" s="15">
        <f t="shared" si="309"/>
        <v>0</v>
      </c>
      <c r="BC489" s="15" t="str">
        <f t="shared" si="310"/>
        <v/>
      </c>
      <c r="BD489" s="15" t="str">
        <f t="shared" si="311"/>
        <v/>
      </c>
      <c r="BE489" s="11" t="e">
        <f t="shared" si="342"/>
        <v>#VALUE!</v>
      </c>
      <c r="BF489" s="11" t="e">
        <f t="shared" si="343"/>
        <v>#VALUE!</v>
      </c>
      <c r="BG489" s="11" t="e">
        <f t="shared" si="344"/>
        <v>#VALUE!</v>
      </c>
      <c r="BH489" t="str">
        <f t="shared" si="345"/>
        <v/>
      </c>
      <c r="BI489" t="str" cm="1">
        <f t="array" ref="BI489">_xlfn.IFS(
  L489&gt;0,"Critical Fail",
  M489&gt;0,"Important (Coaching)",
  TRUE,"Clean Pass"
)</f>
        <v>Clean Pass</v>
      </c>
      <c r="BJ489" t="str">
        <f t="shared" si="346"/>
        <v>NA</v>
      </c>
    </row>
    <row r="490" spans="1:62" x14ac:dyDescent="0.3">
      <c r="A490">
        <v>598388</v>
      </c>
      <c r="K490" t="str">
        <f t="shared" si="308"/>
        <v>Pass</v>
      </c>
      <c r="L490" s="15">
        <f t="shared" si="312"/>
        <v>0</v>
      </c>
      <c r="M490" s="15">
        <f t="shared" si="313"/>
        <v>0</v>
      </c>
      <c r="Z490" s="15">
        <f t="shared" si="314"/>
        <v>1</v>
      </c>
      <c r="AA490" s="15">
        <f t="shared" si="315"/>
        <v>1</v>
      </c>
      <c r="AB490" s="15">
        <f t="shared" si="316"/>
        <v>1</v>
      </c>
      <c r="AC490" s="15">
        <f t="shared" si="317"/>
        <v>1</v>
      </c>
      <c r="AD490" s="15">
        <f t="shared" si="318"/>
        <v>1</v>
      </c>
      <c r="AE490" s="15">
        <f t="shared" si="319"/>
        <v>1</v>
      </c>
      <c r="AF490" s="15">
        <f t="shared" si="320"/>
        <v>1</v>
      </c>
      <c r="AG490" s="15">
        <f t="shared" si="321"/>
        <v>1</v>
      </c>
      <c r="AH490" s="15">
        <f t="shared" si="322"/>
        <v>1</v>
      </c>
      <c r="AI490" s="15">
        <f t="shared" si="323"/>
        <v>1</v>
      </c>
      <c r="AJ490" s="15">
        <f t="shared" si="324"/>
        <v>1</v>
      </c>
      <c r="AK490" s="15">
        <f t="shared" si="325"/>
        <v>1</v>
      </c>
      <c r="AL490" s="15">
        <f t="shared" si="326"/>
        <v>1</v>
      </c>
      <c r="AM490" s="15">
        <f t="shared" si="327"/>
        <v>1</v>
      </c>
      <c r="AN490" s="15">
        <f t="shared" si="328"/>
        <v>1</v>
      </c>
      <c r="AO490" s="15">
        <f t="shared" si="329"/>
        <v>1</v>
      </c>
      <c r="AP490" s="15">
        <f t="shared" si="330"/>
        <v>1</v>
      </c>
      <c r="AQ490" s="15">
        <f t="shared" si="331"/>
        <v>1</v>
      </c>
      <c r="AR490" s="15">
        <f t="shared" si="332"/>
        <v>1</v>
      </c>
      <c r="AS490" s="15">
        <f t="shared" si="333"/>
        <v>1</v>
      </c>
      <c r="AT490" s="15">
        <f t="shared" si="334"/>
        <v>1</v>
      </c>
      <c r="AU490" s="15">
        <f t="shared" si="335"/>
        <v>1</v>
      </c>
      <c r="AV490" s="15">
        <f t="shared" si="336"/>
        <v>1</v>
      </c>
      <c r="AW490" s="15">
        <f t="shared" si="337"/>
        <v>1</v>
      </c>
      <c r="AX490" s="15">
        <f t="shared" si="338"/>
        <v>1</v>
      </c>
      <c r="AY490" s="15">
        <f t="shared" si="339"/>
        <v>1</v>
      </c>
      <c r="AZ490" s="15">
        <f t="shared" si="340"/>
        <v>1</v>
      </c>
      <c r="BA490" s="15">
        <f t="shared" si="341"/>
        <v>1</v>
      </c>
      <c r="BB490" s="15">
        <f t="shared" si="309"/>
        <v>0</v>
      </c>
      <c r="BC490" s="15" t="str">
        <f t="shared" si="310"/>
        <v/>
      </c>
      <c r="BD490" s="15" t="str">
        <f t="shared" si="311"/>
        <v/>
      </c>
      <c r="BE490" s="11" t="e">
        <f t="shared" si="342"/>
        <v>#VALUE!</v>
      </c>
      <c r="BF490" s="11" t="e">
        <f t="shared" si="343"/>
        <v>#VALUE!</v>
      </c>
      <c r="BG490" s="11" t="e">
        <f t="shared" si="344"/>
        <v>#VALUE!</v>
      </c>
      <c r="BH490" t="str">
        <f t="shared" si="345"/>
        <v/>
      </c>
      <c r="BI490" t="str" cm="1">
        <f t="array" ref="BI490">_xlfn.IFS(
  L490&gt;0,"Critical Fail",
  M490&gt;0,"Important (Coaching)",
  TRUE,"Clean Pass"
)</f>
        <v>Clean Pass</v>
      </c>
      <c r="BJ490" t="str">
        <f t="shared" si="346"/>
        <v>NA</v>
      </c>
    </row>
    <row r="491" spans="1:62" x14ac:dyDescent="0.3">
      <c r="A491">
        <v>540441</v>
      </c>
      <c r="K491" t="str">
        <f t="shared" si="308"/>
        <v>Pass</v>
      </c>
      <c r="L491" s="15">
        <f t="shared" si="312"/>
        <v>0</v>
      </c>
      <c r="M491" s="15">
        <f t="shared" si="313"/>
        <v>0</v>
      </c>
      <c r="Z491" s="15">
        <f t="shared" si="314"/>
        <v>1</v>
      </c>
      <c r="AA491" s="15">
        <f t="shared" si="315"/>
        <v>1</v>
      </c>
      <c r="AB491" s="15">
        <f t="shared" si="316"/>
        <v>1</v>
      </c>
      <c r="AC491" s="15">
        <f t="shared" si="317"/>
        <v>1</v>
      </c>
      <c r="AD491" s="15">
        <f t="shared" si="318"/>
        <v>1</v>
      </c>
      <c r="AE491" s="15">
        <f t="shared" si="319"/>
        <v>1</v>
      </c>
      <c r="AF491" s="15">
        <f t="shared" si="320"/>
        <v>1</v>
      </c>
      <c r="AG491" s="15">
        <f t="shared" si="321"/>
        <v>1</v>
      </c>
      <c r="AH491" s="15">
        <f t="shared" si="322"/>
        <v>1</v>
      </c>
      <c r="AI491" s="15">
        <f t="shared" si="323"/>
        <v>1</v>
      </c>
      <c r="AJ491" s="15">
        <f t="shared" si="324"/>
        <v>1</v>
      </c>
      <c r="AK491" s="15">
        <f t="shared" si="325"/>
        <v>1</v>
      </c>
      <c r="AL491" s="15">
        <f t="shared" si="326"/>
        <v>1</v>
      </c>
      <c r="AM491" s="15">
        <f t="shared" si="327"/>
        <v>1</v>
      </c>
      <c r="AN491" s="15">
        <f t="shared" si="328"/>
        <v>1</v>
      </c>
      <c r="AO491" s="15">
        <f t="shared" si="329"/>
        <v>1</v>
      </c>
      <c r="AP491" s="15">
        <f t="shared" si="330"/>
        <v>1</v>
      </c>
      <c r="AQ491" s="15">
        <f t="shared" si="331"/>
        <v>1</v>
      </c>
      <c r="AR491" s="15">
        <f t="shared" si="332"/>
        <v>1</v>
      </c>
      <c r="AS491" s="15">
        <f t="shared" si="333"/>
        <v>1</v>
      </c>
      <c r="AT491" s="15">
        <f t="shared" si="334"/>
        <v>1</v>
      </c>
      <c r="AU491" s="15">
        <f t="shared" si="335"/>
        <v>1</v>
      </c>
      <c r="AV491" s="15">
        <f t="shared" si="336"/>
        <v>1</v>
      </c>
      <c r="AW491" s="15">
        <f t="shared" si="337"/>
        <v>1</v>
      </c>
      <c r="AX491" s="15">
        <f t="shared" si="338"/>
        <v>1</v>
      </c>
      <c r="AY491" s="15">
        <f t="shared" si="339"/>
        <v>1</v>
      </c>
      <c r="AZ491" s="15">
        <f t="shared" si="340"/>
        <v>1</v>
      </c>
      <c r="BA491" s="15">
        <f t="shared" si="341"/>
        <v>1</v>
      </c>
      <c r="BB491" s="15">
        <f t="shared" si="309"/>
        <v>0</v>
      </c>
      <c r="BC491" s="15" t="str">
        <f t="shared" si="310"/>
        <v/>
      </c>
      <c r="BD491" s="15" t="str">
        <f t="shared" si="311"/>
        <v/>
      </c>
      <c r="BE491" s="11" t="e">
        <f t="shared" si="342"/>
        <v>#VALUE!</v>
      </c>
      <c r="BF491" s="11" t="e">
        <f t="shared" si="343"/>
        <v>#VALUE!</v>
      </c>
      <c r="BG491" s="11" t="e">
        <f t="shared" si="344"/>
        <v>#VALUE!</v>
      </c>
      <c r="BH491" t="str">
        <f t="shared" si="345"/>
        <v/>
      </c>
      <c r="BI491" t="str" cm="1">
        <f t="array" ref="BI491">_xlfn.IFS(
  L491&gt;0,"Critical Fail",
  M491&gt;0,"Important (Coaching)",
  TRUE,"Clean Pass"
)</f>
        <v>Clean Pass</v>
      </c>
      <c r="BJ491" t="str">
        <f t="shared" si="346"/>
        <v>NA</v>
      </c>
    </row>
    <row r="492" spans="1:62" x14ac:dyDescent="0.3">
      <c r="A492">
        <v>686296</v>
      </c>
      <c r="K492" t="str">
        <f t="shared" si="308"/>
        <v>Pass</v>
      </c>
      <c r="L492" s="15">
        <f t="shared" si="312"/>
        <v>0</v>
      </c>
      <c r="M492" s="15">
        <f t="shared" si="313"/>
        <v>0</v>
      </c>
      <c r="Z492" s="15">
        <f t="shared" si="314"/>
        <v>1</v>
      </c>
      <c r="AA492" s="15">
        <f t="shared" si="315"/>
        <v>1</v>
      </c>
      <c r="AB492" s="15">
        <f t="shared" si="316"/>
        <v>1</v>
      </c>
      <c r="AC492" s="15">
        <f t="shared" si="317"/>
        <v>1</v>
      </c>
      <c r="AD492" s="15">
        <f t="shared" si="318"/>
        <v>1</v>
      </c>
      <c r="AE492" s="15">
        <f t="shared" si="319"/>
        <v>1</v>
      </c>
      <c r="AF492" s="15">
        <f t="shared" si="320"/>
        <v>1</v>
      </c>
      <c r="AG492" s="15">
        <f t="shared" si="321"/>
        <v>1</v>
      </c>
      <c r="AH492" s="15">
        <f t="shared" si="322"/>
        <v>1</v>
      </c>
      <c r="AI492" s="15">
        <f t="shared" si="323"/>
        <v>1</v>
      </c>
      <c r="AJ492" s="15">
        <f t="shared" si="324"/>
        <v>1</v>
      </c>
      <c r="AK492" s="15">
        <f t="shared" si="325"/>
        <v>1</v>
      </c>
      <c r="AL492" s="15">
        <f t="shared" si="326"/>
        <v>1</v>
      </c>
      <c r="AM492" s="15">
        <f t="shared" si="327"/>
        <v>1</v>
      </c>
      <c r="AN492" s="15">
        <f t="shared" si="328"/>
        <v>1</v>
      </c>
      <c r="AO492" s="15">
        <f t="shared" si="329"/>
        <v>1</v>
      </c>
      <c r="AP492" s="15">
        <f t="shared" si="330"/>
        <v>1</v>
      </c>
      <c r="AQ492" s="15">
        <f t="shared" si="331"/>
        <v>1</v>
      </c>
      <c r="AR492" s="15">
        <f t="shared" si="332"/>
        <v>1</v>
      </c>
      <c r="AS492" s="15">
        <f t="shared" si="333"/>
        <v>1</v>
      </c>
      <c r="AT492" s="15">
        <f t="shared" si="334"/>
        <v>1</v>
      </c>
      <c r="AU492" s="15">
        <f t="shared" si="335"/>
        <v>1</v>
      </c>
      <c r="AV492" s="15">
        <f t="shared" si="336"/>
        <v>1</v>
      </c>
      <c r="AW492" s="15">
        <f t="shared" si="337"/>
        <v>1</v>
      </c>
      <c r="AX492" s="15">
        <f t="shared" si="338"/>
        <v>1</v>
      </c>
      <c r="AY492" s="15">
        <f t="shared" si="339"/>
        <v>1</v>
      </c>
      <c r="AZ492" s="15">
        <f t="shared" si="340"/>
        <v>1</v>
      </c>
      <c r="BA492" s="15">
        <f t="shared" si="341"/>
        <v>1</v>
      </c>
      <c r="BB492" s="15">
        <f t="shared" si="309"/>
        <v>0</v>
      </c>
      <c r="BC492" s="15" t="str">
        <f t="shared" si="310"/>
        <v/>
      </c>
      <c r="BD492" s="15" t="str">
        <f t="shared" si="311"/>
        <v/>
      </c>
      <c r="BE492" s="11" t="e">
        <f t="shared" si="342"/>
        <v>#VALUE!</v>
      </c>
      <c r="BF492" s="11" t="e">
        <f t="shared" si="343"/>
        <v>#VALUE!</v>
      </c>
      <c r="BG492" s="11" t="e">
        <f t="shared" si="344"/>
        <v>#VALUE!</v>
      </c>
      <c r="BH492" t="str">
        <f t="shared" si="345"/>
        <v/>
      </c>
      <c r="BI492" t="str" cm="1">
        <f t="array" ref="BI492">_xlfn.IFS(
  L492&gt;0,"Critical Fail",
  M492&gt;0,"Important (Coaching)",
  TRUE,"Clean Pass"
)</f>
        <v>Clean Pass</v>
      </c>
      <c r="BJ492" t="str">
        <f t="shared" si="346"/>
        <v>NA</v>
      </c>
    </row>
    <row r="493" spans="1:62" x14ac:dyDescent="0.3">
      <c r="A493">
        <v>693543</v>
      </c>
      <c r="K493" t="str">
        <f t="shared" si="308"/>
        <v>Pass</v>
      </c>
      <c r="L493" s="15">
        <f t="shared" si="312"/>
        <v>0</v>
      </c>
      <c r="M493" s="15">
        <f t="shared" si="313"/>
        <v>0</v>
      </c>
      <c r="Z493" s="15">
        <f t="shared" si="314"/>
        <v>1</v>
      </c>
      <c r="AA493" s="15">
        <f t="shared" si="315"/>
        <v>1</v>
      </c>
      <c r="AB493" s="15">
        <f t="shared" si="316"/>
        <v>1</v>
      </c>
      <c r="AC493" s="15">
        <f t="shared" si="317"/>
        <v>1</v>
      </c>
      <c r="AD493" s="15">
        <f t="shared" si="318"/>
        <v>1</v>
      </c>
      <c r="AE493" s="15">
        <f t="shared" si="319"/>
        <v>1</v>
      </c>
      <c r="AF493" s="15">
        <f t="shared" si="320"/>
        <v>1</v>
      </c>
      <c r="AG493" s="15">
        <f t="shared" si="321"/>
        <v>1</v>
      </c>
      <c r="AH493" s="15">
        <f t="shared" si="322"/>
        <v>1</v>
      </c>
      <c r="AI493" s="15">
        <f t="shared" si="323"/>
        <v>1</v>
      </c>
      <c r="AJ493" s="15">
        <f t="shared" si="324"/>
        <v>1</v>
      </c>
      <c r="AK493" s="15">
        <f t="shared" si="325"/>
        <v>1</v>
      </c>
      <c r="AL493" s="15">
        <f t="shared" si="326"/>
        <v>1</v>
      </c>
      <c r="AM493" s="15">
        <f t="shared" si="327"/>
        <v>1</v>
      </c>
      <c r="AN493" s="15">
        <f t="shared" si="328"/>
        <v>1</v>
      </c>
      <c r="AO493" s="15">
        <f t="shared" si="329"/>
        <v>1</v>
      </c>
      <c r="AP493" s="15">
        <f t="shared" si="330"/>
        <v>1</v>
      </c>
      <c r="AQ493" s="15">
        <f t="shared" si="331"/>
        <v>1</v>
      </c>
      <c r="AR493" s="15">
        <f t="shared" si="332"/>
        <v>1</v>
      </c>
      <c r="AS493" s="15">
        <f t="shared" si="333"/>
        <v>1</v>
      </c>
      <c r="AT493" s="15">
        <f t="shared" si="334"/>
        <v>1</v>
      </c>
      <c r="AU493" s="15">
        <f t="shared" si="335"/>
        <v>1</v>
      </c>
      <c r="AV493" s="15">
        <f t="shared" si="336"/>
        <v>1</v>
      </c>
      <c r="AW493" s="15">
        <f t="shared" si="337"/>
        <v>1</v>
      </c>
      <c r="AX493" s="15">
        <f t="shared" si="338"/>
        <v>1</v>
      </c>
      <c r="AY493" s="15">
        <f t="shared" si="339"/>
        <v>1</v>
      </c>
      <c r="AZ493" s="15">
        <f t="shared" si="340"/>
        <v>1</v>
      </c>
      <c r="BA493" s="15">
        <f t="shared" si="341"/>
        <v>1</v>
      </c>
      <c r="BB493" s="15">
        <f t="shared" si="309"/>
        <v>0</v>
      </c>
      <c r="BC493" s="15" t="str">
        <f t="shared" si="310"/>
        <v/>
      </c>
      <c r="BD493" s="15" t="str">
        <f t="shared" si="311"/>
        <v/>
      </c>
      <c r="BE493" s="11" t="e">
        <f t="shared" si="342"/>
        <v>#VALUE!</v>
      </c>
      <c r="BF493" s="11" t="e">
        <f t="shared" si="343"/>
        <v>#VALUE!</v>
      </c>
      <c r="BG493" s="11" t="e">
        <f t="shared" si="344"/>
        <v>#VALUE!</v>
      </c>
      <c r="BH493" t="str">
        <f t="shared" si="345"/>
        <v/>
      </c>
      <c r="BI493" t="str" cm="1">
        <f t="array" ref="BI493">_xlfn.IFS(
  L493&gt;0,"Critical Fail",
  M493&gt;0,"Important (Coaching)",
  TRUE,"Clean Pass"
)</f>
        <v>Clean Pass</v>
      </c>
      <c r="BJ493" t="str">
        <f t="shared" si="346"/>
        <v>NA</v>
      </c>
    </row>
    <row r="494" spans="1:62" x14ac:dyDescent="0.3">
      <c r="A494">
        <v>769584</v>
      </c>
      <c r="K494" t="str">
        <f t="shared" si="308"/>
        <v>Pass</v>
      </c>
      <c r="L494" s="15">
        <f t="shared" si="312"/>
        <v>0</v>
      </c>
      <c r="M494" s="15">
        <f t="shared" si="313"/>
        <v>0</v>
      </c>
      <c r="Z494" s="15">
        <f t="shared" si="314"/>
        <v>1</v>
      </c>
      <c r="AA494" s="15">
        <f t="shared" si="315"/>
        <v>1</v>
      </c>
      <c r="AB494" s="15">
        <f t="shared" si="316"/>
        <v>1</v>
      </c>
      <c r="AC494" s="15">
        <f t="shared" si="317"/>
        <v>1</v>
      </c>
      <c r="AD494" s="15">
        <f t="shared" si="318"/>
        <v>1</v>
      </c>
      <c r="AE494" s="15">
        <f t="shared" si="319"/>
        <v>1</v>
      </c>
      <c r="AF494" s="15">
        <f t="shared" si="320"/>
        <v>1</v>
      </c>
      <c r="AG494" s="15">
        <f t="shared" si="321"/>
        <v>1</v>
      </c>
      <c r="AH494" s="15">
        <f t="shared" si="322"/>
        <v>1</v>
      </c>
      <c r="AI494" s="15">
        <f t="shared" si="323"/>
        <v>1</v>
      </c>
      <c r="AJ494" s="15">
        <f t="shared" si="324"/>
        <v>1</v>
      </c>
      <c r="AK494" s="15">
        <f t="shared" si="325"/>
        <v>1</v>
      </c>
      <c r="AL494" s="15">
        <f t="shared" si="326"/>
        <v>1</v>
      </c>
      <c r="AM494" s="15">
        <f t="shared" si="327"/>
        <v>1</v>
      </c>
      <c r="AN494" s="15">
        <f t="shared" si="328"/>
        <v>1</v>
      </c>
      <c r="AO494" s="15">
        <f t="shared" si="329"/>
        <v>1</v>
      </c>
      <c r="AP494" s="15">
        <f t="shared" si="330"/>
        <v>1</v>
      </c>
      <c r="AQ494" s="15">
        <f t="shared" si="331"/>
        <v>1</v>
      </c>
      <c r="AR494" s="15">
        <f t="shared" si="332"/>
        <v>1</v>
      </c>
      <c r="AS494" s="15">
        <f t="shared" si="333"/>
        <v>1</v>
      </c>
      <c r="AT494" s="15">
        <f t="shared" si="334"/>
        <v>1</v>
      </c>
      <c r="AU494" s="15">
        <f t="shared" si="335"/>
        <v>1</v>
      </c>
      <c r="AV494" s="15">
        <f t="shared" si="336"/>
        <v>1</v>
      </c>
      <c r="AW494" s="15">
        <f t="shared" si="337"/>
        <v>1</v>
      </c>
      <c r="AX494" s="15">
        <f t="shared" si="338"/>
        <v>1</v>
      </c>
      <c r="AY494" s="15">
        <f t="shared" si="339"/>
        <v>1</v>
      </c>
      <c r="AZ494" s="15">
        <f t="shared" si="340"/>
        <v>1</v>
      </c>
      <c r="BA494" s="15">
        <f t="shared" si="341"/>
        <v>1</v>
      </c>
      <c r="BB494" s="15">
        <f t="shared" si="309"/>
        <v>0</v>
      </c>
      <c r="BC494" s="15" t="str">
        <f t="shared" si="310"/>
        <v/>
      </c>
      <c r="BD494" s="15" t="str">
        <f t="shared" si="311"/>
        <v/>
      </c>
      <c r="BE494" s="11" t="e">
        <f t="shared" si="342"/>
        <v>#VALUE!</v>
      </c>
      <c r="BF494" s="11" t="e">
        <f t="shared" si="343"/>
        <v>#VALUE!</v>
      </c>
      <c r="BG494" s="11" t="e">
        <f t="shared" si="344"/>
        <v>#VALUE!</v>
      </c>
      <c r="BH494" t="str">
        <f t="shared" si="345"/>
        <v/>
      </c>
      <c r="BI494" t="str" cm="1">
        <f t="array" ref="BI494">_xlfn.IFS(
  L494&gt;0,"Critical Fail",
  M494&gt;0,"Important (Coaching)",
  TRUE,"Clean Pass"
)</f>
        <v>Clean Pass</v>
      </c>
      <c r="BJ494" t="str">
        <f t="shared" si="346"/>
        <v>NA</v>
      </c>
    </row>
    <row r="495" spans="1:62" x14ac:dyDescent="0.3">
      <c r="A495">
        <v>348990</v>
      </c>
      <c r="K495" t="str">
        <f t="shared" si="308"/>
        <v>Pass</v>
      </c>
      <c r="L495" s="15">
        <f t="shared" si="312"/>
        <v>0</v>
      </c>
      <c r="M495" s="15">
        <f t="shared" si="313"/>
        <v>0</v>
      </c>
      <c r="Z495" s="15">
        <f t="shared" si="314"/>
        <v>1</v>
      </c>
      <c r="AA495" s="15">
        <f t="shared" si="315"/>
        <v>1</v>
      </c>
      <c r="AB495" s="15">
        <f t="shared" si="316"/>
        <v>1</v>
      </c>
      <c r="AC495" s="15">
        <f t="shared" si="317"/>
        <v>1</v>
      </c>
      <c r="AD495" s="15">
        <f t="shared" si="318"/>
        <v>1</v>
      </c>
      <c r="AE495" s="15">
        <f t="shared" si="319"/>
        <v>1</v>
      </c>
      <c r="AF495" s="15">
        <f t="shared" si="320"/>
        <v>1</v>
      </c>
      <c r="AG495" s="15">
        <f t="shared" si="321"/>
        <v>1</v>
      </c>
      <c r="AH495" s="15">
        <f t="shared" si="322"/>
        <v>1</v>
      </c>
      <c r="AI495" s="15">
        <f t="shared" si="323"/>
        <v>1</v>
      </c>
      <c r="AJ495" s="15">
        <f t="shared" si="324"/>
        <v>1</v>
      </c>
      <c r="AK495" s="15">
        <f t="shared" si="325"/>
        <v>1</v>
      </c>
      <c r="AL495" s="15">
        <f t="shared" si="326"/>
        <v>1</v>
      </c>
      <c r="AM495" s="15">
        <f t="shared" si="327"/>
        <v>1</v>
      </c>
      <c r="AN495" s="15">
        <f t="shared" si="328"/>
        <v>1</v>
      </c>
      <c r="AO495" s="15">
        <f t="shared" si="329"/>
        <v>1</v>
      </c>
      <c r="AP495" s="15">
        <f t="shared" si="330"/>
        <v>1</v>
      </c>
      <c r="AQ495" s="15">
        <f t="shared" si="331"/>
        <v>1</v>
      </c>
      <c r="AR495" s="15">
        <f t="shared" si="332"/>
        <v>1</v>
      </c>
      <c r="AS495" s="15">
        <f t="shared" si="333"/>
        <v>1</v>
      </c>
      <c r="AT495" s="15">
        <f t="shared" si="334"/>
        <v>1</v>
      </c>
      <c r="AU495" s="15">
        <f t="shared" si="335"/>
        <v>1</v>
      </c>
      <c r="AV495" s="15">
        <f t="shared" si="336"/>
        <v>1</v>
      </c>
      <c r="AW495" s="15">
        <f t="shared" si="337"/>
        <v>1</v>
      </c>
      <c r="AX495" s="15">
        <f t="shared" si="338"/>
        <v>1</v>
      </c>
      <c r="AY495" s="15">
        <f t="shared" si="339"/>
        <v>1</v>
      </c>
      <c r="AZ495" s="15">
        <f t="shared" si="340"/>
        <v>1</v>
      </c>
      <c r="BA495" s="15">
        <f t="shared" si="341"/>
        <v>1</v>
      </c>
      <c r="BB495" s="15">
        <f t="shared" si="309"/>
        <v>0</v>
      </c>
      <c r="BC495" s="15" t="str">
        <f t="shared" si="310"/>
        <v/>
      </c>
      <c r="BD495" s="15" t="str">
        <f t="shared" si="311"/>
        <v/>
      </c>
      <c r="BE495" s="11" t="e">
        <f t="shared" si="342"/>
        <v>#VALUE!</v>
      </c>
      <c r="BF495" s="11" t="e">
        <f t="shared" si="343"/>
        <v>#VALUE!</v>
      </c>
      <c r="BG495" s="11" t="e">
        <f t="shared" si="344"/>
        <v>#VALUE!</v>
      </c>
      <c r="BH495" t="str">
        <f t="shared" si="345"/>
        <v/>
      </c>
      <c r="BI495" t="str" cm="1">
        <f t="array" ref="BI495">_xlfn.IFS(
  L495&gt;0,"Critical Fail",
  M495&gt;0,"Important (Coaching)",
  TRUE,"Clean Pass"
)</f>
        <v>Clean Pass</v>
      </c>
      <c r="BJ495" t="str">
        <f t="shared" si="346"/>
        <v>NA</v>
      </c>
    </row>
    <row r="496" spans="1:62" x14ac:dyDescent="0.3">
      <c r="A496">
        <v>628238</v>
      </c>
      <c r="K496" t="str">
        <f t="shared" si="308"/>
        <v>Pass</v>
      </c>
      <c r="L496" s="15">
        <f t="shared" si="312"/>
        <v>0</v>
      </c>
      <c r="M496" s="15">
        <f t="shared" si="313"/>
        <v>0</v>
      </c>
      <c r="Z496" s="15">
        <f t="shared" si="314"/>
        <v>1</v>
      </c>
      <c r="AA496" s="15">
        <f t="shared" si="315"/>
        <v>1</v>
      </c>
      <c r="AB496" s="15">
        <f t="shared" si="316"/>
        <v>1</v>
      </c>
      <c r="AC496" s="15">
        <f t="shared" si="317"/>
        <v>1</v>
      </c>
      <c r="AD496" s="15">
        <f t="shared" si="318"/>
        <v>1</v>
      </c>
      <c r="AE496" s="15">
        <f t="shared" si="319"/>
        <v>1</v>
      </c>
      <c r="AF496" s="15">
        <f t="shared" si="320"/>
        <v>1</v>
      </c>
      <c r="AG496" s="15">
        <f t="shared" si="321"/>
        <v>1</v>
      </c>
      <c r="AH496" s="15">
        <f t="shared" si="322"/>
        <v>1</v>
      </c>
      <c r="AI496" s="15">
        <f t="shared" si="323"/>
        <v>1</v>
      </c>
      <c r="AJ496" s="15">
        <f t="shared" si="324"/>
        <v>1</v>
      </c>
      <c r="AK496" s="15">
        <f t="shared" si="325"/>
        <v>1</v>
      </c>
      <c r="AL496" s="15">
        <f t="shared" si="326"/>
        <v>1</v>
      </c>
      <c r="AM496" s="15">
        <f t="shared" si="327"/>
        <v>1</v>
      </c>
      <c r="AN496" s="15">
        <f t="shared" si="328"/>
        <v>1</v>
      </c>
      <c r="AO496" s="15">
        <f t="shared" si="329"/>
        <v>1</v>
      </c>
      <c r="AP496" s="15">
        <f t="shared" si="330"/>
        <v>1</v>
      </c>
      <c r="AQ496" s="15">
        <f t="shared" si="331"/>
        <v>1</v>
      </c>
      <c r="AR496" s="15">
        <f t="shared" si="332"/>
        <v>1</v>
      </c>
      <c r="AS496" s="15">
        <f t="shared" si="333"/>
        <v>1</v>
      </c>
      <c r="AT496" s="15">
        <f t="shared" si="334"/>
        <v>1</v>
      </c>
      <c r="AU496" s="15">
        <f t="shared" si="335"/>
        <v>1</v>
      </c>
      <c r="AV496" s="15">
        <f t="shared" si="336"/>
        <v>1</v>
      </c>
      <c r="AW496" s="15">
        <f t="shared" si="337"/>
        <v>1</v>
      </c>
      <c r="AX496" s="15">
        <f t="shared" si="338"/>
        <v>1</v>
      </c>
      <c r="AY496" s="15">
        <f t="shared" si="339"/>
        <v>1</v>
      </c>
      <c r="AZ496" s="15">
        <f t="shared" si="340"/>
        <v>1</v>
      </c>
      <c r="BA496" s="15">
        <f t="shared" si="341"/>
        <v>1</v>
      </c>
      <c r="BB496" s="15">
        <f t="shared" si="309"/>
        <v>0</v>
      </c>
      <c r="BC496" s="15" t="str">
        <f t="shared" si="310"/>
        <v/>
      </c>
      <c r="BD496" s="15" t="str">
        <f t="shared" si="311"/>
        <v/>
      </c>
      <c r="BE496" s="11" t="e">
        <f t="shared" si="342"/>
        <v>#VALUE!</v>
      </c>
      <c r="BF496" s="11" t="e">
        <f t="shared" si="343"/>
        <v>#VALUE!</v>
      </c>
      <c r="BG496" s="11" t="e">
        <f t="shared" si="344"/>
        <v>#VALUE!</v>
      </c>
      <c r="BH496" t="str">
        <f t="shared" si="345"/>
        <v/>
      </c>
      <c r="BI496" t="str" cm="1">
        <f t="array" ref="BI496">_xlfn.IFS(
  L496&gt;0,"Critical Fail",
  M496&gt;0,"Important (Coaching)",
  TRUE,"Clean Pass"
)</f>
        <v>Clean Pass</v>
      </c>
      <c r="BJ496" t="str">
        <f t="shared" si="346"/>
        <v>NA</v>
      </c>
    </row>
    <row r="497" spans="1:62" x14ac:dyDescent="0.3">
      <c r="A497">
        <v>465764</v>
      </c>
      <c r="K497" t="str">
        <f t="shared" si="308"/>
        <v>Pass</v>
      </c>
      <c r="L497" s="15">
        <f t="shared" si="312"/>
        <v>0</v>
      </c>
      <c r="M497" s="15">
        <f t="shared" si="313"/>
        <v>0</v>
      </c>
      <c r="Z497" s="15">
        <f t="shared" si="314"/>
        <v>1</v>
      </c>
      <c r="AA497" s="15">
        <f t="shared" si="315"/>
        <v>1</v>
      </c>
      <c r="AB497" s="15">
        <f t="shared" si="316"/>
        <v>1</v>
      </c>
      <c r="AC497" s="15">
        <f t="shared" si="317"/>
        <v>1</v>
      </c>
      <c r="AD497" s="15">
        <f t="shared" si="318"/>
        <v>1</v>
      </c>
      <c r="AE497" s="15">
        <f t="shared" si="319"/>
        <v>1</v>
      </c>
      <c r="AF497" s="15">
        <f t="shared" si="320"/>
        <v>1</v>
      </c>
      <c r="AG497" s="15">
        <f t="shared" si="321"/>
        <v>1</v>
      </c>
      <c r="AH497" s="15">
        <f t="shared" si="322"/>
        <v>1</v>
      </c>
      <c r="AI497" s="15">
        <f t="shared" si="323"/>
        <v>1</v>
      </c>
      <c r="AJ497" s="15">
        <f t="shared" si="324"/>
        <v>1</v>
      </c>
      <c r="AK497" s="15">
        <f t="shared" si="325"/>
        <v>1</v>
      </c>
      <c r="AL497" s="15">
        <f t="shared" si="326"/>
        <v>1</v>
      </c>
      <c r="AM497" s="15">
        <f t="shared" si="327"/>
        <v>1</v>
      </c>
      <c r="AN497" s="15">
        <f t="shared" si="328"/>
        <v>1</v>
      </c>
      <c r="AO497" s="15">
        <f t="shared" si="329"/>
        <v>1</v>
      </c>
      <c r="AP497" s="15">
        <f t="shared" si="330"/>
        <v>1</v>
      </c>
      <c r="AQ497" s="15">
        <f t="shared" si="331"/>
        <v>1</v>
      </c>
      <c r="AR497" s="15">
        <f t="shared" si="332"/>
        <v>1</v>
      </c>
      <c r="AS497" s="15">
        <f t="shared" si="333"/>
        <v>1</v>
      </c>
      <c r="AT497" s="15">
        <f t="shared" si="334"/>
        <v>1</v>
      </c>
      <c r="AU497" s="15">
        <f t="shared" si="335"/>
        <v>1</v>
      </c>
      <c r="AV497" s="15">
        <f t="shared" si="336"/>
        <v>1</v>
      </c>
      <c r="AW497" s="15">
        <f t="shared" si="337"/>
        <v>1</v>
      </c>
      <c r="AX497" s="15">
        <f t="shared" si="338"/>
        <v>1</v>
      </c>
      <c r="AY497" s="15">
        <f t="shared" si="339"/>
        <v>1</v>
      </c>
      <c r="AZ497" s="15">
        <f t="shared" si="340"/>
        <v>1</v>
      </c>
      <c r="BA497" s="15">
        <f t="shared" si="341"/>
        <v>1</v>
      </c>
      <c r="BB497" s="15">
        <f t="shared" si="309"/>
        <v>0</v>
      </c>
      <c r="BC497" s="15" t="str">
        <f t="shared" si="310"/>
        <v/>
      </c>
      <c r="BD497" s="15" t="str">
        <f t="shared" si="311"/>
        <v/>
      </c>
      <c r="BE497" s="11" t="e">
        <f t="shared" si="342"/>
        <v>#VALUE!</v>
      </c>
      <c r="BF497" s="11" t="e">
        <f t="shared" si="343"/>
        <v>#VALUE!</v>
      </c>
      <c r="BG497" s="11" t="e">
        <f t="shared" si="344"/>
        <v>#VALUE!</v>
      </c>
      <c r="BH497" t="str">
        <f t="shared" si="345"/>
        <v/>
      </c>
      <c r="BI497" t="str" cm="1">
        <f t="array" ref="BI497">_xlfn.IFS(
  L497&gt;0,"Critical Fail",
  M497&gt;0,"Important (Coaching)",
  TRUE,"Clean Pass"
)</f>
        <v>Clean Pass</v>
      </c>
      <c r="BJ497" t="str">
        <f t="shared" si="346"/>
        <v>NA</v>
      </c>
    </row>
    <row r="498" spans="1:62" x14ac:dyDescent="0.3">
      <c r="A498">
        <v>788939</v>
      </c>
      <c r="K498" t="str">
        <f t="shared" si="308"/>
        <v>Pass</v>
      </c>
      <c r="L498" s="15">
        <f t="shared" si="312"/>
        <v>0</v>
      </c>
      <c r="M498" s="15">
        <f t="shared" si="313"/>
        <v>0</v>
      </c>
      <c r="Z498" s="15">
        <f t="shared" si="314"/>
        <v>1</v>
      </c>
      <c r="AA498" s="15">
        <f t="shared" si="315"/>
        <v>1</v>
      </c>
      <c r="AB498" s="15">
        <f t="shared" si="316"/>
        <v>1</v>
      </c>
      <c r="AC498" s="15">
        <f t="shared" si="317"/>
        <v>1</v>
      </c>
      <c r="AD498" s="15">
        <f t="shared" si="318"/>
        <v>1</v>
      </c>
      <c r="AE498" s="15">
        <f t="shared" si="319"/>
        <v>1</v>
      </c>
      <c r="AF498" s="15">
        <f t="shared" si="320"/>
        <v>1</v>
      </c>
      <c r="AG498" s="15">
        <f t="shared" si="321"/>
        <v>1</v>
      </c>
      <c r="AH498" s="15">
        <f t="shared" si="322"/>
        <v>1</v>
      </c>
      <c r="AI498" s="15">
        <f t="shared" si="323"/>
        <v>1</v>
      </c>
      <c r="AJ498" s="15">
        <f t="shared" si="324"/>
        <v>1</v>
      </c>
      <c r="AK498" s="15">
        <f t="shared" si="325"/>
        <v>1</v>
      </c>
      <c r="AL498" s="15">
        <f t="shared" si="326"/>
        <v>1</v>
      </c>
      <c r="AM498" s="15">
        <f t="shared" si="327"/>
        <v>1</v>
      </c>
      <c r="AN498" s="15">
        <f t="shared" si="328"/>
        <v>1</v>
      </c>
      <c r="AO498" s="15">
        <f t="shared" si="329"/>
        <v>1</v>
      </c>
      <c r="AP498" s="15">
        <f t="shared" si="330"/>
        <v>1</v>
      </c>
      <c r="AQ498" s="15">
        <f t="shared" si="331"/>
        <v>1</v>
      </c>
      <c r="AR498" s="15">
        <f t="shared" si="332"/>
        <v>1</v>
      </c>
      <c r="AS498" s="15">
        <f t="shared" si="333"/>
        <v>1</v>
      </c>
      <c r="AT498" s="15">
        <f t="shared" si="334"/>
        <v>1</v>
      </c>
      <c r="AU498" s="15">
        <f t="shared" si="335"/>
        <v>1</v>
      </c>
      <c r="AV498" s="15">
        <f t="shared" si="336"/>
        <v>1</v>
      </c>
      <c r="AW498" s="15">
        <f t="shared" si="337"/>
        <v>1</v>
      </c>
      <c r="AX498" s="15">
        <f t="shared" si="338"/>
        <v>1</v>
      </c>
      <c r="AY498" s="15">
        <f t="shared" si="339"/>
        <v>1</v>
      </c>
      <c r="AZ498" s="15">
        <f t="shared" si="340"/>
        <v>1</v>
      </c>
      <c r="BA498" s="15">
        <f t="shared" si="341"/>
        <v>1</v>
      </c>
      <c r="BB498" s="15">
        <f t="shared" si="309"/>
        <v>0</v>
      </c>
      <c r="BC498" s="15" t="str">
        <f t="shared" si="310"/>
        <v/>
      </c>
      <c r="BD498" s="15" t="str">
        <f t="shared" si="311"/>
        <v/>
      </c>
      <c r="BE498" s="11" t="e">
        <f t="shared" si="342"/>
        <v>#VALUE!</v>
      </c>
      <c r="BF498" s="11" t="e">
        <f t="shared" si="343"/>
        <v>#VALUE!</v>
      </c>
      <c r="BG498" s="11" t="e">
        <f t="shared" si="344"/>
        <v>#VALUE!</v>
      </c>
      <c r="BH498" t="str">
        <f t="shared" si="345"/>
        <v/>
      </c>
      <c r="BI498" t="str" cm="1">
        <f t="array" ref="BI498">_xlfn.IFS(
  L498&gt;0,"Critical Fail",
  M498&gt;0,"Important (Coaching)",
  TRUE,"Clean Pass"
)</f>
        <v>Clean Pass</v>
      </c>
      <c r="BJ498" t="str">
        <f t="shared" si="346"/>
        <v>NA</v>
      </c>
    </row>
    <row r="499" spans="1:62" x14ac:dyDescent="0.3">
      <c r="A499">
        <v>525519</v>
      </c>
      <c r="K499" t="str">
        <f t="shared" si="308"/>
        <v>Pass</v>
      </c>
      <c r="L499" s="15">
        <f t="shared" si="312"/>
        <v>0</v>
      </c>
      <c r="M499" s="15">
        <f t="shared" si="313"/>
        <v>0</v>
      </c>
      <c r="Z499" s="15">
        <f t="shared" si="314"/>
        <v>1</v>
      </c>
      <c r="AA499" s="15">
        <f t="shared" si="315"/>
        <v>1</v>
      </c>
      <c r="AB499" s="15">
        <f t="shared" si="316"/>
        <v>1</v>
      </c>
      <c r="AC499" s="15">
        <f t="shared" si="317"/>
        <v>1</v>
      </c>
      <c r="AD499" s="15">
        <f t="shared" si="318"/>
        <v>1</v>
      </c>
      <c r="AE499" s="15">
        <f t="shared" si="319"/>
        <v>1</v>
      </c>
      <c r="AF499" s="15">
        <f t="shared" si="320"/>
        <v>1</v>
      </c>
      <c r="AG499" s="15">
        <f t="shared" si="321"/>
        <v>1</v>
      </c>
      <c r="AH499" s="15">
        <f t="shared" si="322"/>
        <v>1</v>
      </c>
      <c r="AI499" s="15">
        <f t="shared" si="323"/>
        <v>1</v>
      </c>
      <c r="AJ499" s="15">
        <f t="shared" si="324"/>
        <v>1</v>
      </c>
      <c r="AK499" s="15">
        <f t="shared" si="325"/>
        <v>1</v>
      </c>
      <c r="AL499" s="15">
        <f t="shared" si="326"/>
        <v>1</v>
      </c>
      <c r="AM499" s="15">
        <f t="shared" si="327"/>
        <v>1</v>
      </c>
      <c r="AN499" s="15">
        <f t="shared" si="328"/>
        <v>1</v>
      </c>
      <c r="AO499" s="15">
        <f t="shared" si="329"/>
        <v>1</v>
      </c>
      <c r="AP499" s="15">
        <f t="shared" si="330"/>
        <v>1</v>
      </c>
      <c r="AQ499" s="15">
        <f t="shared" si="331"/>
        <v>1</v>
      </c>
      <c r="AR499" s="15">
        <f t="shared" si="332"/>
        <v>1</v>
      </c>
      <c r="AS499" s="15">
        <f t="shared" si="333"/>
        <v>1</v>
      </c>
      <c r="AT499" s="15">
        <f t="shared" si="334"/>
        <v>1</v>
      </c>
      <c r="AU499" s="15">
        <f t="shared" si="335"/>
        <v>1</v>
      </c>
      <c r="AV499" s="15">
        <f t="shared" si="336"/>
        <v>1</v>
      </c>
      <c r="AW499" s="15">
        <f t="shared" si="337"/>
        <v>1</v>
      </c>
      <c r="AX499" s="15">
        <f t="shared" si="338"/>
        <v>1</v>
      </c>
      <c r="AY499" s="15">
        <f t="shared" si="339"/>
        <v>1</v>
      </c>
      <c r="AZ499" s="15">
        <f t="shared" si="340"/>
        <v>1</v>
      </c>
      <c r="BA499" s="15">
        <f t="shared" si="341"/>
        <v>1</v>
      </c>
      <c r="BB499" s="15">
        <f t="shared" si="309"/>
        <v>0</v>
      </c>
      <c r="BC499" s="15" t="str">
        <f t="shared" si="310"/>
        <v/>
      </c>
      <c r="BD499" s="15" t="str">
        <f t="shared" si="311"/>
        <v/>
      </c>
      <c r="BE499" s="11" t="e">
        <f t="shared" si="342"/>
        <v>#VALUE!</v>
      </c>
      <c r="BF499" s="11" t="e">
        <f t="shared" si="343"/>
        <v>#VALUE!</v>
      </c>
      <c r="BG499" s="11" t="e">
        <f t="shared" si="344"/>
        <v>#VALUE!</v>
      </c>
      <c r="BH499" t="str">
        <f t="shared" si="345"/>
        <v/>
      </c>
      <c r="BI499" t="str" cm="1">
        <f t="array" ref="BI499">_xlfn.IFS(
  L499&gt;0,"Critical Fail",
  M499&gt;0,"Important (Coaching)",
  TRUE,"Clean Pass"
)</f>
        <v>Clean Pass</v>
      </c>
      <c r="BJ499" t="str">
        <f t="shared" si="346"/>
        <v>NA</v>
      </c>
    </row>
    <row r="500" spans="1:62" x14ac:dyDescent="0.3">
      <c r="A500">
        <v>465595</v>
      </c>
      <c r="K500" t="str">
        <f t="shared" si="308"/>
        <v>Pass</v>
      </c>
      <c r="L500" s="15">
        <f t="shared" si="312"/>
        <v>0</v>
      </c>
      <c r="M500" s="15">
        <f t="shared" si="313"/>
        <v>0</v>
      </c>
      <c r="Z500" s="15">
        <f t="shared" si="314"/>
        <v>1</v>
      </c>
      <c r="AA500" s="15">
        <f t="shared" si="315"/>
        <v>1</v>
      </c>
      <c r="AB500" s="15">
        <f t="shared" si="316"/>
        <v>1</v>
      </c>
      <c r="AC500" s="15">
        <f t="shared" si="317"/>
        <v>1</v>
      </c>
      <c r="AD500" s="15">
        <f t="shared" si="318"/>
        <v>1</v>
      </c>
      <c r="AE500" s="15">
        <f t="shared" si="319"/>
        <v>1</v>
      </c>
      <c r="AF500" s="15">
        <f t="shared" si="320"/>
        <v>1</v>
      </c>
      <c r="AG500" s="15">
        <f t="shared" si="321"/>
        <v>1</v>
      </c>
      <c r="AH500" s="15">
        <f t="shared" si="322"/>
        <v>1</v>
      </c>
      <c r="AI500" s="15">
        <f t="shared" si="323"/>
        <v>1</v>
      </c>
      <c r="AJ500" s="15">
        <f t="shared" si="324"/>
        <v>1</v>
      </c>
      <c r="AK500" s="15">
        <f t="shared" si="325"/>
        <v>1</v>
      </c>
      <c r="AL500" s="15">
        <f t="shared" si="326"/>
        <v>1</v>
      </c>
      <c r="AM500" s="15">
        <f t="shared" si="327"/>
        <v>1</v>
      </c>
      <c r="AN500" s="15">
        <f t="shared" si="328"/>
        <v>1</v>
      </c>
      <c r="AO500" s="15">
        <f t="shared" si="329"/>
        <v>1</v>
      </c>
      <c r="AP500" s="15">
        <f t="shared" si="330"/>
        <v>1</v>
      </c>
      <c r="AQ500" s="15">
        <f t="shared" si="331"/>
        <v>1</v>
      </c>
      <c r="AR500" s="15">
        <f t="shared" si="332"/>
        <v>1</v>
      </c>
      <c r="AS500" s="15">
        <f t="shared" si="333"/>
        <v>1</v>
      </c>
      <c r="AT500" s="15">
        <f t="shared" si="334"/>
        <v>1</v>
      </c>
      <c r="AU500" s="15">
        <f t="shared" si="335"/>
        <v>1</v>
      </c>
      <c r="AV500" s="15">
        <f t="shared" si="336"/>
        <v>1</v>
      </c>
      <c r="AW500" s="15">
        <f t="shared" si="337"/>
        <v>1</v>
      </c>
      <c r="AX500" s="15">
        <f t="shared" si="338"/>
        <v>1</v>
      </c>
      <c r="AY500" s="15">
        <f t="shared" si="339"/>
        <v>1</v>
      </c>
      <c r="AZ500" s="15">
        <f t="shared" si="340"/>
        <v>1</v>
      </c>
      <c r="BA500" s="15">
        <f t="shared" si="341"/>
        <v>1</v>
      </c>
      <c r="BB500" s="15">
        <f t="shared" si="309"/>
        <v>0</v>
      </c>
      <c r="BC500" s="15" t="str">
        <f t="shared" si="310"/>
        <v/>
      </c>
      <c r="BD500" s="15" t="str">
        <f t="shared" si="311"/>
        <v/>
      </c>
      <c r="BE500" s="11" t="e">
        <f t="shared" si="342"/>
        <v>#VALUE!</v>
      </c>
      <c r="BF500" s="11" t="e">
        <f t="shared" si="343"/>
        <v>#VALUE!</v>
      </c>
      <c r="BG500" s="11" t="e">
        <f t="shared" si="344"/>
        <v>#VALUE!</v>
      </c>
      <c r="BH500" t="str">
        <f t="shared" si="345"/>
        <v/>
      </c>
      <c r="BI500" t="str" cm="1">
        <f t="array" ref="BI500">_xlfn.IFS(
  L500&gt;0,"Critical Fail",
  M500&gt;0,"Important (Coaching)",
  TRUE,"Clean Pass"
)</f>
        <v>Clean Pass</v>
      </c>
      <c r="BJ500" t="str">
        <f t="shared" si="346"/>
        <v>NA</v>
      </c>
    </row>
    <row r="501" spans="1:62" x14ac:dyDescent="0.3">
      <c r="A501">
        <v>240854</v>
      </c>
      <c r="K501" t="str">
        <f t="shared" si="308"/>
        <v>Pass</v>
      </c>
      <c r="L501" s="15">
        <f t="shared" si="312"/>
        <v>0</v>
      </c>
      <c r="M501" s="15">
        <f t="shared" si="313"/>
        <v>0</v>
      </c>
      <c r="Z501" s="15">
        <f t="shared" si="314"/>
        <v>1</v>
      </c>
      <c r="AA501" s="15">
        <f t="shared" si="315"/>
        <v>1</v>
      </c>
      <c r="AB501" s="15">
        <f t="shared" si="316"/>
        <v>1</v>
      </c>
      <c r="AC501" s="15">
        <f t="shared" si="317"/>
        <v>1</v>
      </c>
      <c r="AD501" s="15">
        <f t="shared" si="318"/>
        <v>1</v>
      </c>
      <c r="AE501" s="15">
        <f t="shared" si="319"/>
        <v>1</v>
      </c>
      <c r="AF501" s="15">
        <f t="shared" si="320"/>
        <v>1</v>
      </c>
      <c r="AG501" s="15">
        <f t="shared" si="321"/>
        <v>1</v>
      </c>
      <c r="AH501" s="15">
        <f t="shared" si="322"/>
        <v>1</v>
      </c>
      <c r="AI501" s="15">
        <f t="shared" si="323"/>
        <v>1</v>
      </c>
      <c r="AJ501" s="15">
        <f t="shared" si="324"/>
        <v>1</v>
      </c>
      <c r="AK501" s="15">
        <f t="shared" si="325"/>
        <v>1</v>
      </c>
      <c r="AL501" s="15">
        <f t="shared" si="326"/>
        <v>1</v>
      </c>
      <c r="AM501" s="15">
        <f t="shared" si="327"/>
        <v>1</v>
      </c>
      <c r="AN501" s="15">
        <f t="shared" si="328"/>
        <v>1</v>
      </c>
      <c r="AO501" s="15">
        <f t="shared" si="329"/>
        <v>1</v>
      </c>
      <c r="AP501" s="15">
        <f t="shared" si="330"/>
        <v>1</v>
      </c>
      <c r="AQ501" s="15">
        <f t="shared" si="331"/>
        <v>1</v>
      </c>
      <c r="AR501" s="15">
        <f t="shared" si="332"/>
        <v>1</v>
      </c>
      <c r="AS501" s="15">
        <f t="shared" si="333"/>
        <v>1</v>
      </c>
      <c r="AT501" s="15">
        <f t="shared" si="334"/>
        <v>1</v>
      </c>
      <c r="AU501" s="15">
        <f t="shared" si="335"/>
        <v>1</v>
      </c>
      <c r="AV501" s="15">
        <f t="shared" si="336"/>
        <v>1</v>
      </c>
      <c r="AW501" s="15">
        <f t="shared" si="337"/>
        <v>1</v>
      </c>
      <c r="AX501" s="15">
        <f t="shared" si="338"/>
        <v>1</v>
      </c>
      <c r="AY501" s="15">
        <f t="shared" si="339"/>
        <v>1</v>
      </c>
      <c r="AZ501" s="15">
        <f t="shared" si="340"/>
        <v>1</v>
      </c>
      <c r="BA501" s="15">
        <f t="shared" si="341"/>
        <v>1</v>
      </c>
      <c r="BB501" s="15">
        <f t="shared" si="309"/>
        <v>0</v>
      </c>
      <c r="BC501" s="15" t="str">
        <f t="shared" si="310"/>
        <v/>
      </c>
      <c r="BD501" s="15" t="str">
        <f t="shared" si="311"/>
        <v/>
      </c>
      <c r="BE501" s="11" t="e">
        <f t="shared" si="342"/>
        <v>#VALUE!</v>
      </c>
      <c r="BF501" s="11" t="e">
        <f t="shared" si="343"/>
        <v>#VALUE!</v>
      </c>
      <c r="BG501" s="11" t="e">
        <f t="shared" si="344"/>
        <v>#VALUE!</v>
      </c>
      <c r="BH501" t="str">
        <f t="shared" si="345"/>
        <v/>
      </c>
      <c r="BI501" t="str" cm="1">
        <f t="array" ref="BI501">_xlfn.IFS(
  L501&gt;0,"Critical Fail",
  M501&gt;0,"Important (Coaching)",
  TRUE,"Clean Pass"
)</f>
        <v>Clean Pass</v>
      </c>
      <c r="BJ501" t="str">
        <f t="shared" si="346"/>
        <v>NA</v>
      </c>
    </row>
    <row r="502" spans="1:62" x14ac:dyDescent="0.3">
      <c r="A502">
        <v>683865</v>
      </c>
      <c r="K502" t="str">
        <f t="shared" si="308"/>
        <v>Pass</v>
      </c>
      <c r="L502" s="15">
        <f t="shared" si="312"/>
        <v>0</v>
      </c>
      <c r="M502" s="15">
        <f t="shared" si="313"/>
        <v>0</v>
      </c>
      <c r="Z502" s="15">
        <f t="shared" si="314"/>
        <v>1</v>
      </c>
      <c r="AA502" s="15">
        <f t="shared" si="315"/>
        <v>1</v>
      </c>
      <c r="AB502" s="15">
        <f t="shared" si="316"/>
        <v>1</v>
      </c>
      <c r="AC502" s="15">
        <f t="shared" si="317"/>
        <v>1</v>
      </c>
      <c r="AD502" s="15">
        <f t="shared" si="318"/>
        <v>1</v>
      </c>
      <c r="AE502" s="15">
        <f t="shared" si="319"/>
        <v>1</v>
      </c>
      <c r="AF502" s="15">
        <f t="shared" si="320"/>
        <v>1</v>
      </c>
      <c r="AG502" s="15">
        <f t="shared" si="321"/>
        <v>1</v>
      </c>
      <c r="AH502" s="15">
        <f t="shared" si="322"/>
        <v>1</v>
      </c>
      <c r="AI502" s="15">
        <f t="shared" si="323"/>
        <v>1</v>
      </c>
      <c r="AJ502" s="15">
        <f t="shared" si="324"/>
        <v>1</v>
      </c>
      <c r="AK502" s="15">
        <f t="shared" si="325"/>
        <v>1</v>
      </c>
      <c r="AL502" s="15">
        <f t="shared" si="326"/>
        <v>1</v>
      </c>
      <c r="AM502" s="15">
        <f t="shared" si="327"/>
        <v>1</v>
      </c>
      <c r="AN502" s="15">
        <f t="shared" si="328"/>
        <v>1</v>
      </c>
      <c r="AO502" s="15">
        <f t="shared" si="329"/>
        <v>1</v>
      </c>
      <c r="AP502" s="15">
        <f t="shared" si="330"/>
        <v>1</v>
      </c>
      <c r="AQ502" s="15">
        <f t="shared" si="331"/>
        <v>1</v>
      </c>
      <c r="AR502" s="15">
        <f t="shared" si="332"/>
        <v>1</v>
      </c>
      <c r="AS502" s="15">
        <f t="shared" si="333"/>
        <v>1</v>
      </c>
      <c r="AT502" s="15">
        <f t="shared" si="334"/>
        <v>1</v>
      </c>
      <c r="AU502" s="15">
        <f t="shared" si="335"/>
        <v>1</v>
      </c>
      <c r="AV502" s="15">
        <f t="shared" si="336"/>
        <v>1</v>
      </c>
      <c r="AW502" s="15">
        <f t="shared" si="337"/>
        <v>1</v>
      </c>
      <c r="AX502" s="15">
        <f t="shared" si="338"/>
        <v>1</v>
      </c>
      <c r="AY502" s="15">
        <f t="shared" si="339"/>
        <v>1</v>
      </c>
      <c r="AZ502" s="15">
        <f t="shared" si="340"/>
        <v>1</v>
      </c>
      <c r="BA502" s="15">
        <f t="shared" si="341"/>
        <v>1</v>
      </c>
      <c r="BB502" s="15">
        <f t="shared" si="309"/>
        <v>0</v>
      </c>
      <c r="BC502" s="15" t="str">
        <f t="shared" si="310"/>
        <v/>
      </c>
      <c r="BD502" s="15" t="str">
        <f t="shared" si="311"/>
        <v/>
      </c>
      <c r="BE502" s="11" t="e">
        <f t="shared" si="342"/>
        <v>#VALUE!</v>
      </c>
      <c r="BF502" s="11" t="e">
        <f t="shared" si="343"/>
        <v>#VALUE!</v>
      </c>
      <c r="BG502" s="11" t="e">
        <f t="shared" si="344"/>
        <v>#VALUE!</v>
      </c>
      <c r="BH502" t="str">
        <f t="shared" si="345"/>
        <v/>
      </c>
      <c r="BI502" t="str" cm="1">
        <f t="array" ref="BI502">_xlfn.IFS(
  L502&gt;0,"Critical Fail",
  M502&gt;0,"Important (Coaching)",
  TRUE,"Clean Pass"
)</f>
        <v>Clean Pass</v>
      </c>
      <c r="BJ502" t="str">
        <f t="shared" si="346"/>
        <v>NA</v>
      </c>
    </row>
    <row r="503" spans="1:62" x14ac:dyDescent="0.3">
      <c r="A503">
        <v>657936</v>
      </c>
      <c r="K503" t="str">
        <f t="shared" si="308"/>
        <v>Pass</v>
      </c>
      <c r="L503" s="15">
        <f t="shared" si="312"/>
        <v>0</v>
      </c>
      <c r="M503" s="15">
        <f t="shared" si="313"/>
        <v>0</v>
      </c>
      <c r="Z503" s="15">
        <f t="shared" si="314"/>
        <v>1</v>
      </c>
      <c r="AA503" s="15">
        <f t="shared" si="315"/>
        <v>1</v>
      </c>
      <c r="AB503" s="15">
        <f t="shared" si="316"/>
        <v>1</v>
      </c>
      <c r="AC503" s="15">
        <f t="shared" si="317"/>
        <v>1</v>
      </c>
      <c r="AD503" s="15">
        <f t="shared" si="318"/>
        <v>1</v>
      </c>
      <c r="AE503" s="15">
        <f t="shared" si="319"/>
        <v>1</v>
      </c>
      <c r="AF503" s="15">
        <f t="shared" si="320"/>
        <v>1</v>
      </c>
      <c r="AG503" s="15">
        <f t="shared" si="321"/>
        <v>1</v>
      </c>
      <c r="AH503" s="15">
        <f t="shared" si="322"/>
        <v>1</v>
      </c>
      <c r="AI503" s="15">
        <f t="shared" si="323"/>
        <v>1</v>
      </c>
      <c r="AJ503" s="15">
        <f t="shared" si="324"/>
        <v>1</v>
      </c>
      <c r="AK503" s="15">
        <f t="shared" si="325"/>
        <v>1</v>
      </c>
      <c r="AL503" s="15">
        <f t="shared" si="326"/>
        <v>1</v>
      </c>
      <c r="AM503" s="15">
        <f t="shared" si="327"/>
        <v>1</v>
      </c>
      <c r="AN503" s="15">
        <f t="shared" si="328"/>
        <v>1</v>
      </c>
      <c r="AO503" s="15">
        <f t="shared" si="329"/>
        <v>1</v>
      </c>
      <c r="AP503" s="15">
        <f t="shared" si="330"/>
        <v>1</v>
      </c>
      <c r="AQ503" s="15">
        <f t="shared" si="331"/>
        <v>1</v>
      </c>
      <c r="AR503" s="15">
        <f t="shared" si="332"/>
        <v>1</v>
      </c>
      <c r="AS503" s="15">
        <f t="shared" si="333"/>
        <v>1</v>
      </c>
      <c r="AT503" s="15">
        <f t="shared" si="334"/>
        <v>1</v>
      </c>
      <c r="AU503" s="15">
        <f t="shared" si="335"/>
        <v>1</v>
      </c>
      <c r="AV503" s="15">
        <f t="shared" si="336"/>
        <v>1</v>
      </c>
      <c r="AW503" s="15">
        <f t="shared" si="337"/>
        <v>1</v>
      </c>
      <c r="AX503" s="15">
        <f t="shared" si="338"/>
        <v>1</v>
      </c>
      <c r="AY503" s="15">
        <f t="shared" si="339"/>
        <v>1</v>
      </c>
      <c r="AZ503" s="15">
        <f t="shared" si="340"/>
        <v>1</v>
      </c>
      <c r="BA503" s="15">
        <f t="shared" si="341"/>
        <v>1</v>
      </c>
      <c r="BB503" s="15">
        <f t="shared" si="309"/>
        <v>0</v>
      </c>
      <c r="BC503" s="15" t="str">
        <f t="shared" si="310"/>
        <v/>
      </c>
      <c r="BD503" s="15" t="str">
        <f t="shared" si="311"/>
        <v/>
      </c>
      <c r="BE503" s="11" t="e">
        <f t="shared" si="342"/>
        <v>#VALUE!</v>
      </c>
      <c r="BF503" s="11" t="e">
        <f t="shared" si="343"/>
        <v>#VALUE!</v>
      </c>
      <c r="BG503" s="11" t="e">
        <f t="shared" si="344"/>
        <v>#VALUE!</v>
      </c>
      <c r="BH503" t="str">
        <f t="shared" si="345"/>
        <v/>
      </c>
      <c r="BI503" t="str" cm="1">
        <f t="array" ref="BI503">_xlfn.IFS(
  L503&gt;0,"Critical Fail",
  M503&gt;0,"Important (Coaching)",
  TRUE,"Clean Pass"
)</f>
        <v>Clean Pass</v>
      </c>
      <c r="BJ503" t="str">
        <f t="shared" si="346"/>
        <v>NA</v>
      </c>
    </row>
    <row r="504" spans="1:62" x14ac:dyDescent="0.3">
      <c r="A504">
        <v>826083</v>
      </c>
      <c r="K504" t="str">
        <f t="shared" si="308"/>
        <v>Pass</v>
      </c>
      <c r="L504" s="15">
        <f t="shared" si="312"/>
        <v>0</v>
      </c>
      <c r="M504" s="15">
        <f t="shared" si="313"/>
        <v>0</v>
      </c>
      <c r="Z504" s="15">
        <f t="shared" si="314"/>
        <v>1</v>
      </c>
      <c r="AA504" s="15">
        <f t="shared" si="315"/>
        <v>1</v>
      </c>
      <c r="AB504" s="15">
        <f t="shared" si="316"/>
        <v>1</v>
      </c>
      <c r="AC504" s="15">
        <f t="shared" si="317"/>
        <v>1</v>
      </c>
      <c r="AD504" s="15">
        <f t="shared" si="318"/>
        <v>1</v>
      </c>
      <c r="AE504" s="15">
        <f t="shared" si="319"/>
        <v>1</v>
      </c>
      <c r="AF504" s="15">
        <f t="shared" si="320"/>
        <v>1</v>
      </c>
      <c r="AG504" s="15">
        <f t="shared" si="321"/>
        <v>1</v>
      </c>
      <c r="AH504" s="15">
        <f t="shared" si="322"/>
        <v>1</v>
      </c>
      <c r="AI504" s="15">
        <f t="shared" si="323"/>
        <v>1</v>
      </c>
      <c r="AJ504" s="15">
        <f t="shared" si="324"/>
        <v>1</v>
      </c>
      <c r="AK504" s="15">
        <f t="shared" si="325"/>
        <v>1</v>
      </c>
      <c r="AL504" s="15">
        <f t="shared" si="326"/>
        <v>1</v>
      </c>
      <c r="AM504" s="15">
        <f t="shared" si="327"/>
        <v>1</v>
      </c>
      <c r="AN504" s="15">
        <f t="shared" si="328"/>
        <v>1</v>
      </c>
      <c r="AO504" s="15">
        <f t="shared" si="329"/>
        <v>1</v>
      </c>
      <c r="AP504" s="15">
        <f t="shared" si="330"/>
        <v>1</v>
      </c>
      <c r="AQ504" s="15">
        <f t="shared" si="331"/>
        <v>1</v>
      </c>
      <c r="AR504" s="15">
        <f t="shared" si="332"/>
        <v>1</v>
      </c>
      <c r="AS504" s="15">
        <f t="shared" si="333"/>
        <v>1</v>
      </c>
      <c r="AT504" s="15">
        <f t="shared" si="334"/>
        <v>1</v>
      </c>
      <c r="AU504" s="15">
        <f t="shared" si="335"/>
        <v>1</v>
      </c>
      <c r="AV504" s="15">
        <f t="shared" si="336"/>
        <v>1</v>
      </c>
      <c r="AW504" s="15">
        <f t="shared" si="337"/>
        <v>1</v>
      </c>
      <c r="AX504" s="15">
        <f t="shared" si="338"/>
        <v>1</v>
      </c>
      <c r="AY504" s="15">
        <f t="shared" si="339"/>
        <v>1</v>
      </c>
      <c r="AZ504" s="15">
        <f t="shared" si="340"/>
        <v>1</v>
      </c>
      <c r="BA504" s="15">
        <f t="shared" si="341"/>
        <v>1</v>
      </c>
      <c r="BB504" s="15">
        <f t="shared" si="309"/>
        <v>0</v>
      </c>
      <c r="BC504" s="15" t="str">
        <f t="shared" si="310"/>
        <v/>
      </c>
      <c r="BD504" s="15" t="str">
        <f t="shared" si="311"/>
        <v/>
      </c>
      <c r="BE504" s="11" t="e">
        <f t="shared" si="342"/>
        <v>#VALUE!</v>
      </c>
      <c r="BF504" s="11" t="e">
        <f t="shared" si="343"/>
        <v>#VALUE!</v>
      </c>
      <c r="BG504" s="11" t="e">
        <f t="shared" si="344"/>
        <v>#VALUE!</v>
      </c>
      <c r="BH504" t="str">
        <f t="shared" si="345"/>
        <v/>
      </c>
      <c r="BI504" t="str" cm="1">
        <f t="array" ref="BI504">_xlfn.IFS(
  L504&gt;0,"Critical Fail",
  M504&gt;0,"Important (Coaching)",
  TRUE,"Clean Pass"
)</f>
        <v>Clean Pass</v>
      </c>
      <c r="BJ504" t="str">
        <f t="shared" si="346"/>
        <v>NA</v>
      </c>
    </row>
    <row r="505" spans="1:62" x14ac:dyDescent="0.3">
      <c r="A505">
        <v>494960</v>
      </c>
      <c r="K505" t="str">
        <f t="shared" si="308"/>
        <v>Pass</v>
      </c>
      <c r="L505" s="15">
        <f t="shared" si="312"/>
        <v>0</v>
      </c>
      <c r="M505" s="15">
        <f t="shared" si="313"/>
        <v>0</v>
      </c>
      <c r="Z505" s="15">
        <f t="shared" si="314"/>
        <v>1</v>
      </c>
      <c r="AA505" s="15">
        <f t="shared" si="315"/>
        <v>1</v>
      </c>
      <c r="AB505" s="15">
        <f t="shared" si="316"/>
        <v>1</v>
      </c>
      <c r="AC505" s="15">
        <f t="shared" si="317"/>
        <v>1</v>
      </c>
      <c r="AD505" s="15">
        <f t="shared" si="318"/>
        <v>1</v>
      </c>
      <c r="AE505" s="15">
        <f t="shared" si="319"/>
        <v>1</v>
      </c>
      <c r="AF505" s="15">
        <f t="shared" si="320"/>
        <v>1</v>
      </c>
      <c r="AG505" s="15">
        <f t="shared" si="321"/>
        <v>1</v>
      </c>
      <c r="AH505" s="15">
        <f t="shared" si="322"/>
        <v>1</v>
      </c>
      <c r="AI505" s="15">
        <f t="shared" si="323"/>
        <v>1</v>
      </c>
      <c r="AJ505" s="15">
        <f t="shared" si="324"/>
        <v>1</v>
      </c>
      <c r="AK505" s="15">
        <f t="shared" si="325"/>
        <v>1</v>
      </c>
      <c r="AL505" s="15">
        <f t="shared" si="326"/>
        <v>1</v>
      </c>
      <c r="AM505" s="15">
        <f t="shared" si="327"/>
        <v>1</v>
      </c>
      <c r="AN505" s="15">
        <f t="shared" si="328"/>
        <v>1</v>
      </c>
      <c r="AO505" s="15">
        <f t="shared" si="329"/>
        <v>1</v>
      </c>
      <c r="AP505" s="15">
        <f t="shared" si="330"/>
        <v>1</v>
      </c>
      <c r="AQ505" s="15">
        <f t="shared" si="331"/>
        <v>1</v>
      </c>
      <c r="AR505" s="15">
        <f t="shared" si="332"/>
        <v>1</v>
      </c>
      <c r="AS505" s="15">
        <f t="shared" si="333"/>
        <v>1</v>
      </c>
      <c r="AT505" s="15">
        <f t="shared" si="334"/>
        <v>1</v>
      </c>
      <c r="AU505" s="15">
        <f t="shared" si="335"/>
        <v>1</v>
      </c>
      <c r="AV505" s="15">
        <f t="shared" si="336"/>
        <v>1</v>
      </c>
      <c r="AW505" s="15">
        <f t="shared" si="337"/>
        <v>1</v>
      </c>
      <c r="AX505" s="15">
        <f t="shared" si="338"/>
        <v>1</v>
      </c>
      <c r="AY505" s="15">
        <f t="shared" si="339"/>
        <v>1</v>
      </c>
      <c r="AZ505" s="15">
        <f t="shared" si="340"/>
        <v>1</v>
      </c>
      <c r="BA505" s="15">
        <f t="shared" si="341"/>
        <v>1</v>
      </c>
      <c r="BB505" s="15">
        <f t="shared" si="309"/>
        <v>0</v>
      </c>
      <c r="BC505" s="15" t="str">
        <f t="shared" si="310"/>
        <v/>
      </c>
      <c r="BD505" s="15" t="str">
        <f t="shared" si="311"/>
        <v/>
      </c>
      <c r="BE505" s="11" t="e">
        <f t="shared" si="342"/>
        <v>#VALUE!</v>
      </c>
      <c r="BF505" s="11" t="e">
        <f t="shared" si="343"/>
        <v>#VALUE!</v>
      </c>
      <c r="BG505" s="11" t="e">
        <f t="shared" si="344"/>
        <v>#VALUE!</v>
      </c>
      <c r="BH505" t="str">
        <f t="shared" si="345"/>
        <v/>
      </c>
      <c r="BI505" t="str" cm="1">
        <f t="array" ref="BI505">_xlfn.IFS(
  L505&gt;0,"Critical Fail",
  M505&gt;0,"Important (Coaching)",
  TRUE,"Clean Pass"
)</f>
        <v>Clean Pass</v>
      </c>
      <c r="BJ505" t="str">
        <f t="shared" si="346"/>
        <v>NA</v>
      </c>
    </row>
    <row r="506" spans="1:62" x14ac:dyDescent="0.3">
      <c r="A506">
        <v>277237</v>
      </c>
      <c r="K506" t="str">
        <f t="shared" si="308"/>
        <v>Pass</v>
      </c>
      <c r="L506" s="15">
        <f t="shared" si="312"/>
        <v>0</v>
      </c>
      <c r="M506" s="15">
        <f t="shared" si="313"/>
        <v>0</v>
      </c>
      <c r="Z506" s="15">
        <f t="shared" si="314"/>
        <v>1</v>
      </c>
      <c r="AA506" s="15">
        <f t="shared" si="315"/>
        <v>1</v>
      </c>
      <c r="AB506" s="15">
        <f t="shared" si="316"/>
        <v>1</v>
      </c>
      <c r="AC506" s="15">
        <f t="shared" si="317"/>
        <v>1</v>
      </c>
      <c r="AD506" s="15">
        <f t="shared" si="318"/>
        <v>1</v>
      </c>
      <c r="AE506" s="15">
        <f t="shared" si="319"/>
        <v>1</v>
      </c>
      <c r="AF506" s="15">
        <f t="shared" si="320"/>
        <v>1</v>
      </c>
      <c r="AG506" s="15">
        <f t="shared" si="321"/>
        <v>1</v>
      </c>
      <c r="AH506" s="15">
        <f t="shared" si="322"/>
        <v>1</v>
      </c>
      <c r="AI506" s="15">
        <f t="shared" si="323"/>
        <v>1</v>
      </c>
      <c r="AJ506" s="15">
        <f t="shared" si="324"/>
        <v>1</v>
      </c>
      <c r="AK506" s="15">
        <f t="shared" si="325"/>
        <v>1</v>
      </c>
      <c r="AL506" s="15">
        <f t="shared" si="326"/>
        <v>1</v>
      </c>
      <c r="AM506" s="15">
        <f t="shared" si="327"/>
        <v>1</v>
      </c>
      <c r="AN506" s="15">
        <f t="shared" si="328"/>
        <v>1</v>
      </c>
      <c r="AO506" s="15">
        <f t="shared" si="329"/>
        <v>1</v>
      </c>
      <c r="AP506" s="15">
        <f t="shared" si="330"/>
        <v>1</v>
      </c>
      <c r="AQ506" s="15">
        <f t="shared" si="331"/>
        <v>1</v>
      </c>
      <c r="AR506" s="15">
        <f t="shared" si="332"/>
        <v>1</v>
      </c>
      <c r="AS506" s="15">
        <f t="shared" si="333"/>
        <v>1</v>
      </c>
      <c r="AT506" s="15">
        <f t="shared" si="334"/>
        <v>1</v>
      </c>
      <c r="AU506" s="15">
        <f t="shared" si="335"/>
        <v>1</v>
      </c>
      <c r="AV506" s="15">
        <f t="shared" si="336"/>
        <v>1</v>
      </c>
      <c r="AW506" s="15">
        <f t="shared" si="337"/>
        <v>1</v>
      </c>
      <c r="AX506" s="15">
        <f t="shared" si="338"/>
        <v>1</v>
      </c>
      <c r="AY506" s="15">
        <f t="shared" si="339"/>
        <v>1</v>
      </c>
      <c r="AZ506" s="15">
        <f t="shared" si="340"/>
        <v>1</v>
      </c>
      <c r="BA506" s="15">
        <f t="shared" si="341"/>
        <v>1</v>
      </c>
      <c r="BB506" s="15">
        <f t="shared" si="309"/>
        <v>0</v>
      </c>
      <c r="BC506" s="15" t="str">
        <f t="shared" si="310"/>
        <v/>
      </c>
      <c r="BD506" s="15" t="str">
        <f t="shared" si="311"/>
        <v/>
      </c>
      <c r="BE506" s="11" t="e">
        <f t="shared" si="342"/>
        <v>#VALUE!</v>
      </c>
      <c r="BF506" s="11" t="e">
        <f t="shared" si="343"/>
        <v>#VALUE!</v>
      </c>
      <c r="BG506" s="11" t="e">
        <f t="shared" si="344"/>
        <v>#VALUE!</v>
      </c>
      <c r="BH506" t="str">
        <f t="shared" si="345"/>
        <v/>
      </c>
      <c r="BI506" t="str" cm="1">
        <f t="array" ref="BI506">_xlfn.IFS(
  L506&gt;0,"Critical Fail",
  M506&gt;0,"Important (Coaching)",
  TRUE,"Clean Pass"
)</f>
        <v>Clean Pass</v>
      </c>
      <c r="BJ506" t="str">
        <f t="shared" si="346"/>
        <v>NA</v>
      </c>
    </row>
    <row r="507" spans="1:62" x14ac:dyDescent="0.3">
      <c r="A507">
        <v>821459</v>
      </c>
      <c r="K507" t="str">
        <f t="shared" si="308"/>
        <v>Pass</v>
      </c>
      <c r="L507" s="15">
        <f t="shared" si="312"/>
        <v>0</v>
      </c>
      <c r="M507" s="15">
        <f t="shared" si="313"/>
        <v>0</v>
      </c>
      <c r="Z507" s="15">
        <f t="shared" si="314"/>
        <v>1</v>
      </c>
      <c r="AA507" s="15">
        <f t="shared" si="315"/>
        <v>1</v>
      </c>
      <c r="AB507" s="15">
        <f t="shared" si="316"/>
        <v>1</v>
      </c>
      <c r="AC507" s="15">
        <f t="shared" si="317"/>
        <v>1</v>
      </c>
      <c r="AD507" s="15">
        <f t="shared" si="318"/>
        <v>1</v>
      </c>
      <c r="AE507" s="15">
        <f t="shared" si="319"/>
        <v>1</v>
      </c>
      <c r="AF507" s="15">
        <f t="shared" si="320"/>
        <v>1</v>
      </c>
      <c r="AG507" s="15">
        <f t="shared" si="321"/>
        <v>1</v>
      </c>
      <c r="AH507" s="15">
        <f t="shared" si="322"/>
        <v>1</v>
      </c>
      <c r="AI507" s="15">
        <f t="shared" si="323"/>
        <v>1</v>
      </c>
      <c r="AJ507" s="15">
        <f t="shared" si="324"/>
        <v>1</v>
      </c>
      <c r="AK507" s="15">
        <f t="shared" si="325"/>
        <v>1</v>
      </c>
      <c r="AL507" s="15">
        <f t="shared" si="326"/>
        <v>1</v>
      </c>
      <c r="AM507" s="15">
        <f t="shared" si="327"/>
        <v>1</v>
      </c>
      <c r="AN507" s="15">
        <f t="shared" si="328"/>
        <v>1</v>
      </c>
      <c r="AO507" s="15">
        <f t="shared" si="329"/>
        <v>1</v>
      </c>
      <c r="AP507" s="15">
        <f t="shared" si="330"/>
        <v>1</v>
      </c>
      <c r="AQ507" s="15">
        <f t="shared" si="331"/>
        <v>1</v>
      </c>
      <c r="AR507" s="15">
        <f t="shared" si="332"/>
        <v>1</v>
      </c>
      <c r="AS507" s="15">
        <f t="shared" si="333"/>
        <v>1</v>
      </c>
      <c r="AT507" s="15">
        <f t="shared" si="334"/>
        <v>1</v>
      </c>
      <c r="AU507" s="15">
        <f t="shared" si="335"/>
        <v>1</v>
      </c>
      <c r="AV507" s="15">
        <f t="shared" si="336"/>
        <v>1</v>
      </c>
      <c r="AW507" s="15">
        <f t="shared" si="337"/>
        <v>1</v>
      </c>
      <c r="AX507" s="15">
        <f t="shared" si="338"/>
        <v>1</v>
      </c>
      <c r="AY507" s="15">
        <f t="shared" si="339"/>
        <v>1</v>
      </c>
      <c r="AZ507" s="15">
        <f t="shared" si="340"/>
        <v>1</v>
      </c>
      <c r="BA507" s="15">
        <f t="shared" si="341"/>
        <v>1</v>
      </c>
      <c r="BB507" s="15">
        <f t="shared" si="309"/>
        <v>0</v>
      </c>
      <c r="BC507" s="15" t="str">
        <f t="shared" si="310"/>
        <v/>
      </c>
      <c r="BD507" s="15" t="str">
        <f t="shared" si="311"/>
        <v/>
      </c>
      <c r="BE507" s="11" t="e">
        <f t="shared" si="342"/>
        <v>#VALUE!</v>
      </c>
      <c r="BF507" s="11" t="e">
        <f t="shared" si="343"/>
        <v>#VALUE!</v>
      </c>
      <c r="BG507" s="11" t="e">
        <f t="shared" si="344"/>
        <v>#VALUE!</v>
      </c>
      <c r="BH507" t="str">
        <f t="shared" si="345"/>
        <v/>
      </c>
      <c r="BI507" t="str" cm="1">
        <f t="array" ref="BI507">_xlfn.IFS(
  L507&gt;0,"Critical Fail",
  M507&gt;0,"Important (Coaching)",
  TRUE,"Clean Pass"
)</f>
        <v>Clean Pass</v>
      </c>
      <c r="BJ507" t="str">
        <f t="shared" si="346"/>
        <v>NA</v>
      </c>
    </row>
    <row r="508" spans="1:62" x14ac:dyDescent="0.3">
      <c r="A508">
        <v>397555</v>
      </c>
      <c r="K508" t="str">
        <f t="shared" si="308"/>
        <v>Pass</v>
      </c>
      <c r="L508" s="15">
        <f t="shared" si="312"/>
        <v>0</v>
      </c>
      <c r="M508" s="15">
        <f t="shared" si="313"/>
        <v>0</v>
      </c>
      <c r="Z508" s="15">
        <f t="shared" si="314"/>
        <v>1</v>
      </c>
      <c r="AA508" s="15">
        <f t="shared" si="315"/>
        <v>1</v>
      </c>
      <c r="AB508" s="15">
        <f t="shared" si="316"/>
        <v>1</v>
      </c>
      <c r="AC508" s="15">
        <f t="shared" si="317"/>
        <v>1</v>
      </c>
      <c r="AD508" s="15">
        <f t="shared" si="318"/>
        <v>1</v>
      </c>
      <c r="AE508" s="15">
        <f t="shared" si="319"/>
        <v>1</v>
      </c>
      <c r="AF508" s="15">
        <f t="shared" si="320"/>
        <v>1</v>
      </c>
      <c r="AG508" s="15">
        <f t="shared" si="321"/>
        <v>1</v>
      </c>
      <c r="AH508" s="15">
        <f t="shared" si="322"/>
        <v>1</v>
      </c>
      <c r="AI508" s="15">
        <f t="shared" si="323"/>
        <v>1</v>
      </c>
      <c r="AJ508" s="15">
        <f t="shared" si="324"/>
        <v>1</v>
      </c>
      <c r="AK508" s="15">
        <f t="shared" si="325"/>
        <v>1</v>
      </c>
      <c r="AL508" s="15">
        <f t="shared" si="326"/>
        <v>1</v>
      </c>
      <c r="AM508" s="15">
        <f t="shared" si="327"/>
        <v>1</v>
      </c>
      <c r="AN508" s="15">
        <f t="shared" si="328"/>
        <v>1</v>
      </c>
      <c r="AO508" s="15">
        <f t="shared" si="329"/>
        <v>1</v>
      </c>
      <c r="AP508" s="15">
        <f t="shared" si="330"/>
        <v>1</v>
      </c>
      <c r="AQ508" s="15">
        <f t="shared" si="331"/>
        <v>1</v>
      </c>
      <c r="AR508" s="15">
        <f t="shared" si="332"/>
        <v>1</v>
      </c>
      <c r="AS508" s="15">
        <f t="shared" si="333"/>
        <v>1</v>
      </c>
      <c r="AT508" s="15">
        <f t="shared" si="334"/>
        <v>1</v>
      </c>
      <c r="AU508" s="15">
        <f t="shared" si="335"/>
        <v>1</v>
      </c>
      <c r="AV508" s="15">
        <f t="shared" si="336"/>
        <v>1</v>
      </c>
      <c r="AW508" s="15">
        <f t="shared" si="337"/>
        <v>1</v>
      </c>
      <c r="AX508" s="15">
        <f t="shared" si="338"/>
        <v>1</v>
      </c>
      <c r="AY508" s="15">
        <f t="shared" si="339"/>
        <v>1</v>
      </c>
      <c r="AZ508" s="15">
        <f t="shared" si="340"/>
        <v>1</v>
      </c>
      <c r="BA508" s="15">
        <f t="shared" si="341"/>
        <v>1</v>
      </c>
      <c r="BB508" s="15">
        <f t="shared" si="309"/>
        <v>0</v>
      </c>
      <c r="BC508" s="15" t="str">
        <f t="shared" si="310"/>
        <v/>
      </c>
      <c r="BD508" s="15" t="str">
        <f t="shared" si="311"/>
        <v/>
      </c>
      <c r="BE508" s="11" t="e">
        <f t="shared" si="342"/>
        <v>#VALUE!</v>
      </c>
      <c r="BF508" s="11" t="e">
        <f t="shared" si="343"/>
        <v>#VALUE!</v>
      </c>
      <c r="BG508" s="11" t="e">
        <f t="shared" si="344"/>
        <v>#VALUE!</v>
      </c>
      <c r="BH508" t="str">
        <f t="shared" si="345"/>
        <v/>
      </c>
      <c r="BI508" t="str" cm="1">
        <f t="array" ref="BI508">_xlfn.IFS(
  L508&gt;0,"Critical Fail",
  M508&gt;0,"Important (Coaching)",
  TRUE,"Clean Pass"
)</f>
        <v>Clean Pass</v>
      </c>
      <c r="BJ508" t="str">
        <f t="shared" si="346"/>
        <v>NA</v>
      </c>
    </row>
    <row r="509" spans="1:62" x14ac:dyDescent="0.3">
      <c r="A509">
        <v>387946</v>
      </c>
      <c r="K509" t="str">
        <f t="shared" si="308"/>
        <v>Pass</v>
      </c>
      <c r="L509" s="15">
        <f t="shared" si="312"/>
        <v>0</v>
      </c>
      <c r="M509" s="15">
        <f t="shared" si="313"/>
        <v>0</v>
      </c>
      <c r="Z509" s="15">
        <f t="shared" si="314"/>
        <v>1</v>
      </c>
      <c r="AA509" s="15">
        <f t="shared" si="315"/>
        <v>1</v>
      </c>
      <c r="AB509" s="15">
        <f t="shared" si="316"/>
        <v>1</v>
      </c>
      <c r="AC509" s="15">
        <f t="shared" si="317"/>
        <v>1</v>
      </c>
      <c r="AD509" s="15">
        <f t="shared" si="318"/>
        <v>1</v>
      </c>
      <c r="AE509" s="15">
        <f t="shared" si="319"/>
        <v>1</v>
      </c>
      <c r="AF509" s="15">
        <f t="shared" si="320"/>
        <v>1</v>
      </c>
      <c r="AG509" s="15">
        <f t="shared" si="321"/>
        <v>1</v>
      </c>
      <c r="AH509" s="15">
        <f t="shared" si="322"/>
        <v>1</v>
      </c>
      <c r="AI509" s="15">
        <f t="shared" si="323"/>
        <v>1</v>
      </c>
      <c r="AJ509" s="15">
        <f t="shared" si="324"/>
        <v>1</v>
      </c>
      <c r="AK509" s="15">
        <f t="shared" si="325"/>
        <v>1</v>
      </c>
      <c r="AL509" s="15">
        <f t="shared" si="326"/>
        <v>1</v>
      </c>
      <c r="AM509" s="15">
        <f t="shared" si="327"/>
        <v>1</v>
      </c>
      <c r="AN509" s="15">
        <f t="shared" si="328"/>
        <v>1</v>
      </c>
      <c r="AO509" s="15">
        <f t="shared" si="329"/>
        <v>1</v>
      </c>
      <c r="AP509" s="15">
        <f t="shared" si="330"/>
        <v>1</v>
      </c>
      <c r="AQ509" s="15">
        <f t="shared" si="331"/>
        <v>1</v>
      </c>
      <c r="AR509" s="15">
        <f t="shared" si="332"/>
        <v>1</v>
      </c>
      <c r="AS509" s="15">
        <f t="shared" si="333"/>
        <v>1</v>
      </c>
      <c r="AT509" s="15">
        <f t="shared" si="334"/>
        <v>1</v>
      </c>
      <c r="AU509" s="15">
        <f t="shared" si="335"/>
        <v>1</v>
      </c>
      <c r="AV509" s="15">
        <f t="shared" si="336"/>
        <v>1</v>
      </c>
      <c r="AW509" s="15">
        <f t="shared" si="337"/>
        <v>1</v>
      </c>
      <c r="AX509" s="15">
        <f t="shared" si="338"/>
        <v>1</v>
      </c>
      <c r="AY509" s="15">
        <f t="shared" si="339"/>
        <v>1</v>
      </c>
      <c r="AZ509" s="15">
        <f t="shared" si="340"/>
        <v>1</v>
      </c>
      <c r="BA509" s="15">
        <f t="shared" si="341"/>
        <v>1</v>
      </c>
      <c r="BB509" s="15">
        <f t="shared" si="309"/>
        <v>0</v>
      </c>
      <c r="BC509" s="15" t="str">
        <f t="shared" si="310"/>
        <v/>
      </c>
      <c r="BD509" s="15" t="str">
        <f t="shared" si="311"/>
        <v/>
      </c>
      <c r="BE509" s="11" t="e">
        <f t="shared" si="342"/>
        <v>#VALUE!</v>
      </c>
      <c r="BF509" s="11" t="e">
        <f t="shared" si="343"/>
        <v>#VALUE!</v>
      </c>
      <c r="BG509" s="11" t="e">
        <f t="shared" si="344"/>
        <v>#VALUE!</v>
      </c>
      <c r="BH509" t="str">
        <f t="shared" si="345"/>
        <v/>
      </c>
      <c r="BI509" t="str" cm="1">
        <f t="array" ref="BI509">_xlfn.IFS(
  L509&gt;0,"Critical Fail",
  M509&gt;0,"Important (Coaching)",
  TRUE,"Clean Pass"
)</f>
        <v>Clean Pass</v>
      </c>
      <c r="BJ509" t="str">
        <f t="shared" si="346"/>
        <v>NA</v>
      </c>
    </row>
    <row r="510" spans="1:62" x14ac:dyDescent="0.3">
      <c r="A510">
        <v>402711</v>
      </c>
      <c r="K510" t="str">
        <f t="shared" si="308"/>
        <v>Pass</v>
      </c>
      <c r="L510" s="15">
        <f t="shared" si="312"/>
        <v>0</v>
      </c>
      <c r="M510" s="15">
        <f t="shared" si="313"/>
        <v>0</v>
      </c>
      <c r="Z510" s="15">
        <f t="shared" si="314"/>
        <v>1</v>
      </c>
      <c r="AA510" s="15">
        <f t="shared" si="315"/>
        <v>1</v>
      </c>
      <c r="AB510" s="15">
        <f t="shared" si="316"/>
        <v>1</v>
      </c>
      <c r="AC510" s="15">
        <f t="shared" si="317"/>
        <v>1</v>
      </c>
      <c r="AD510" s="15">
        <f t="shared" si="318"/>
        <v>1</v>
      </c>
      <c r="AE510" s="15">
        <f t="shared" si="319"/>
        <v>1</v>
      </c>
      <c r="AF510" s="15">
        <f t="shared" si="320"/>
        <v>1</v>
      </c>
      <c r="AG510" s="15">
        <f t="shared" si="321"/>
        <v>1</v>
      </c>
      <c r="AH510" s="15">
        <f t="shared" si="322"/>
        <v>1</v>
      </c>
      <c r="AI510" s="15">
        <f t="shared" si="323"/>
        <v>1</v>
      </c>
      <c r="AJ510" s="15">
        <f t="shared" si="324"/>
        <v>1</v>
      </c>
      <c r="AK510" s="15">
        <f t="shared" si="325"/>
        <v>1</v>
      </c>
      <c r="AL510" s="15">
        <f t="shared" si="326"/>
        <v>1</v>
      </c>
      <c r="AM510" s="15">
        <f t="shared" si="327"/>
        <v>1</v>
      </c>
      <c r="AN510" s="15">
        <f t="shared" si="328"/>
        <v>1</v>
      </c>
      <c r="AO510" s="15">
        <f t="shared" si="329"/>
        <v>1</v>
      </c>
      <c r="AP510" s="15">
        <f t="shared" si="330"/>
        <v>1</v>
      </c>
      <c r="AQ510" s="15">
        <f t="shared" si="331"/>
        <v>1</v>
      </c>
      <c r="AR510" s="15">
        <f t="shared" si="332"/>
        <v>1</v>
      </c>
      <c r="AS510" s="15">
        <f t="shared" si="333"/>
        <v>1</v>
      </c>
      <c r="AT510" s="15">
        <f t="shared" si="334"/>
        <v>1</v>
      </c>
      <c r="AU510" s="15">
        <f t="shared" si="335"/>
        <v>1</v>
      </c>
      <c r="AV510" s="15">
        <f t="shared" si="336"/>
        <v>1</v>
      </c>
      <c r="AW510" s="15">
        <f t="shared" si="337"/>
        <v>1</v>
      </c>
      <c r="AX510" s="15">
        <f t="shared" si="338"/>
        <v>1</v>
      </c>
      <c r="AY510" s="15">
        <f t="shared" si="339"/>
        <v>1</v>
      </c>
      <c r="AZ510" s="15">
        <f t="shared" si="340"/>
        <v>1</v>
      </c>
      <c r="BA510" s="15">
        <f t="shared" si="341"/>
        <v>1</v>
      </c>
      <c r="BB510" s="15">
        <f t="shared" si="309"/>
        <v>0</v>
      </c>
      <c r="BC510" s="15" t="str">
        <f t="shared" si="310"/>
        <v/>
      </c>
      <c r="BD510" s="15" t="str">
        <f t="shared" si="311"/>
        <v/>
      </c>
      <c r="BE510" s="11" t="e">
        <f t="shared" si="342"/>
        <v>#VALUE!</v>
      </c>
      <c r="BF510" s="11" t="e">
        <f t="shared" si="343"/>
        <v>#VALUE!</v>
      </c>
      <c r="BG510" s="11" t="e">
        <f t="shared" si="344"/>
        <v>#VALUE!</v>
      </c>
      <c r="BH510" t="str">
        <f t="shared" si="345"/>
        <v/>
      </c>
      <c r="BI510" t="str" cm="1">
        <f t="array" ref="BI510">_xlfn.IFS(
  L510&gt;0,"Critical Fail",
  M510&gt;0,"Important (Coaching)",
  TRUE,"Clean Pass"
)</f>
        <v>Clean Pass</v>
      </c>
      <c r="BJ510" t="str">
        <f t="shared" si="346"/>
        <v>NA</v>
      </c>
    </row>
    <row r="511" spans="1:62" x14ac:dyDescent="0.3">
      <c r="A511">
        <v>959499</v>
      </c>
      <c r="K511" t="str">
        <f t="shared" si="308"/>
        <v>Pass</v>
      </c>
      <c r="L511" s="15">
        <f t="shared" si="312"/>
        <v>0</v>
      </c>
      <c r="M511" s="15">
        <f t="shared" si="313"/>
        <v>0</v>
      </c>
      <c r="Z511" s="15">
        <f t="shared" si="314"/>
        <v>1</v>
      </c>
      <c r="AA511" s="15">
        <f t="shared" si="315"/>
        <v>1</v>
      </c>
      <c r="AB511" s="15">
        <f t="shared" si="316"/>
        <v>1</v>
      </c>
      <c r="AC511" s="15">
        <f t="shared" si="317"/>
        <v>1</v>
      </c>
      <c r="AD511" s="15">
        <f t="shared" si="318"/>
        <v>1</v>
      </c>
      <c r="AE511" s="15">
        <f t="shared" si="319"/>
        <v>1</v>
      </c>
      <c r="AF511" s="15">
        <f t="shared" si="320"/>
        <v>1</v>
      </c>
      <c r="AG511" s="15">
        <f t="shared" si="321"/>
        <v>1</v>
      </c>
      <c r="AH511" s="15">
        <f t="shared" si="322"/>
        <v>1</v>
      </c>
      <c r="AI511" s="15">
        <f t="shared" si="323"/>
        <v>1</v>
      </c>
      <c r="AJ511" s="15">
        <f t="shared" si="324"/>
        <v>1</v>
      </c>
      <c r="AK511" s="15">
        <f t="shared" si="325"/>
        <v>1</v>
      </c>
      <c r="AL511" s="15">
        <f t="shared" si="326"/>
        <v>1</v>
      </c>
      <c r="AM511" s="15">
        <f t="shared" si="327"/>
        <v>1</v>
      </c>
      <c r="AN511" s="15">
        <f t="shared" si="328"/>
        <v>1</v>
      </c>
      <c r="AO511" s="15">
        <f t="shared" si="329"/>
        <v>1</v>
      </c>
      <c r="AP511" s="15">
        <f t="shared" si="330"/>
        <v>1</v>
      </c>
      <c r="AQ511" s="15">
        <f t="shared" si="331"/>
        <v>1</v>
      </c>
      <c r="AR511" s="15">
        <f t="shared" si="332"/>
        <v>1</v>
      </c>
      <c r="AS511" s="15">
        <f t="shared" si="333"/>
        <v>1</v>
      </c>
      <c r="AT511" s="15">
        <f t="shared" si="334"/>
        <v>1</v>
      </c>
      <c r="AU511" s="15">
        <f t="shared" si="335"/>
        <v>1</v>
      </c>
      <c r="AV511" s="15">
        <f t="shared" si="336"/>
        <v>1</v>
      </c>
      <c r="AW511" s="15">
        <f t="shared" si="337"/>
        <v>1</v>
      </c>
      <c r="AX511" s="15">
        <f t="shared" si="338"/>
        <v>1</v>
      </c>
      <c r="AY511" s="15">
        <f t="shared" si="339"/>
        <v>1</v>
      </c>
      <c r="AZ511" s="15">
        <f t="shared" si="340"/>
        <v>1</v>
      </c>
      <c r="BA511" s="15">
        <f t="shared" si="341"/>
        <v>1</v>
      </c>
      <c r="BB511" s="15">
        <f t="shared" si="309"/>
        <v>0</v>
      </c>
      <c r="BC511" s="15" t="str">
        <f t="shared" si="310"/>
        <v/>
      </c>
      <c r="BD511" s="15" t="str">
        <f t="shared" si="311"/>
        <v/>
      </c>
      <c r="BE511" s="11" t="e">
        <f t="shared" si="342"/>
        <v>#VALUE!</v>
      </c>
      <c r="BF511" s="11" t="e">
        <f t="shared" si="343"/>
        <v>#VALUE!</v>
      </c>
      <c r="BG511" s="11" t="e">
        <f t="shared" si="344"/>
        <v>#VALUE!</v>
      </c>
      <c r="BH511" t="str">
        <f t="shared" si="345"/>
        <v/>
      </c>
      <c r="BI511" t="str" cm="1">
        <f t="array" ref="BI511">_xlfn.IFS(
  L511&gt;0,"Critical Fail",
  M511&gt;0,"Important (Coaching)",
  TRUE,"Clean Pass"
)</f>
        <v>Clean Pass</v>
      </c>
      <c r="BJ511" t="str">
        <f t="shared" si="346"/>
        <v>NA</v>
      </c>
    </row>
    <row r="512" spans="1:62" x14ac:dyDescent="0.3">
      <c r="A512">
        <v>932285</v>
      </c>
      <c r="K512" t="str">
        <f t="shared" si="308"/>
        <v>Pass</v>
      </c>
      <c r="L512" s="15">
        <f t="shared" si="312"/>
        <v>0</v>
      </c>
      <c r="M512" s="15">
        <f t="shared" si="313"/>
        <v>0</v>
      </c>
      <c r="Z512" s="15">
        <f t="shared" si="314"/>
        <v>1</v>
      </c>
      <c r="AA512" s="15">
        <f t="shared" si="315"/>
        <v>1</v>
      </c>
      <c r="AB512" s="15">
        <f t="shared" si="316"/>
        <v>1</v>
      </c>
      <c r="AC512" s="15">
        <f t="shared" si="317"/>
        <v>1</v>
      </c>
      <c r="AD512" s="15">
        <f t="shared" si="318"/>
        <v>1</v>
      </c>
      <c r="AE512" s="15">
        <f t="shared" si="319"/>
        <v>1</v>
      </c>
      <c r="AF512" s="15">
        <f t="shared" si="320"/>
        <v>1</v>
      </c>
      <c r="AG512" s="15">
        <f t="shared" si="321"/>
        <v>1</v>
      </c>
      <c r="AH512" s="15">
        <f t="shared" si="322"/>
        <v>1</v>
      </c>
      <c r="AI512" s="15">
        <f t="shared" si="323"/>
        <v>1</v>
      </c>
      <c r="AJ512" s="15">
        <f t="shared" si="324"/>
        <v>1</v>
      </c>
      <c r="AK512" s="15">
        <f t="shared" si="325"/>
        <v>1</v>
      </c>
      <c r="AL512" s="15">
        <f t="shared" si="326"/>
        <v>1</v>
      </c>
      <c r="AM512" s="15">
        <f t="shared" si="327"/>
        <v>1</v>
      </c>
      <c r="AN512" s="15">
        <f t="shared" si="328"/>
        <v>1</v>
      </c>
      <c r="AO512" s="15">
        <f t="shared" si="329"/>
        <v>1</v>
      </c>
      <c r="AP512" s="15">
        <f t="shared" si="330"/>
        <v>1</v>
      </c>
      <c r="AQ512" s="15">
        <f t="shared" si="331"/>
        <v>1</v>
      </c>
      <c r="AR512" s="15">
        <f t="shared" si="332"/>
        <v>1</v>
      </c>
      <c r="AS512" s="15">
        <f t="shared" si="333"/>
        <v>1</v>
      </c>
      <c r="AT512" s="15">
        <f t="shared" si="334"/>
        <v>1</v>
      </c>
      <c r="AU512" s="15">
        <f t="shared" si="335"/>
        <v>1</v>
      </c>
      <c r="AV512" s="15">
        <f t="shared" si="336"/>
        <v>1</v>
      </c>
      <c r="AW512" s="15">
        <f t="shared" si="337"/>
        <v>1</v>
      </c>
      <c r="AX512" s="15">
        <f t="shared" si="338"/>
        <v>1</v>
      </c>
      <c r="AY512" s="15">
        <f t="shared" si="339"/>
        <v>1</v>
      </c>
      <c r="AZ512" s="15">
        <f t="shared" si="340"/>
        <v>1</v>
      </c>
      <c r="BA512" s="15">
        <f t="shared" si="341"/>
        <v>1</v>
      </c>
      <c r="BB512" s="15">
        <f t="shared" si="309"/>
        <v>0</v>
      </c>
      <c r="BC512" s="15" t="str">
        <f t="shared" si="310"/>
        <v/>
      </c>
      <c r="BD512" s="15" t="str">
        <f t="shared" si="311"/>
        <v/>
      </c>
      <c r="BE512" s="11" t="e">
        <f t="shared" si="342"/>
        <v>#VALUE!</v>
      </c>
      <c r="BF512" s="11" t="e">
        <f t="shared" si="343"/>
        <v>#VALUE!</v>
      </c>
      <c r="BG512" s="11" t="e">
        <f t="shared" si="344"/>
        <v>#VALUE!</v>
      </c>
      <c r="BH512" t="str">
        <f t="shared" si="345"/>
        <v/>
      </c>
      <c r="BI512" t="str" cm="1">
        <f t="array" ref="BI512">_xlfn.IFS(
  L512&gt;0,"Critical Fail",
  M512&gt;0,"Important (Coaching)",
  TRUE,"Clean Pass"
)</f>
        <v>Clean Pass</v>
      </c>
      <c r="BJ512" t="str">
        <f t="shared" si="346"/>
        <v>NA</v>
      </c>
    </row>
    <row r="513" spans="1:62" x14ac:dyDescent="0.3">
      <c r="A513">
        <v>827727</v>
      </c>
      <c r="K513" t="str">
        <f t="shared" si="308"/>
        <v>Pass</v>
      </c>
      <c r="L513" s="15">
        <f t="shared" si="312"/>
        <v>0</v>
      </c>
      <c r="M513" s="15">
        <f t="shared" si="313"/>
        <v>0</v>
      </c>
      <c r="Z513" s="15">
        <f t="shared" si="314"/>
        <v>1</v>
      </c>
      <c r="AA513" s="15">
        <f t="shared" si="315"/>
        <v>1</v>
      </c>
      <c r="AB513" s="15">
        <f t="shared" si="316"/>
        <v>1</v>
      </c>
      <c r="AC513" s="15">
        <f t="shared" si="317"/>
        <v>1</v>
      </c>
      <c r="AD513" s="15">
        <f t="shared" si="318"/>
        <v>1</v>
      </c>
      <c r="AE513" s="15">
        <f t="shared" si="319"/>
        <v>1</v>
      </c>
      <c r="AF513" s="15">
        <f t="shared" si="320"/>
        <v>1</v>
      </c>
      <c r="AG513" s="15">
        <f t="shared" si="321"/>
        <v>1</v>
      </c>
      <c r="AH513" s="15">
        <f t="shared" si="322"/>
        <v>1</v>
      </c>
      <c r="AI513" s="15">
        <f t="shared" si="323"/>
        <v>1</v>
      </c>
      <c r="AJ513" s="15">
        <f t="shared" si="324"/>
        <v>1</v>
      </c>
      <c r="AK513" s="15">
        <f t="shared" si="325"/>
        <v>1</v>
      </c>
      <c r="AL513" s="15">
        <f t="shared" si="326"/>
        <v>1</v>
      </c>
      <c r="AM513" s="15">
        <f t="shared" si="327"/>
        <v>1</v>
      </c>
      <c r="AN513" s="15">
        <f t="shared" si="328"/>
        <v>1</v>
      </c>
      <c r="AO513" s="15">
        <f t="shared" si="329"/>
        <v>1</v>
      </c>
      <c r="AP513" s="15">
        <f t="shared" si="330"/>
        <v>1</v>
      </c>
      <c r="AQ513" s="15">
        <f t="shared" si="331"/>
        <v>1</v>
      </c>
      <c r="AR513" s="15">
        <f t="shared" si="332"/>
        <v>1</v>
      </c>
      <c r="AS513" s="15">
        <f t="shared" si="333"/>
        <v>1</v>
      </c>
      <c r="AT513" s="15">
        <f t="shared" si="334"/>
        <v>1</v>
      </c>
      <c r="AU513" s="15">
        <f t="shared" si="335"/>
        <v>1</v>
      </c>
      <c r="AV513" s="15">
        <f t="shared" si="336"/>
        <v>1</v>
      </c>
      <c r="AW513" s="15">
        <f t="shared" si="337"/>
        <v>1</v>
      </c>
      <c r="AX513" s="15">
        <f t="shared" si="338"/>
        <v>1</v>
      </c>
      <c r="AY513" s="15">
        <f t="shared" si="339"/>
        <v>1</v>
      </c>
      <c r="AZ513" s="15">
        <f t="shared" si="340"/>
        <v>1</v>
      </c>
      <c r="BA513" s="15">
        <f t="shared" si="341"/>
        <v>1</v>
      </c>
      <c r="BB513" s="15">
        <f t="shared" si="309"/>
        <v>0</v>
      </c>
      <c r="BC513" s="15" t="str">
        <f t="shared" si="310"/>
        <v/>
      </c>
      <c r="BD513" s="15" t="str">
        <f t="shared" si="311"/>
        <v/>
      </c>
      <c r="BE513" s="11" t="e">
        <f t="shared" si="342"/>
        <v>#VALUE!</v>
      </c>
      <c r="BF513" s="11" t="e">
        <f t="shared" si="343"/>
        <v>#VALUE!</v>
      </c>
      <c r="BG513" s="11" t="e">
        <f t="shared" si="344"/>
        <v>#VALUE!</v>
      </c>
      <c r="BH513" t="str">
        <f t="shared" si="345"/>
        <v/>
      </c>
      <c r="BI513" t="str" cm="1">
        <f t="array" ref="BI513">_xlfn.IFS(
  L513&gt;0,"Critical Fail",
  M513&gt;0,"Important (Coaching)",
  TRUE,"Clean Pass"
)</f>
        <v>Clean Pass</v>
      </c>
      <c r="BJ513" t="str">
        <f t="shared" si="346"/>
        <v>NA</v>
      </c>
    </row>
    <row r="514" spans="1:62" x14ac:dyDescent="0.3">
      <c r="A514">
        <v>744049</v>
      </c>
      <c r="K514" t="str">
        <f t="shared" ref="K514:K577" si="347">IF(L514="","",IF(L514&gt;0,"Fail","Pass"))</f>
        <v>Pass</v>
      </c>
      <c r="L514" s="15">
        <f t="shared" si="312"/>
        <v>0</v>
      </c>
      <c r="M514" s="15">
        <f t="shared" si="313"/>
        <v>0</v>
      </c>
      <c r="Z514" s="15">
        <f t="shared" si="314"/>
        <v>1</v>
      </c>
      <c r="AA514" s="15">
        <f t="shared" si="315"/>
        <v>1</v>
      </c>
      <c r="AB514" s="15">
        <f t="shared" si="316"/>
        <v>1</v>
      </c>
      <c r="AC514" s="15">
        <f t="shared" si="317"/>
        <v>1</v>
      </c>
      <c r="AD514" s="15">
        <f t="shared" si="318"/>
        <v>1</v>
      </c>
      <c r="AE514" s="15">
        <f t="shared" si="319"/>
        <v>1</v>
      </c>
      <c r="AF514" s="15">
        <f t="shared" si="320"/>
        <v>1</v>
      </c>
      <c r="AG514" s="15">
        <f t="shared" si="321"/>
        <v>1</v>
      </c>
      <c r="AH514" s="15">
        <f t="shared" si="322"/>
        <v>1</v>
      </c>
      <c r="AI514" s="15">
        <f t="shared" si="323"/>
        <v>1</v>
      </c>
      <c r="AJ514" s="15">
        <f t="shared" si="324"/>
        <v>1</v>
      </c>
      <c r="AK514" s="15">
        <f t="shared" si="325"/>
        <v>1</v>
      </c>
      <c r="AL514" s="15">
        <f t="shared" si="326"/>
        <v>1</v>
      </c>
      <c r="AM514" s="15">
        <f t="shared" si="327"/>
        <v>1</v>
      </c>
      <c r="AN514" s="15">
        <f t="shared" si="328"/>
        <v>1</v>
      </c>
      <c r="AO514" s="15">
        <f t="shared" si="329"/>
        <v>1</v>
      </c>
      <c r="AP514" s="15">
        <f t="shared" si="330"/>
        <v>1</v>
      </c>
      <c r="AQ514" s="15">
        <f t="shared" si="331"/>
        <v>1</v>
      </c>
      <c r="AR514" s="15">
        <f t="shared" si="332"/>
        <v>1</v>
      </c>
      <c r="AS514" s="15">
        <f t="shared" si="333"/>
        <v>1</v>
      </c>
      <c r="AT514" s="15">
        <f t="shared" si="334"/>
        <v>1</v>
      </c>
      <c r="AU514" s="15">
        <f t="shared" si="335"/>
        <v>1</v>
      </c>
      <c r="AV514" s="15">
        <f t="shared" si="336"/>
        <v>1</v>
      </c>
      <c r="AW514" s="15">
        <f t="shared" si="337"/>
        <v>1</v>
      </c>
      <c r="AX514" s="15">
        <f t="shared" si="338"/>
        <v>1</v>
      </c>
      <c r="AY514" s="15">
        <f t="shared" si="339"/>
        <v>1</v>
      </c>
      <c r="AZ514" s="15">
        <f t="shared" si="340"/>
        <v>1</v>
      </c>
      <c r="BA514" s="15">
        <f t="shared" si="341"/>
        <v>1</v>
      </c>
      <c r="BB514" s="15">
        <f t="shared" ref="BB514:BB577" si="348">IF(L514&gt;0,1,0)</f>
        <v>0</v>
      </c>
      <c r="BC514" s="15" t="str">
        <f t="shared" ref="BC514:BC577" si="349">IF(G514="DV",9,IF(G514="AL",13,""))</f>
        <v/>
      </c>
      <c r="BD514" s="15" t="str">
        <f t="shared" ref="BD514:BD577" si="350">IF(G514="DV",3,IF(G514="AL",3,""))</f>
        <v/>
      </c>
      <c r="BE514" s="11" t="e">
        <f t="shared" si="342"/>
        <v>#VALUE!</v>
      </c>
      <c r="BF514" s="11" t="e">
        <f t="shared" si="343"/>
        <v>#VALUE!</v>
      </c>
      <c r="BG514" s="11" t="e">
        <f t="shared" si="344"/>
        <v>#VALUE!</v>
      </c>
      <c r="BH514" t="str">
        <f t="shared" si="345"/>
        <v/>
      </c>
      <c r="BI514" t="str" cm="1">
        <f t="array" ref="BI514">_xlfn.IFS(
  L514&gt;0,"Critical Fail",
  M514&gt;0,"Important (Coaching)",
  TRUE,"Clean Pass"
)</f>
        <v>Clean Pass</v>
      </c>
      <c r="BJ514" t="str">
        <f t="shared" si="346"/>
        <v>NA</v>
      </c>
    </row>
    <row r="515" spans="1:62" x14ac:dyDescent="0.3">
      <c r="A515">
        <v>576271</v>
      </c>
      <c r="K515" t="str">
        <f t="shared" si="347"/>
        <v>Pass</v>
      </c>
      <c r="L515" s="15">
        <f t="shared" si="312"/>
        <v>0</v>
      </c>
      <c r="M515" s="15">
        <f t="shared" si="313"/>
        <v>0</v>
      </c>
      <c r="Z515" s="15">
        <f t="shared" si="314"/>
        <v>1</v>
      </c>
      <c r="AA515" s="15">
        <f t="shared" si="315"/>
        <v>1</v>
      </c>
      <c r="AB515" s="15">
        <f t="shared" si="316"/>
        <v>1</v>
      </c>
      <c r="AC515" s="15">
        <f t="shared" si="317"/>
        <v>1</v>
      </c>
      <c r="AD515" s="15">
        <f t="shared" si="318"/>
        <v>1</v>
      </c>
      <c r="AE515" s="15">
        <f t="shared" si="319"/>
        <v>1</v>
      </c>
      <c r="AF515" s="15">
        <f t="shared" si="320"/>
        <v>1</v>
      </c>
      <c r="AG515" s="15">
        <f t="shared" si="321"/>
        <v>1</v>
      </c>
      <c r="AH515" s="15">
        <f t="shared" si="322"/>
        <v>1</v>
      </c>
      <c r="AI515" s="15">
        <f t="shared" si="323"/>
        <v>1</v>
      </c>
      <c r="AJ515" s="15">
        <f t="shared" si="324"/>
        <v>1</v>
      </c>
      <c r="AK515" s="15">
        <f t="shared" si="325"/>
        <v>1</v>
      </c>
      <c r="AL515" s="15">
        <f t="shared" si="326"/>
        <v>1</v>
      </c>
      <c r="AM515" s="15">
        <f t="shared" si="327"/>
        <v>1</v>
      </c>
      <c r="AN515" s="15">
        <f t="shared" si="328"/>
        <v>1</v>
      </c>
      <c r="AO515" s="15">
        <f t="shared" si="329"/>
        <v>1</v>
      </c>
      <c r="AP515" s="15">
        <f t="shared" si="330"/>
        <v>1</v>
      </c>
      <c r="AQ515" s="15">
        <f t="shared" si="331"/>
        <v>1</v>
      </c>
      <c r="AR515" s="15">
        <f t="shared" si="332"/>
        <v>1</v>
      </c>
      <c r="AS515" s="15">
        <f t="shared" si="333"/>
        <v>1</v>
      </c>
      <c r="AT515" s="15">
        <f t="shared" si="334"/>
        <v>1</v>
      </c>
      <c r="AU515" s="15">
        <f t="shared" si="335"/>
        <v>1</v>
      </c>
      <c r="AV515" s="15">
        <f t="shared" si="336"/>
        <v>1</v>
      </c>
      <c r="AW515" s="15">
        <f t="shared" si="337"/>
        <v>1</v>
      </c>
      <c r="AX515" s="15">
        <f t="shared" si="338"/>
        <v>1</v>
      </c>
      <c r="AY515" s="15">
        <f t="shared" si="339"/>
        <v>1</v>
      </c>
      <c r="AZ515" s="15">
        <f t="shared" si="340"/>
        <v>1</v>
      </c>
      <c r="BA515" s="15">
        <f t="shared" si="341"/>
        <v>1</v>
      </c>
      <c r="BB515" s="15">
        <f t="shared" si="348"/>
        <v>0</v>
      </c>
      <c r="BC515" s="15" t="str">
        <f t="shared" si="349"/>
        <v/>
      </c>
      <c r="BD515" s="15" t="str">
        <f t="shared" si="350"/>
        <v/>
      </c>
      <c r="BE515" s="11" t="e">
        <f t="shared" si="342"/>
        <v>#VALUE!</v>
      </c>
      <c r="BF515" s="11" t="e">
        <f t="shared" si="343"/>
        <v>#VALUE!</v>
      </c>
      <c r="BG515" s="11" t="e">
        <f t="shared" si="344"/>
        <v>#VALUE!</v>
      </c>
      <c r="BH515" t="str">
        <f t="shared" si="345"/>
        <v/>
      </c>
      <c r="BI515" t="str" cm="1">
        <f t="array" ref="BI515">_xlfn.IFS(
  L515&gt;0,"Critical Fail",
  M515&gt;0,"Important (Coaching)",
  TRUE,"Clean Pass"
)</f>
        <v>Clean Pass</v>
      </c>
      <c r="BJ515" t="str">
        <f t="shared" si="346"/>
        <v>NA</v>
      </c>
    </row>
    <row r="516" spans="1:62" x14ac:dyDescent="0.3">
      <c r="A516">
        <v>735778</v>
      </c>
      <c r="K516" t="str">
        <f t="shared" si="347"/>
        <v>Pass</v>
      </c>
      <c r="L516" s="15">
        <f t="shared" si="312"/>
        <v>0</v>
      </c>
      <c r="M516" s="15">
        <f t="shared" si="313"/>
        <v>0</v>
      </c>
      <c r="Z516" s="15">
        <f t="shared" si="314"/>
        <v>1</v>
      </c>
      <c r="AA516" s="15">
        <f t="shared" si="315"/>
        <v>1</v>
      </c>
      <c r="AB516" s="15">
        <f t="shared" si="316"/>
        <v>1</v>
      </c>
      <c r="AC516" s="15">
        <f t="shared" si="317"/>
        <v>1</v>
      </c>
      <c r="AD516" s="15">
        <f t="shared" si="318"/>
        <v>1</v>
      </c>
      <c r="AE516" s="15">
        <f t="shared" si="319"/>
        <v>1</v>
      </c>
      <c r="AF516" s="15">
        <f t="shared" si="320"/>
        <v>1</v>
      </c>
      <c r="AG516" s="15">
        <f t="shared" si="321"/>
        <v>1</v>
      </c>
      <c r="AH516" s="15">
        <f t="shared" si="322"/>
        <v>1</v>
      </c>
      <c r="AI516" s="15">
        <f t="shared" si="323"/>
        <v>1</v>
      </c>
      <c r="AJ516" s="15">
        <f t="shared" si="324"/>
        <v>1</v>
      </c>
      <c r="AK516" s="15">
        <f t="shared" si="325"/>
        <v>1</v>
      </c>
      <c r="AL516" s="15">
        <f t="shared" si="326"/>
        <v>1</v>
      </c>
      <c r="AM516" s="15">
        <f t="shared" si="327"/>
        <v>1</v>
      </c>
      <c r="AN516" s="15">
        <f t="shared" si="328"/>
        <v>1</v>
      </c>
      <c r="AO516" s="15">
        <f t="shared" si="329"/>
        <v>1</v>
      </c>
      <c r="AP516" s="15">
        <f t="shared" si="330"/>
        <v>1</v>
      </c>
      <c r="AQ516" s="15">
        <f t="shared" si="331"/>
        <v>1</v>
      </c>
      <c r="AR516" s="15">
        <f t="shared" si="332"/>
        <v>1</v>
      </c>
      <c r="AS516" s="15">
        <f t="shared" si="333"/>
        <v>1</v>
      </c>
      <c r="AT516" s="15">
        <f t="shared" si="334"/>
        <v>1</v>
      </c>
      <c r="AU516" s="15">
        <f t="shared" si="335"/>
        <v>1</v>
      </c>
      <c r="AV516" s="15">
        <f t="shared" si="336"/>
        <v>1</v>
      </c>
      <c r="AW516" s="15">
        <f t="shared" si="337"/>
        <v>1</v>
      </c>
      <c r="AX516" s="15">
        <f t="shared" si="338"/>
        <v>1</v>
      </c>
      <c r="AY516" s="15">
        <f t="shared" si="339"/>
        <v>1</v>
      </c>
      <c r="AZ516" s="15">
        <f t="shared" si="340"/>
        <v>1</v>
      </c>
      <c r="BA516" s="15">
        <f t="shared" si="341"/>
        <v>1</v>
      </c>
      <c r="BB516" s="15">
        <f t="shared" si="348"/>
        <v>0</v>
      </c>
      <c r="BC516" s="15" t="str">
        <f t="shared" si="349"/>
        <v/>
      </c>
      <c r="BD516" s="15" t="str">
        <f t="shared" si="350"/>
        <v/>
      </c>
      <c r="BE516" s="11" t="e">
        <f t="shared" si="342"/>
        <v>#VALUE!</v>
      </c>
      <c r="BF516" s="11" t="e">
        <f t="shared" si="343"/>
        <v>#VALUE!</v>
      </c>
      <c r="BG516" s="11" t="e">
        <f t="shared" si="344"/>
        <v>#VALUE!</v>
      </c>
      <c r="BH516" t="str">
        <f t="shared" si="345"/>
        <v/>
      </c>
      <c r="BI516" t="str" cm="1">
        <f t="array" ref="BI516">_xlfn.IFS(
  L516&gt;0,"Critical Fail",
  M516&gt;0,"Important (Coaching)",
  TRUE,"Clean Pass"
)</f>
        <v>Clean Pass</v>
      </c>
      <c r="BJ516" t="str">
        <f t="shared" si="346"/>
        <v>NA</v>
      </c>
    </row>
    <row r="517" spans="1:62" x14ac:dyDescent="0.3">
      <c r="A517">
        <v>501829</v>
      </c>
      <c r="K517" t="str">
        <f t="shared" si="347"/>
        <v>Pass</v>
      </c>
      <c r="L517" s="15">
        <f t="shared" si="312"/>
        <v>0</v>
      </c>
      <c r="M517" s="15">
        <f t="shared" si="313"/>
        <v>0</v>
      </c>
      <c r="Z517" s="15">
        <f t="shared" si="314"/>
        <v>1</v>
      </c>
      <c r="AA517" s="15">
        <f t="shared" si="315"/>
        <v>1</v>
      </c>
      <c r="AB517" s="15">
        <f t="shared" si="316"/>
        <v>1</v>
      </c>
      <c r="AC517" s="15">
        <f t="shared" si="317"/>
        <v>1</v>
      </c>
      <c r="AD517" s="15">
        <f t="shared" si="318"/>
        <v>1</v>
      </c>
      <c r="AE517" s="15">
        <f t="shared" si="319"/>
        <v>1</v>
      </c>
      <c r="AF517" s="15">
        <f t="shared" si="320"/>
        <v>1</v>
      </c>
      <c r="AG517" s="15">
        <f t="shared" si="321"/>
        <v>1</v>
      </c>
      <c r="AH517" s="15">
        <f t="shared" si="322"/>
        <v>1</v>
      </c>
      <c r="AI517" s="15">
        <f t="shared" si="323"/>
        <v>1</v>
      </c>
      <c r="AJ517" s="15">
        <f t="shared" si="324"/>
        <v>1</v>
      </c>
      <c r="AK517" s="15">
        <f t="shared" si="325"/>
        <v>1</v>
      </c>
      <c r="AL517" s="15">
        <f t="shared" si="326"/>
        <v>1</v>
      </c>
      <c r="AM517" s="15">
        <f t="shared" si="327"/>
        <v>1</v>
      </c>
      <c r="AN517" s="15">
        <f t="shared" si="328"/>
        <v>1</v>
      </c>
      <c r="AO517" s="15">
        <f t="shared" si="329"/>
        <v>1</v>
      </c>
      <c r="AP517" s="15">
        <f t="shared" si="330"/>
        <v>1</v>
      </c>
      <c r="AQ517" s="15">
        <f t="shared" si="331"/>
        <v>1</v>
      </c>
      <c r="AR517" s="15">
        <f t="shared" si="332"/>
        <v>1</v>
      </c>
      <c r="AS517" s="15">
        <f t="shared" si="333"/>
        <v>1</v>
      </c>
      <c r="AT517" s="15">
        <f t="shared" si="334"/>
        <v>1</v>
      </c>
      <c r="AU517" s="15">
        <f t="shared" si="335"/>
        <v>1</v>
      </c>
      <c r="AV517" s="15">
        <f t="shared" si="336"/>
        <v>1</v>
      </c>
      <c r="AW517" s="15">
        <f t="shared" si="337"/>
        <v>1</v>
      </c>
      <c r="AX517" s="15">
        <f t="shared" si="338"/>
        <v>1</v>
      </c>
      <c r="AY517" s="15">
        <f t="shared" si="339"/>
        <v>1</v>
      </c>
      <c r="AZ517" s="15">
        <f t="shared" si="340"/>
        <v>1</v>
      </c>
      <c r="BA517" s="15">
        <f t="shared" si="341"/>
        <v>1</v>
      </c>
      <c r="BB517" s="15">
        <f t="shared" si="348"/>
        <v>0</v>
      </c>
      <c r="BC517" s="15" t="str">
        <f t="shared" si="349"/>
        <v/>
      </c>
      <c r="BD517" s="15" t="str">
        <f t="shared" si="350"/>
        <v/>
      </c>
      <c r="BE517" s="11" t="e">
        <f t="shared" si="342"/>
        <v>#VALUE!</v>
      </c>
      <c r="BF517" s="11" t="e">
        <f t="shared" si="343"/>
        <v>#VALUE!</v>
      </c>
      <c r="BG517" s="11" t="e">
        <f t="shared" si="344"/>
        <v>#VALUE!</v>
      </c>
      <c r="BH517" t="str">
        <f t="shared" si="345"/>
        <v/>
      </c>
      <c r="BI517" t="str" cm="1">
        <f t="array" ref="BI517">_xlfn.IFS(
  L517&gt;0,"Critical Fail",
  M517&gt;0,"Important (Coaching)",
  TRUE,"Clean Pass"
)</f>
        <v>Clean Pass</v>
      </c>
      <c r="BJ517" t="str">
        <f t="shared" si="346"/>
        <v>NA</v>
      </c>
    </row>
    <row r="518" spans="1:62" x14ac:dyDescent="0.3">
      <c r="A518">
        <v>461053</v>
      </c>
      <c r="K518" t="str">
        <f t="shared" si="347"/>
        <v>Pass</v>
      </c>
      <c r="L518" s="15">
        <f t="shared" si="312"/>
        <v>0</v>
      </c>
      <c r="M518" s="15">
        <f t="shared" si="313"/>
        <v>0</v>
      </c>
      <c r="Z518" s="15">
        <f t="shared" si="314"/>
        <v>1</v>
      </c>
      <c r="AA518" s="15">
        <f t="shared" si="315"/>
        <v>1</v>
      </c>
      <c r="AB518" s="15">
        <f t="shared" si="316"/>
        <v>1</v>
      </c>
      <c r="AC518" s="15">
        <f t="shared" si="317"/>
        <v>1</v>
      </c>
      <c r="AD518" s="15">
        <f t="shared" si="318"/>
        <v>1</v>
      </c>
      <c r="AE518" s="15">
        <f t="shared" si="319"/>
        <v>1</v>
      </c>
      <c r="AF518" s="15">
        <f t="shared" si="320"/>
        <v>1</v>
      </c>
      <c r="AG518" s="15">
        <f t="shared" si="321"/>
        <v>1</v>
      </c>
      <c r="AH518" s="15">
        <f t="shared" si="322"/>
        <v>1</v>
      </c>
      <c r="AI518" s="15">
        <f t="shared" si="323"/>
        <v>1</v>
      </c>
      <c r="AJ518" s="15">
        <f t="shared" si="324"/>
        <v>1</v>
      </c>
      <c r="AK518" s="15">
        <f t="shared" si="325"/>
        <v>1</v>
      </c>
      <c r="AL518" s="15">
        <f t="shared" si="326"/>
        <v>1</v>
      </c>
      <c r="AM518" s="15">
        <f t="shared" si="327"/>
        <v>1</v>
      </c>
      <c r="AN518" s="15">
        <f t="shared" si="328"/>
        <v>1</v>
      </c>
      <c r="AO518" s="15">
        <f t="shared" si="329"/>
        <v>1</v>
      </c>
      <c r="AP518" s="15">
        <f t="shared" si="330"/>
        <v>1</v>
      </c>
      <c r="AQ518" s="15">
        <f t="shared" si="331"/>
        <v>1</v>
      </c>
      <c r="AR518" s="15">
        <f t="shared" si="332"/>
        <v>1</v>
      </c>
      <c r="AS518" s="15">
        <f t="shared" si="333"/>
        <v>1</v>
      </c>
      <c r="AT518" s="15">
        <f t="shared" si="334"/>
        <v>1</v>
      </c>
      <c r="AU518" s="15">
        <f t="shared" si="335"/>
        <v>1</v>
      </c>
      <c r="AV518" s="15">
        <f t="shared" si="336"/>
        <v>1</v>
      </c>
      <c r="AW518" s="15">
        <f t="shared" si="337"/>
        <v>1</v>
      </c>
      <c r="AX518" s="15">
        <f t="shared" si="338"/>
        <v>1</v>
      </c>
      <c r="AY518" s="15">
        <f t="shared" si="339"/>
        <v>1</v>
      </c>
      <c r="AZ518" s="15">
        <f t="shared" si="340"/>
        <v>1</v>
      </c>
      <c r="BA518" s="15">
        <f t="shared" si="341"/>
        <v>1</v>
      </c>
      <c r="BB518" s="15">
        <f t="shared" si="348"/>
        <v>0</v>
      </c>
      <c r="BC518" s="15" t="str">
        <f t="shared" si="349"/>
        <v/>
      </c>
      <c r="BD518" s="15" t="str">
        <f t="shared" si="350"/>
        <v/>
      </c>
      <c r="BE518" s="11" t="e">
        <f t="shared" si="342"/>
        <v>#VALUE!</v>
      </c>
      <c r="BF518" s="11" t="e">
        <f t="shared" si="343"/>
        <v>#VALUE!</v>
      </c>
      <c r="BG518" s="11" t="e">
        <f t="shared" si="344"/>
        <v>#VALUE!</v>
      </c>
      <c r="BH518" t="str">
        <f t="shared" si="345"/>
        <v/>
      </c>
      <c r="BI518" t="str" cm="1">
        <f t="array" ref="BI518">_xlfn.IFS(
  L518&gt;0,"Critical Fail",
  M518&gt;0,"Important (Coaching)",
  TRUE,"Clean Pass"
)</f>
        <v>Clean Pass</v>
      </c>
      <c r="BJ518" t="str">
        <f t="shared" si="346"/>
        <v>NA</v>
      </c>
    </row>
    <row r="519" spans="1:62" x14ac:dyDescent="0.3">
      <c r="A519">
        <v>873622</v>
      </c>
      <c r="K519" t="str">
        <f t="shared" si="347"/>
        <v>Pass</v>
      </c>
      <c r="L519" s="15">
        <f t="shared" si="312"/>
        <v>0</v>
      </c>
      <c r="M519" s="15">
        <f t="shared" si="313"/>
        <v>0</v>
      </c>
      <c r="Z519" s="15">
        <f t="shared" si="314"/>
        <v>1</v>
      </c>
      <c r="AA519" s="15">
        <f t="shared" si="315"/>
        <v>1</v>
      </c>
      <c r="AB519" s="15">
        <f t="shared" si="316"/>
        <v>1</v>
      </c>
      <c r="AC519" s="15">
        <f t="shared" si="317"/>
        <v>1</v>
      </c>
      <c r="AD519" s="15">
        <f t="shared" si="318"/>
        <v>1</v>
      </c>
      <c r="AE519" s="15">
        <f t="shared" si="319"/>
        <v>1</v>
      </c>
      <c r="AF519" s="15">
        <f t="shared" si="320"/>
        <v>1</v>
      </c>
      <c r="AG519" s="15">
        <f t="shared" si="321"/>
        <v>1</v>
      </c>
      <c r="AH519" s="15">
        <f t="shared" si="322"/>
        <v>1</v>
      </c>
      <c r="AI519" s="15">
        <f t="shared" si="323"/>
        <v>1</v>
      </c>
      <c r="AJ519" s="15">
        <f t="shared" si="324"/>
        <v>1</v>
      </c>
      <c r="AK519" s="15">
        <f t="shared" si="325"/>
        <v>1</v>
      </c>
      <c r="AL519" s="15">
        <f t="shared" si="326"/>
        <v>1</v>
      </c>
      <c r="AM519" s="15">
        <f t="shared" si="327"/>
        <v>1</v>
      </c>
      <c r="AN519" s="15">
        <f t="shared" si="328"/>
        <v>1</v>
      </c>
      <c r="AO519" s="15">
        <f t="shared" si="329"/>
        <v>1</v>
      </c>
      <c r="AP519" s="15">
        <f t="shared" si="330"/>
        <v>1</v>
      </c>
      <c r="AQ519" s="15">
        <f t="shared" si="331"/>
        <v>1</v>
      </c>
      <c r="AR519" s="15">
        <f t="shared" si="332"/>
        <v>1</v>
      </c>
      <c r="AS519" s="15">
        <f t="shared" si="333"/>
        <v>1</v>
      </c>
      <c r="AT519" s="15">
        <f t="shared" si="334"/>
        <v>1</v>
      </c>
      <c r="AU519" s="15">
        <f t="shared" si="335"/>
        <v>1</v>
      </c>
      <c r="AV519" s="15">
        <f t="shared" si="336"/>
        <v>1</v>
      </c>
      <c r="AW519" s="15">
        <f t="shared" si="337"/>
        <v>1</v>
      </c>
      <c r="AX519" s="15">
        <f t="shared" si="338"/>
        <v>1</v>
      </c>
      <c r="AY519" s="15">
        <f t="shared" si="339"/>
        <v>1</v>
      </c>
      <c r="AZ519" s="15">
        <f t="shared" si="340"/>
        <v>1</v>
      </c>
      <c r="BA519" s="15">
        <f t="shared" si="341"/>
        <v>1</v>
      </c>
      <c r="BB519" s="15">
        <f t="shared" si="348"/>
        <v>0</v>
      </c>
      <c r="BC519" s="15" t="str">
        <f t="shared" si="349"/>
        <v/>
      </c>
      <c r="BD519" s="15" t="str">
        <f t="shared" si="350"/>
        <v/>
      </c>
      <c r="BE519" s="11" t="e">
        <f t="shared" si="342"/>
        <v>#VALUE!</v>
      </c>
      <c r="BF519" s="11" t="e">
        <f t="shared" si="343"/>
        <v>#VALUE!</v>
      </c>
      <c r="BG519" s="11" t="e">
        <f t="shared" si="344"/>
        <v>#VALUE!</v>
      </c>
      <c r="BH519" t="str">
        <f t="shared" si="345"/>
        <v/>
      </c>
      <c r="BI519" t="str" cm="1">
        <f t="array" ref="BI519">_xlfn.IFS(
  L519&gt;0,"Critical Fail",
  M519&gt;0,"Important (Coaching)",
  TRUE,"Clean Pass"
)</f>
        <v>Clean Pass</v>
      </c>
      <c r="BJ519" t="str">
        <f t="shared" si="346"/>
        <v>NA</v>
      </c>
    </row>
    <row r="520" spans="1:62" x14ac:dyDescent="0.3">
      <c r="A520">
        <v>697559</v>
      </c>
      <c r="K520" t="str">
        <f t="shared" si="347"/>
        <v>Pass</v>
      </c>
      <c r="L520" s="15">
        <f t="shared" si="312"/>
        <v>0</v>
      </c>
      <c r="M520" s="15">
        <f t="shared" si="313"/>
        <v>0</v>
      </c>
      <c r="Z520" s="15">
        <f t="shared" si="314"/>
        <v>1</v>
      </c>
      <c r="AA520" s="15">
        <f t="shared" si="315"/>
        <v>1</v>
      </c>
      <c r="AB520" s="15">
        <f t="shared" si="316"/>
        <v>1</v>
      </c>
      <c r="AC520" s="15">
        <f t="shared" si="317"/>
        <v>1</v>
      </c>
      <c r="AD520" s="15">
        <f t="shared" si="318"/>
        <v>1</v>
      </c>
      <c r="AE520" s="15">
        <f t="shared" si="319"/>
        <v>1</v>
      </c>
      <c r="AF520" s="15">
        <f t="shared" si="320"/>
        <v>1</v>
      </c>
      <c r="AG520" s="15">
        <f t="shared" si="321"/>
        <v>1</v>
      </c>
      <c r="AH520" s="15">
        <f t="shared" si="322"/>
        <v>1</v>
      </c>
      <c r="AI520" s="15">
        <f t="shared" si="323"/>
        <v>1</v>
      </c>
      <c r="AJ520" s="15">
        <f t="shared" si="324"/>
        <v>1</v>
      </c>
      <c r="AK520" s="15">
        <f t="shared" si="325"/>
        <v>1</v>
      </c>
      <c r="AL520" s="15">
        <f t="shared" si="326"/>
        <v>1</v>
      </c>
      <c r="AM520" s="15">
        <f t="shared" si="327"/>
        <v>1</v>
      </c>
      <c r="AN520" s="15">
        <f t="shared" si="328"/>
        <v>1</v>
      </c>
      <c r="AO520" s="15">
        <f t="shared" si="329"/>
        <v>1</v>
      </c>
      <c r="AP520" s="15">
        <f t="shared" si="330"/>
        <v>1</v>
      </c>
      <c r="AQ520" s="15">
        <f t="shared" si="331"/>
        <v>1</v>
      </c>
      <c r="AR520" s="15">
        <f t="shared" si="332"/>
        <v>1</v>
      </c>
      <c r="AS520" s="15">
        <f t="shared" si="333"/>
        <v>1</v>
      </c>
      <c r="AT520" s="15">
        <f t="shared" si="334"/>
        <v>1</v>
      </c>
      <c r="AU520" s="15">
        <f t="shared" si="335"/>
        <v>1</v>
      </c>
      <c r="AV520" s="15">
        <f t="shared" si="336"/>
        <v>1</v>
      </c>
      <c r="AW520" s="15">
        <f t="shared" si="337"/>
        <v>1</v>
      </c>
      <c r="AX520" s="15">
        <f t="shared" si="338"/>
        <v>1</v>
      </c>
      <c r="AY520" s="15">
        <f t="shared" si="339"/>
        <v>1</v>
      </c>
      <c r="AZ520" s="15">
        <f t="shared" si="340"/>
        <v>1</v>
      </c>
      <c r="BA520" s="15">
        <f t="shared" si="341"/>
        <v>1</v>
      </c>
      <c r="BB520" s="15">
        <f t="shared" si="348"/>
        <v>0</v>
      </c>
      <c r="BC520" s="15" t="str">
        <f t="shared" si="349"/>
        <v/>
      </c>
      <c r="BD520" s="15" t="str">
        <f t="shared" si="350"/>
        <v/>
      </c>
      <c r="BE520" s="11" t="e">
        <f t="shared" si="342"/>
        <v>#VALUE!</v>
      </c>
      <c r="BF520" s="11" t="e">
        <f t="shared" si="343"/>
        <v>#VALUE!</v>
      </c>
      <c r="BG520" s="11" t="e">
        <f t="shared" si="344"/>
        <v>#VALUE!</v>
      </c>
      <c r="BH520" t="str">
        <f t="shared" si="345"/>
        <v/>
      </c>
      <c r="BI520" t="str" cm="1">
        <f t="array" ref="BI520">_xlfn.IFS(
  L520&gt;0,"Critical Fail",
  M520&gt;0,"Important (Coaching)",
  TRUE,"Clean Pass"
)</f>
        <v>Clean Pass</v>
      </c>
      <c r="BJ520" t="str">
        <f t="shared" si="346"/>
        <v>NA</v>
      </c>
    </row>
    <row r="521" spans="1:62" x14ac:dyDescent="0.3">
      <c r="A521">
        <v>413880</v>
      </c>
      <c r="K521" t="str">
        <f t="shared" si="347"/>
        <v>Pass</v>
      </c>
      <c r="L521" s="15">
        <f t="shared" si="312"/>
        <v>0</v>
      </c>
      <c r="M521" s="15">
        <f t="shared" si="313"/>
        <v>0</v>
      </c>
      <c r="Z521" s="15">
        <f t="shared" si="314"/>
        <v>1</v>
      </c>
      <c r="AA521" s="15">
        <f t="shared" si="315"/>
        <v>1</v>
      </c>
      <c r="AB521" s="15">
        <f t="shared" si="316"/>
        <v>1</v>
      </c>
      <c r="AC521" s="15">
        <f t="shared" si="317"/>
        <v>1</v>
      </c>
      <c r="AD521" s="15">
        <f t="shared" si="318"/>
        <v>1</v>
      </c>
      <c r="AE521" s="15">
        <f t="shared" si="319"/>
        <v>1</v>
      </c>
      <c r="AF521" s="15">
        <f t="shared" si="320"/>
        <v>1</v>
      </c>
      <c r="AG521" s="15">
        <f t="shared" si="321"/>
        <v>1</v>
      </c>
      <c r="AH521" s="15">
        <f t="shared" si="322"/>
        <v>1</v>
      </c>
      <c r="AI521" s="15">
        <f t="shared" si="323"/>
        <v>1</v>
      </c>
      <c r="AJ521" s="15">
        <f t="shared" si="324"/>
        <v>1</v>
      </c>
      <c r="AK521" s="15">
        <f t="shared" si="325"/>
        <v>1</v>
      </c>
      <c r="AL521" s="15">
        <f t="shared" si="326"/>
        <v>1</v>
      </c>
      <c r="AM521" s="15">
        <f t="shared" si="327"/>
        <v>1</v>
      </c>
      <c r="AN521" s="15">
        <f t="shared" si="328"/>
        <v>1</v>
      </c>
      <c r="AO521" s="15">
        <f t="shared" si="329"/>
        <v>1</v>
      </c>
      <c r="AP521" s="15">
        <f t="shared" si="330"/>
        <v>1</v>
      </c>
      <c r="AQ521" s="15">
        <f t="shared" si="331"/>
        <v>1</v>
      </c>
      <c r="AR521" s="15">
        <f t="shared" si="332"/>
        <v>1</v>
      </c>
      <c r="AS521" s="15">
        <f t="shared" si="333"/>
        <v>1</v>
      </c>
      <c r="AT521" s="15">
        <f t="shared" si="334"/>
        <v>1</v>
      </c>
      <c r="AU521" s="15">
        <f t="shared" si="335"/>
        <v>1</v>
      </c>
      <c r="AV521" s="15">
        <f t="shared" si="336"/>
        <v>1</v>
      </c>
      <c r="AW521" s="15">
        <f t="shared" si="337"/>
        <v>1</v>
      </c>
      <c r="AX521" s="15">
        <f t="shared" si="338"/>
        <v>1</v>
      </c>
      <c r="AY521" s="15">
        <f t="shared" si="339"/>
        <v>1</v>
      </c>
      <c r="AZ521" s="15">
        <f t="shared" si="340"/>
        <v>1</v>
      </c>
      <c r="BA521" s="15">
        <f t="shared" si="341"/>
        <v>1</v>
      </c>
      <c r="BB521" s="15">
        <f t="shared" si="348"/>
        <v>0</v>
      </c>
      <c r="BC521" s="15" t="str">
        <f t="shared" si="349"/>
        <v/>
      </c>
      <c r="BD521" s="15" t="str">
        <f t="shared" si="350"/>
        <v/>
      </c>
      <c r="BE521" s="11" t="e">
        <f t="shared" si="342"/>
        <v>#VALUE!</v>
      </c>
      <c r="BF521" s="11" t="e">
        <f t="shared" si="343"/>
        <v>#VALUE!</v>
      </c>
      <c r="BG521" s="11" t="e">
        <f t="shared" si="344"/>
        <v>#VALUE!</v>
      </c>
      <c r="BH521" t="str">
        <f t="shared" si="345"/>
        <v/>
      </c>
      <c r="BI521" t="str" cm="1">
        <f t="array" ref="BI521">_xlfn.IFS(
  L521&gt;0,"Critical Fail",
  M521&gt;0,"Important (Coaching)",
  TRUE,"Clean Pass"
)</f>
        <v>Clean Pass</v>
      </c>
      <c r="BJ521" t="str">
        <f t="shared" si="346"/>
        <v>NA</v>
      </c>
    </row>
    <row r="522" spans="1:62" x14ac:dyDescent="0.3">
      <c r="A522">
        <v>455132</v>
      </c>
      <c r="K522" t="str">
        <f t="shared" si="347"/>
        <v>Pass</v>
      </c>
      <c r="L522" s="15">
        <f t="shared" si="312"/>
        <v>0</v>
      </c>
      <c r="M522" s="15">
        <f t="shared" si="313"/>
        <v>0</v>
      </c>
      <c r="Z522" s="15">
        <f t="shared" si="314"/>
        <v>1</v>
      </c>
      <c r="AA522" s="15">
        <f t="shared" si="315"/>
        <v>1</v>
      </c>
      <c r="AB522" s="15">
        <f t="shared" si="316"/>
        <v>1</v>
      </c>
      <c r="AC522" s="15">
        <f t="shared" si="317"/>
        <v>1</v>
      </c>
      <c r="AD522" s="15">
        <f t="shared" si="318"/>
        <v>1</v>
      </c>
      <c r="AE522" s="15">
        <f t="shared" si="319"/>
        <v>1</v>
      </c>
      <c r="AF522" s="15">
        <f t="shared" si="320"/>
        <v>1</v>
      </c>
      <c r="AG522" s="15">
        <f t="shared" si="321"/>
        <v>1</v>
      </c>
      <c r="AH522" s="15">
        <f t="shared" si="322"/>
        <v>1</v>
      </c>
      <c r="AI522" s="15">
        <f t="shared" si="323"/>
        <v>1</v>
      </c>
      <c r="AJ522" s="15">
        <f t="shared" si="324"/>
        <v>1</v>
      </c>
      <c r="AK522" s="15">
        <f t="shared" si="325"/>
        <v>1</v>
      </c>
      <c r="AL522" s="15">
        <f t="shared" si="326"/>
        <v>1</v>
      </c>
      <c r="AM522" s="15">
        <f t="shared" si="327"/>
        <v>1</v>
      </c>
      <c r="AN522" s="15">
        <f t="shared" si="328"/>
        <v>1</v>
      </c>
      <c r="AO522" s="15">
        <f t="shared" si="329"/>
        <v>1</v>
      </c>
      <c r="AP522" s="15">
        <f t="shared" si="330"/>
        <v>1</v>
      </c>
      <c r="AQ522" s="15">
        <f t="shared" si="331"/>
        <v>1</v>
      </c>
      <c r="AR522" s="15">
        <f t="shared" si="332"/>
        <v>1</v>
      </c>
      <c r="AS522" s="15">
        <f t="shared" si="333"/>
        <v>1</v>
      </c>
      <c r="AT522" s="15">
        <f t="shared" si="334"/>
        <v>1</v>
      </c>
      <c r="AU522" s="15">
        <f t="shared" si="335"/>
        <v>1</v>
      </c>
      <c r="AV522" s="15">
        <f t="shared" si="336"/>
        <v>1</v>
      </c>
      <c r="AW522" s="15">
        <f t="shared" si="337"/>
        <v>1</v>
      </c>
      <c r="AX522" s="15">
        <f t="shared" si="338"/>
        <v>1</v>
      </c>
      <c r="AY522" s="15">
        <f t="shared" si="339"/>
        <v>1</v>
      </c>
      <c r="AZ522" s="15">
        <f t="shared" si="340"/>
        <v>1</v>
      </c>
      <c r="BA522" s="15">
        <f t="shared" si="341"/>
        <v>1</v>
      </c>
      <c r="BB522" s="15">
        <f t="shared" si="348"/>
        <v>0</v>
      </c>
      <c r="BC522" s="15" t="str">
        <f t="shared" si="349"/>
        <v/>
      </c>
      <c r="BD522" s="15" t="str">
        <f t="shared" si="350"/>
        <v/>
      </c>
      <c r="BE522" s="11" t="e">
        <f t="shared" si="342"/>
        <v>#VALUE!</v>
      </c>
      <c r="BF522" s="11" t="e">
        <f t="shared" si="343"/>
        <v>#VALUE!</v>
      </c>
      <c r="BG522" s="11" t="e">
        <f t="shared" si="344"/>
        <v>#VALUE!</v>
      </c>
      <c r="BH522" t="str">
        <f t="shared" si="345"/>
        <v/>
      </c>
      <c r="BI522" t="str" cm="1">
        <f t="array" ref="BI522">_xlfn.IFS(
  L522&gt;0,"Critical Fail",
  M522&gt;0,"Important (Coaching)",
  TRUE,"Clean Pass"
)</f>
        <v>Clean Pass</v>
      </c>
      <c r="BJ522" t="str">
        <f t="shared" si="346"/>
        <v>NA</v>
      </c>
    </row>
    <row r="523" spans="1:62" x14ac:dyDescent="0.3">
      <c r="A523">
        <v>226218</v>
      </c>
      <c r="K523" t="str">
        <f t="shared" si="347"/>
        <v>Pass</v>
      </c>
      <c r="L523" s="15">
        <f t="shared" si="312"/>
        <v>0</v>
      </c>
      <c r="M523" s="15">
        <f t="shared" si="313"/>
        <v>0</v>
      </c>
      <c r="Z523" s="15">
        <f t="shared" si="314"/>
        <v>1</v>
      </c>
      <c r="AA523" s="15">
        <f t="shared" si="315"/>
        <v>1</v>
      </c>
      <c r="AB523" s="15">
        <f t="shared" si="316"/>
        <v>1</v>
      </c>
      <c r="AC523" s="15">
        <f t="shared" si="317"/>
        <v>1</v>
      </c>
      <c r="AD523" s="15">
        <f t="shared" si="318"/>
        <v>1</v>
      </c>
      <c r="AE523" s="15">
        <f t="shared" si="319"/>
        <v>1</v>
      </c>
      <c r="AF523" s="15">
        <f t="shared" si="320"/>
        <v>1</v>
      </c>
      <c r="AG523" s="15">
        <f t="shared" si="321"/>
        <v>1</v>
      </c>
      <c r="AH523" s="15">
        <f t="shared" si="322"/>
        <v>1</v>
      </c>
      <c r="AI523" s="15">
        <f t="shared" si="323"/>
        <v>1</v>
      </c>
      <c r="AJ523" s="15">
        <f t="shared" si="324"/>
        <v>1</v>
      </c>
      <c r="AK523" s="15">
        <f t="shared" si="325"/>
        <v>1</v>
      </c>
      <c r="AL523" s="15">
        <f t="shared" si="326"/>
        <v>1</v>
      </c>
      <c r="AM523" s="15">
        <f t="shared" si="327"/>
        <v>1</v>
      </c>
      <c r="AN523" s="15">
        <f t="shared" si="328"/>
        <v>1</v>
      </c>
      <c r="AO523" s="15">
        <f t="shared" si="329"/>
        <v>1</v>
      </c>
      <c r="AP523" s="15">
        <f t="shared" si="330"/>
        <v>1</v>
      </c>
      <c r="AQ523" s="15">
        <f t="shared" si="331"/>
        <v>1</v>
      </c>
      <c r="AR523" s="15">
        <f t="shared" si="332"/>
        <v>1</v>
      </c>
      <c r="AS523" s="15">
        <f t="shared" si="333"/>
        <v>1</v>
      </c>
      <c r="AT523" s="15">
        <f t="shared" si="334"/>
        <v>1</v>
      </c>
      <c r="AU523" s="15">
        <f t="shared" si="335"/>
        <v>1</v>
      </c>
      <c r="AV523" s="15">
        <f t="shared" si="336"/>
        <v>1</v>
      </c>
      <c r="AW523" s="15">
        <f t="shared" si="337"/>
        <v>1</v>
      </c>
      <c r="AX523" s="15">
        <f t="shared" si="338"/>
        <v>1</v>
      </c>
      <c r="AY523" s="15">
        <f t="shared" si="339"/>
        <v>1</v>
      </c>
      <c r="AZ523" s="15">
        <f t="shared" si="340"/>
        <v>1</v>
      </c>
      <c r="BA523" s="15">
        <f t="shared" si="341"/>
        <v>1</v>
      </c>
      <c r="BB523" s="15">
        <f t="shared" si="348"/>
        <v>0</v>
      </c>
      <c r="BC523" s="15" t="str">
        <f t="shared" si="349"/>
        <v/>
      </c>
      <c r="BD523" s="15" t="str">
        <f t="shared" si="350"/>
        <v/>
      </c>
      <c r="BE523" s="11" t="e">
        <f t="shared" si="342"/>
        <v>#VALUE!</v>
      </c>
      <c r="BF523" s="11" t="e">
        <f t="shared" si="343"/>
        <v>#VALUE!</v>
      </c>
      <c r="BG523" s="11" t="e">
        <f t="shared" si="344"/>
        <v>#VALUE!</v>
      </c>
      <c r="BH523" t="str">
        <f t="shared" si="345"/>
        <v/>
      </c>
      <c r="BI523" t="str" cm="1">
        <f t="array" ref="BI523">_xlfn.IFS(
  L523&gt;0,"Critical Fail",
  M523&gt;0,"Important (Coaching)",
  TRUE,"Clean Pass"
)</f>
        <v>Clean Pass</v>
      </c>
      <c r="BJ523" t="str">
        <f t="shared" si="346"/>
        <v>NA</v>
      </c>
    </row>
    <row r="524" spans="1:62" x14ac:dyDescent="0.3">
      <c r="A524">
        <v>665176</v>
      </c>
      <c r="K524" t="str">
        <f t="shared" si="347"/>
        <v>Pass</v>
      </c>
      <c r="L524" s="15">
        <f t="shared" si="312"/>
        <v>0</v>
      </c>
      <c r="M524" s="15">
        <f t="shared" si="313"/>
        <v>0</v>
      </c>
      <c r="Z524" s="15">
        <f t="shared" si="314"/>
        <v>1</v>
      </c>
      <c r="AA524" s="15">
        <f t="shared" si="315"/>
        <v>1</v>
      </c>
      <c r="AB524" s="15">
        <f t="shared" si="316"/>
        <v>1</v>
      </c>
      <c r="AC524" s="15">
        <f t="shared" si="317"/>
        <v>1</v>
      </c>
      <c r="AD524" s="15">
        <f t="shared" si="318"/>
        <v>1</v>
      </c>
      <c r="AE524" s="15">
        <f t="shared" si="319"/>
        <v>1</v>
      </c>
      <c r="AF524" s="15">
        <f t="shared" si="320"/>
        <v>1</v>
      </c>
      <c r="AG524" s="15">
        <f t="shared" si="321"/>
        <v>1</v>
      </c>
      <c r="AH524" s="15">
        <f t="shared" si="322"/>
        <v>1</v>
      </c>
      <c r="AI524" s="15">
        <f t="shared" si="323"/>
        <v>1</v>
      </c>
      <c r="AJ524" s="15">
        <f t="shared" si="324"/>
        <v>1</v>
      </c>
      <c r="AK524" s="15">
        <f t="shared" si="325"/>
        <v>1</v>
      </c>
      <c r="AL524" s="15">
        <f t="shared" si="326"/>
        <v>1</v>
      </c>
      <c r="AM524" s="15">
        <f t="shared" si="327"/>
        <v>1</v>
      </c>
      <c r="AN524" s="15">
        <f t="shared" si="328"/>
        <v>1</v>
      </c>
      <c r="AO524" s="15">
        <f t="shared" si="329"/>
        <v>1</v>
      </c>
      <c r="AP524" s="15">
        <f t="shared" si="330"/>
        <v>1</v>
      </c>
      <c r="AQ524" s="15">
        <f t="shared" si="331"/>
        <v>1</v>
      </c>
      <c r="AR524" s="15">
        <f t="shared" si="332"/>
        <v>1</v>
      </c>
      <c r="AS524" s="15">
        <f t="shared" si="333"/>
        <v>1</v>
      </c>
      <c r="AT524" s="15">
        <f t="shared" si="334"/>
        <v>1</v>
      </c>
      <c r="AU524" s="15">
        <f t="shared" si="335"/>
        <v>1</v>
      </c>
      <c r="AV524" s="15">
        <f t="shared" si="336"/>
        <v>1</v>
      </c>
      <c r="AW524" s="15">
        <f t="shared" si="337"/>
        <v>1</v>
      </c>
      <c r="AX524" s="15">
        <f t="shared" si="338"/>
        <v>1</v>
      </c>
      <c r="AY524" s="15">
        <f t="shared" si="339"/>
        <v>1</v>
      </c>
      <c r="AZ524" s="15">
        <f t="shared" si="340"/>
        <v>1</v>
      </c>
      <c r="BA524" s="15">
        <f t="shared" si="341"/>
        <v>1</v>
      </c>
      <c r="BB524" s="15">
        <f t="shared" si="348"/>
        <v>0</v>
      </c>
      <c r="BC524" s="15" t="str">
        <f t="shared" si="349"/>
        <v/>
      </c>
      <c r="BD524" s="15" t="str">
        <f t="shared" si="350"/>
        <v/>
      </c>
      <c r="BE524" s="11" t="e">
        <f t="shared" si="342"/>
        <v>#VALUE!</v>
      </c>
      <c r="BF524" s="11" t="e">
        <f t="shared" si="343"/>
        <v>#VALUE!</v>
      </c>
      <c r="BG524" s="11" t="e">
        <f t="shared" si="344"/>
        <v>#VALUE!</v>
      </c>
      <c r="BH524" t="str">
        <f t="shared" si="345"/>
        <v/>
      </c>
      <c r="BI524" t="str" cm="1">
        <f t="array" ref="BI524">_xlfn.IFS(
  L524&gt;0,"Critical Fail",
  M524&gt;0,"Important (Coaching)",
  TRUE,"Clean Pass"
)</f>
        <v>Clean Pass</v>
      </c>
      <c r="BJ524" t="str">
        <f t="shared" si="346"/>
        <v>NA</v>
      </c>
    </row>
    <row r="525" spans="1:62" x14ac:dyDescent="0.3">
      <c r="A525">
        <v>437429</v>
      </c>
      <c r="K525" t="str">
        <f t="shared" si="347"/>
        <v>Pass</v>
      </c>
      <c r="L525" s="15">
        <f t="shared" si="312"/>
        <v>0</v>
      </c>
      <c r="M525" s="15">
        <f t="shared" si="313"/>
        <v>0</v>
      </c>
      <c r="Z525" s="15">
        <f t="shared" si="314"/>
        <v>1</v>
      </c>
      <c r="AA525" s="15">
        <f t="shared" si="315"/>
        <v>1</v>
      </c>
      <c r="AB525" s="15">
        <f t="shared" si="316"/>
        <v>1</v>
      </c>
      <c r="AC525" s="15">
        <f t="shared" si="317"/>
        <v>1</v>
      </c>
      <c r="AD525" s="15">
        <f t="shared" si="318"/>
        <v>1</v>
      </c>
      <c r="AE525" s="15">
        <f t="shared" si="319"/>
        <v>1</v>
      </c>
      <c r="AF525" s="15">
        <f t="shared" si="320"/>
        <v>1</v>
      </c>
      <c r="AG525" s="15">
        <f t="shared" si="321"/>
        <v>1</v>
      </c>
      <c r="AH525" s="15">
        <f t="shared" si="322"/>
        <v>1</v>
      </c>
      <c r="AI525" s="15">
        <f t="shared" si="323"/>
        <v>1</v>
      </c>
      <c r="AJ525" s="15">
        <f t="shared" si="324"/>
        <v>1</v>
      </c>
      <c r="AK525" s="15">
        <f t="shared" si="325"/>
        <v>1</v>
      </c>
      <c r="AL525" s="15">
        <f t="shared" si="326"/>
        <v>1</v>
      </c>
      <c r="AM525" s="15">
        <f t="shared" si="327"/>
        <v>1</v>
      </c>
      <c r="AN525" s="15">
        <f t="shared" si="328"/>
        <v>1</v>
      </c>
      <c r="AO525" s="15">
        <f t="shared" si="329"/>
        <v>1</v>
      </c>
      <c r="AP525" s="15">
        <f t="shared" si="330"/>
        <v>1</v>
      </c>
      <c r="AQ525" s="15">
        <f t="shared" si="331"/>
        <v>1</v>
      </c>
      <c r="AR525" s="15">
        <f t="shared" si="332"/>
        <v>1</v>
      </c>
      <c r="AS525" s="15">
        <f t="shared" si="333"/>
        <v>1</v>
      </c>
      <c r="AT525" s="15">
        <f t="shared" si="334"/>
        <v>1</v>
      </c>
      <c r="AU525" s="15">
        <f t="shared" si="335"/>
        <v>1</v>
      </c>
      <c r="AV525" s="15">
        <f t="shared" si="336"/>
        <v>1</v>
      </c>
      <c r="AW525" s="15">
        <f t="shared" si="337"/>
        <v>1</v>
      </c>
      <c r="AX525" s="15">
        <f t="shared" si="338"/>
        <v>1</v>
      </c>
      <c r="AY525" s="15">
        <f t="shared" si="339"/>
        <v>1</v>
      </c>
      <c r="AZ525" s="15">
        <f t="shared" si="340"/>
        <v>1</v>
      </c>
      <c r="BA525" s="15">
        <f t="shared" si="341"/>
        <v>1</v>
      </c>
      <c r="BB525" s="15">
        <f t="shared" si="348"/>
        <v>0</v>
      </c>
      <c r="BC525" s="15" t="str">
        <f t="shared" si="349"/>
        <v/>
      </c>
      <c r="BD525" s="15" t="str">
        <f t="shared" si="350"/>
        <v/>
      </c>
      <c r="BE525" s="11" t="e">
        <f t="shared" si="342"/>
        <v>#VALUE!</v>
      </c>
      <c r="BF525" s="11" t="e">
        <f t="shared" si="343"/>
        <v>#VALUE!</v>
      </c>
      <c r="BG525" s="11" t="e">
        <f t="shared" si="344"/>
        <v>#VALUE!</v>
      </c>
      <c r="BH525" t="str">
        <f t="shared" si="345"/>
        <v/>
      </c>
      <c r="BI525" t="str" cm="1">
        <f t="array" ref="BI525">_xlfn.IFS(
  L525&gt;0,"Critical Fail",
  M525&gt;0,"Important (Coaching)",
  TRUE,"Clean Pass"
)</f>
        <v>Clean Pass</v>
      </c>
      <c r="BJ525" t="str">
        <f t="shared" si="346"/>
        <v>NA</v>
      </c>
    </row>
    <row r="526" spans="1:62" x14ac:dyDescent="0.3">
      <c r="A526">
        <v>122942</v>
      </c>
      <c r="K526" t="str">
        <f t="shared" si="347"/>
        <v>Pass</v>
      </c>
      <c r="L526" s="15">
        <f t="shared" si="312"/>
        <v>0</v>
      </c>
      <c r="M526" s="15">
        <f t="shared" si="313"/>
        <v>0</v>
      </c>
      <c r="Z526" s="15">
        <f t="shared" si="314"/>
        <v>1</v>
      </c>
      <c r="AA526" s="15">
        <f t="shared" si="315"/>
        <v>1</v>
      </c>
      <c r="AB526" s="15">
        <f t="shared" si="316"/>
        <v>1</v>
      </c>
      <c r="AC526" s="15">
        <f t="shared" si="317"/>
        <v>1</v>
      </c>
      <c r="AD526" s="15">
        <f t="shared" si="318"/>
        <v>1</v>
      </c>
      <c r="AE526" s="15">
        <f t="shared" si="319"/>
        <v>1</v>
      </c>
      <c r="AF526" s="15">
        <f t="shared" si="320"/>
        <v>1</v>
      </c>
      <c r="AG526" s="15">
        <f t="shared" si="321"/>
        <v>1</v>
      </c>
      <c r="AH526" s="15">
        <f t="shared" si="322"/>
        <v>1</v>
      </c>
      <c r="AI526" s="15">
        <f t="shared" si="323"/>
        <v>1</v>
      </c>
      <c r="AJ526" s="15">
        <f t="shared" si="324"/>
        <v>1</v>
      </c>
      <c r="AK526" s="15">
        <f t="shared" si="325"/>
        <v>1</v>
      </c>
      <c r="AL526" s="15">
        <f t="shared" si="326"/>
        <v>1</v>
      </c>
      <c r="AM526" s="15">
        <f t="shared" si="327"/>
        <v>1</v>
      </c>
      <c r="AN526" s="15">
        <f t="shared" si="328"/>
        <v>1</v>
      </c>
      <c r="AO526" s="15">
        <f t="shared" si="329"/>
        <v>1</v>
      </c>
      <c r="AP526" s="15">
        <f t="shared" si="330"/>
        <v>1</v>
      </c>
      <c r="AQ526" s="15">
        <f t="shared" si="331"/>
        <v>1</v>
      </c>
      <c r="AR526" s="15">
        <f t="shared" si="332"/>
        <v>1</v>
      </c>
      <c r="AS526" s="15">
        <f t="shared" si="333"/>
        <v>1</v>
      </c>
      <c r="AT526" s="15">
        <f t="shared" si="334"/>
        <v>1</v>
      </c>
      <c r="AU526" s="15">
        <f t="shared" si="335"/>
        <v>1</v>
      </c>
      <c r="AV526" s="15">
        <f t="shared" si="336"/>
        <v>1</v>
      </c>
      <c r="AW526" s="15">
        <f t="shared" si="337"/>
        <v>1</v>
      </c>
      <c r="AX526" s="15">
        <f t="shared" si="338"/>
        <v>1</v>
      </c>
      <c r="AY526" s="15">
        <f t="shared" si="339"/>
        <v>1</v>
      </c>
      <c r="AZ526" s="15">
        <f t="shared" si="340"/>
        <v>1</v>
      </c>
      <c r="BA526" s="15">
        <f t="shared" si="341"/>
        <v>1</v>
      </c>
      <c r="BB526" s="15">
        <f t="shared" si="348"/>
        <v>0</v>
      </c>
      <c r="BC526" s="15" t="str">
        <f t="shared" si="349"/>
        <v/>
      </c>
      <c r="BD526" s="15" t="str">
        <f t="shared" si="350"/>
        <v/>
      </c>
      <c r="BE526" s="11" t="e">
        <f t="shared" si="342"/>
        <v>#VALUE!</v>
      </c>
      <c r="BF526" s="11" t="e">
        <f t="shared" si="343"/>
        <v>#VALUE!</v>
      </c>
      <c r="BG526" s="11" t="e">
        <f t="shared" si="344"/>
        <v>#VALUE!</v>
      </c>
      <c r="BH526" t="str">
        <f t="shared" si="345"/>
        <v/>
      </c>
      <c r="BI526" t="str" cm="1">
        <f t="array" ref="BI526">_xlfn.IFS(
  L526&gt;0,"Critical Fail",
  M526&gt;0,"Important (Coaching)",
  TRUE,"Clean Pass"
)</f>
        <v>Clean Pass</v>
      </c>
      <c r="BJ526" t="str">
        <f t="shared" si="346"/>
        <v>NA</v>
      </c>
    </row>
    <row r="527" spans="1:62" x14ac:dyDescent="0.3">
      <c r="A527">
        <v>829805</v>
      </c>
      <c r="K527" t="str">
        <f t="shared" si="347"/>
        <v>Pass</v>
      </c>
      <c r="L527" s="15">
        <f t="shared" si="312"/>
        <v>0</v>
      </c>
      <c r="M527" s="15">
        <f t="shared" si="313"/>
        <v>0</v>
      </c>
      <c r="Z527" s="15">
        <f t="shared" si="314"/>
        <v>1</v>
      </c>
      <c r="AA527" s="15">
        <f t="shared" si="315"/>
        <v>1</v>
      </c>
      <c r="AB527" s="15">
        <f t="shared" si="316"/>
        <v>1</v>
      </c>
      <c r="AC527" s="15">
        <f t="shared" si="317"/>
        <v>1</v>
      </c>
      <c r="AD527" s="15">
        <f t="shared" si="318"/>
        <v>1</v>
      </c>
      <c r="AE527" s="15">
        <f t="shared" si="319"/>
        <v>1</v>
      </c>
      <c r="AF527" s="15">
        <f t="shared" si="320"/>
        <v>1</v>
      </c>
      <c r="AG527" s="15">
        <f t="shared" si="321"/>
        <v>1</v>
      </c>
      <c r="AH527" s="15">
        <f t="shared" si="322"/>
        <v>1</v>
      </c>
      <c r="AI527" s="15">
        <f t="shared" si="323"/>
        <v>1</v>
      </c>
      <c r="AJ527" s="15">
        <f t="shared" si="324"/>
        <v>1</v>
      </c>
      <c r="AK527" s="15">
        <f t="shared" si="325"/>
        <v>1</v>
      </c>
      <c r="AL527" s="15">
        <f t="shared" si="326"/>
        <v>1</v>
      </c>
      <c r="AM527" s="15">
        <f t="shared" si="327"/>
        <v>1</v>
      </c>
      <c r="AN527" s="15">
        <f t="shared" si="328"/>
        <v>1</v>
      </c>
      <c r="AO527" s="15">
        <f t="shared" si="329"/>
        <v>1</v>
      </c>
      <c r="AP527" s="15">
        <f t="shared" si="330"/>
        <v>1</v>
      </c>
      <c r="AQ527" s="15">
        <f t="shared" si="331"/>
        <v>1</v>
      </c>
      <c r="AR527" s="15">
        <f t="shared" si="332"/>
        <v>1</v>
      </c>
      <c r="AS527" s="15">
        <f t="shared" si="333"/>
        <v>1</v>
      </c>
      <c r="AT527" s="15">
        <f t="shared" si="334"/>
        <v>1</v>
      </c>
      <c r="AU527" s="15">
        <f t="shared" si="335"/>
        <v>1</v>
      </c>
      <c r="AV527" s="15">
        <f t="shared" si="336"/>
        <v>1</v>
      </c>
      <c r="AW527" s="15">
        <f t="shared" si="337"/>
        <v>1</v>
      </c>
      <c r="AX527" s="15">
        <f t="shared" si="338"/>
        <v>1</v>
      </c>
      <c r="AY527" s="15">
        <f t="shared" si="339"/>
        <v>1</v>
      </c>
      <c r="AZ527" s="15">
        <f t="shared" si="340"/>
        <v>1</v>
      </c>
      <c r="BA527" s="15">
        <f t="shared" si="341"/>
        <v>1</v>
      </c>
      <c r="BB527" s="15">
        <f t="shared" si="348"/>
        <v>0</v>
      </c>
      <c r="BC527" s="15" t="str">
        <f t="shared" si="349"/>
        <v/>
      </c>
      <c r="BD527" s="15" t="str">
        <f t="shared" si="350"/>
        <v/>
      </c>
      <c r="BE527" s="11" t="e">
        <f t="shared" si="342"/>
        <v>#VALUE!</v>
      </c>
      <c r="BF527" s="11" t="e">
        <f t="shared" si="343"/>
        <v>#VALUE!</v>
      </c>
      <c r="BG527" s="11" t="e">
        <f t="shared" si="344"/>
        <v>#VALUE!</v>
      </c>
      <c r="BH527" t="str">
        <f t="shared" si="345"/>
        <v/>
      </c>
      <c r="BI527" t="str" cm="1">
        <f t="array" ref="BI527">_xlfn.IFS(
  L527&gt;0,"Critical Fail",
  M527&gt;0,"Important (Coaching)",
  TRUE,"Clean Pass"
)</f>
        <v>Clean Pass</v>
      </c>
      <c r="BJ527" t="str">
        <f t="shared" si="346"/>
        <v>NA</v>
      </c>
    </row>
    <row r="528" spans="1:62" x14ac:dyDescent="0.3">
      <c r="A528">
        <v>902841</v>
      </c>
      <c r="K528" t="str">
        <f t="shared" si="347"/>
        <v>Pass</v>
      </c>
      <c r="L528" s="15">
        <f t="shared" si="312"/>
        <v>0</v>
      </c>
      <c r="M528" s="15">
        <f t="shared" si="313"/>
        <v>0</v>
      </c>
      <c r="Z528" s="15">
        <f t="shared" si="314"/>
        <v>1</v>
      </c>
      <c r="AA528" s="15">
        <f t="shared" si="315"/>
        <v>1</v>
      </c>
      <c r="AB528" s="15">
        <f t="shared" si="316"/>
        <v>1</v>
      </c>
      <c r="AC528" s="15">
        <f t="shared" si="317"/>
        <v>1</v>
      </c>
      <c r="AD528" s="15">
        <f t="shared" si="318"/>
        <v>1</v>
      </c>
      <c r="AE528" s="15">
        <f t="shared" si="319"/>
        <v>1</v>
      </c>
      <c r="AF528" s="15">
        <f t="shared" si="320"/>
        <v>1</v>
      </c>
      <c r="AG528" s="15">
        <f t="shared" si="321"/>
        <v>1</v>
      </c>
      <c r="AH528" s="15">
        <f t="shared" si="322"/>
        <v>1</v>
      </c>
      <c r="AI528" s="15">
        <f t="shared" si="323"/>
        <v>1</v>
      </c>
      <c r="AJ528" s="15">
        <f t="shared" si="324"/>
        <v>1</v>
      </c>
      <c r="AK528" s="15">
        <f t="shared" si="325"/>
        <v>1</v>
      </c>
      <c r="AL528" s="15">
        <f t="shared" si="326"/>
        <v>1</v>
      </c>
      <c r="AM528" s="15">
        <f t="shared" si="327"/>
        <v>1</v>
      </c>
      <c r="AN528" s="15">
        <f t="shared" si="328"/>
        <v>1</v>
      </c>
      <c r="AO528" s="15">
        <f t="shared" si="329"/>
        <v>1</v>
      </c>
      <c r="AP528" s="15">
        <f t="shared" si="330"/>
        <v>1</v>
      </c>
      <c r="AQ528" s="15">
        <f t="shared" si="331"/>
        <v>1</v>
      </c>
      <c r="AR528" s="15">
        <f t="shared" si="332"/>
        <v>1</v>
      </c>
      <c r="AS528" s="15">
        <f t="shared" si="333"/>
        <v>1</v>
      </c>
      <c r="AT528" s="15">
        <f t="shared" si="334"/>
        <v>1</v>
      </c>
      <c r="AU528" s="15">
        <f t="shared" si="335"/>
        <v>1</v>
      </c>
      <c r="AV528" s="15">
        <f t="shared" si="336"/>
        <v>1</v>
      </c>
      <c r="AW528" s="15">
        <f t="shared" si="337"/>
        <v>1</v>
      </c>
      <c r="AX528" s="15">
        <f t="shared" si="338"/>
        <v>1</v>
      </c>
      <c r="AY528" s="15">
        <f t="shared" si="339"/>
        <v>1</v>
      </c>
      <c r="AZ528" s="15">
        <f t="shared" si="340"/>
        <v>1</v>
      </c>
      <c r="BA528" s="15">
        <f t="shared" si="341"/>
        <v>1</v>
      </c>
      <c r="BB528" s="15">
        <f t="shared" si="348"/>
        <v>0</v>
      </c>
      <c r="BC528" s="15" t="str">
        <f t="shared" si="349"/>
        <v/>
      </c>
      <c r="BD528" s="15" t="str">
        <f t="shared" si="350"/>
        <v/>
      </c>
      <c r="BE528" s="11" t="e">
        <f t="shared" si="342"/>
        <v>#VALUE!</v>
      </c>
      <c r="BF528" s="11" t="e">
        <f t="shared" si="343"/>
        <v>#VALUE!</v>
      </c>
      <c r="BG528" s="11" t="e">
        <f t="shared" si="344"/>
        <v>#VALUE!</v>
      </c>
      <c r="BH528" t="str">
        <f t="shared" si="345"/>
        <v/>
      </c>
      <c r="BI528" t="str" cm="1">
        <f t="array" ref="BI528">_xlfn.IFS(
  L528&gt;0,"Critical Fail",
  M528&gt;0,"Important (Coaching)",
  TRUE,"Clean Pass"
)</f>
        <v>Clean Pass</v>
      </c>
      <c r="BJ528" t="str">
        <f t="shared" si="346"/>
        <v>NA</v>
      </c>
    </row>
    <row r="529" spans="1:62" x14ac:dyDescent="0.3">
      <c r="A529">
        <v>914034</v>
      </c>
      <c r="K529" t="str">
        <f t="shared" si="347"/>
        <v>Pass</v>
      </c>
      <c r="L529" s="15">
        <f t="shared" si="312"/>
        <v>0</v>
      </c>
      <c r="M529" s="15">
        <f t="shared" si="313"/>
        <v>0</v>
      </c>
      <c r="Z529" s="15">
        <f t="shared" si="314"/>
        <v>1</v>
      </c>
      <c r="AA529" s="15">
        <f t="shared" si="315"/>
        <v>1</v>
      </c>
      <c r="AB529" s="15">
        <f t="shared" si="316"/>
        <v>1</v>
      </c>
      <c r="AC529" s="15">
        <f t="shared" si="317"/>
        <v>1</v>
      </c>
      <c r="AD529" s="15">
        <f t="shared" si="318"/>
        <v>1</v>
      </c>
      <c r="AE529" s="15">
        <f t="shared" si="319"/>
        <v>1</v>
      </c>
      <c r="AF529" s="15">
        <f t="shared" si="320"/>
        <v>1</v>
      </c>
      <c r="AG529" s="15">
        <f t="shared" si="321"/>
        <v>1</v>
      </c>
      <c r="AH529" s="15">
        <f t="shared" si="322"/>
        <v>1</v>
      </c>
      <c r="AI529" s="15">
        <f t="shared" si="323"/>
        <v>1</v>
      </c>
      <c r="AJ529" s="15">
        <f t="shared" si="324"/>
        <v>1</v>
      </c>
      <c r="AK529" s="15">
        <f t="shared" si="325"/>
        <v>1</v>
      </c>
      <c r="AL529" s="15">
        <f t="shared" si="326"/>
        <v>1</v>
      </c>
      <c r="AM529" s="15">
        <f t="shared" si="327"/>
        <v>1</v>
      </c>
      <c r="AN529" s="15">
        <f t="shared" si="328"/>
        <v>1</v>
      </c>
      <c r="AO529" s="15">
        <f t="shared" si="329"/>
        <v>1</v>
      </c>
      <c r="AP529" s="15">
        <f t="shared" si="330"/>
        <v>1</v>
      </c>
      <c r="AQ529" s="15">
        <f t="shared" si="331"/>
        <v>1</v>
      </c>
      <c r="AR529" s="15">
        <f t="shared" si="332"/>
        <v>1</v>
      </c>
      <c r="AS529" s="15">
        <f t="shared" si="333"/>
        <v>1</v>
      </c>
      <c r="AT529" s="15">
        <f t="shared" si="334"/>
        <v>1</v>
      </c>
      <c r="AU529" s="15">
        <f t="shared" si="335"/>
        <v>1</v>
      </c>
      <c r="AV529" s="15">
        <f t="shared" si="336"/>
        <v>1</v>
      </c>
      <c r="AW529" s="15">
        <f t="shared" si="337"/>
        <v>1</v>
      </c>
      <c r="AX529" s="15">
        <f t="shared" si="338"/>
        <v>1</v>
      </c>
      <c r="AY529" s="15">
        <f t="shared" si="339"/>
        <v>1</v>
      </c>
      <c r="AZ529" s="15">
        <f t="shared" si="340"/>
        <v>1</v>
      </c>
      <c r="BA529" s="15">
        <f t="shared" si="341"/>
        <v>1</v>
      </c>
      <c r="BB529" s="15">
        <f t="shared" si="348"/>
        <v>0</v>
      </c>
      <c r="BC529" s="15" t="str">
        <f t="shared" si="349"/>
        <v/>
      </c>
      <c r="BD529" s="15" t="str">
        <f t="shared" si="350"/>
        <v/>
      </c>
      <c r="BE529" s="11" t="e">
        <f t="shared" si="342"/>
        <v>#VALUE!</v>
      </c>
      <c r="BF529" s="11" t="e">
        <f t="shared" si="343"/>
        <v>#VALUE!</v>
      </c>
      <c r="BG529" s="11" t="e">
        <f t="shared" si="344"/>
        <v>#VALUE!</v>
      </c>
      <c r="BH529" t="str">
        <f t="shared" si="345"/>
        <v/>
      </c>
      <c r="BI529" t="str" cm="1">
        <f t="array" ref="BI529">_xlfn.IFS(
  L529&gt;0,"Critical Fail",
  M529&gt;0,"Important (Coaching)",
  TRUE,"Clean Pass"
)</f>
        <v>Clean Pass</v>
      </c>
      <c r="BJ529" t="str">
        <f t="shared" si="346"/>
        <v>NA</v>
      </c>
    </row>
    <row r="530" spans="1:62" x14ac:dyDescent="0.3">
      <c r="A530">
        <v>395121</v>
      </c>
      <c r="K530" t="str">
        <f t="shared" si="347"/>
        <v>Pass</v>
      </c>
      <c r="L530" s="15">
        <f t="shared" si="312"/>
        <v>0</v>
      </c>
      <c r="M530" s="15">
        <f t="shared" si="313"/>
        <v>0</v>
      </c>
      <c r="Z530" s="15">
        <f t="shared" si="314"/>
        <v>1</v>
      </c>
      <c r="AA530" s="15">
        <f t="shared" si="315"/>
        <v>1</v>
      </c>
      <c r="AB530" s="15">
        <f t="shared" si="316"/>
        <v>1</v>
      </c>
      <c r="AC530" s="15">
        <f t="shared" si="317"/>
        <v>1</v>
      </c>
      <c r="AD530" s="15">
        <f t="shared" si="318"/>
        <v>1</v>
      </c>
      <c r="AE530" s="15">
        <f t="shared" si="319"/>
        <v>1</v>
      </c>
      <c r="AF530" s="15">
        <f t="shared" si="320"/>
        <v>1</v>
      </c>
      <c r="AG530" s="15">
        <f t="shared" si="321"/>
        <v>1</v>
      </c>
      <c r="AH530" s="15">
        <f t="shared" si="322"/>
        <v>1</v>
      </c>
      <c r="AI530" s="15">
        <f t="shared" si="323"/>
        <v>1</v>
      </c>
      <c r="AJ530" s="15">
        <f t="shared" si="324"/>
        <v>1</v>
      </c>
      <c r="AK530" s="15">
        <f t="shared" si="325"/>
        <v>1</v>
      </c>
      <c r="AL530" s="15">
        <f t="shared" si="326"/>
        <v>1</v>
      </c>
      <c r="AM530" s="15">
        <f t="shared" si="327"/>
        <v>1</v>
      </c>
      <c r="AN530" s="15">
        <f t="shared" si="328"/>
        <v>1</v>
      </c>
      <c r="AO530" s="15">
        <f t="shared" si="329"/>
        <v>1</v>
      </c>
      <c r="AP530" s="15">
        <f t="shared" si="330"/>
        <v>1</v>
      </c>
      <c r="AQ530" s="15">
        <f t="shared" si="331"/>
        <v>1</v>
      </c>
      <c r="AR530" s="15">
        <f t="shared" si="332"/>
        <v>1</v>
      </c>
      <c r="AS530" s="15">
        <f t="shared" si="333"/>
        <v>1</v>
      </c>
      <c r="AT530" s="15">
        <f t="shared" si="334"/>
        <v>1</v>
      </c>
      <c r="AU530" s="15">
        <f t="shared" si="335"/>
        <v>1</v>
      </c>
      <c r="AV530" s="15">
        <f t="shared" si="336"/>
        <v>1</v>
      </c>
      <c r="AW530" s="15">
        <f t="shared" si="337"/>
        <v>1</v>
      </c>
      <c r="AX530" s="15">
        <f t="shared" si="338"/>
        <v>1</v>
      </c>
      <c r="AY530" s="15">
        <f t="shared" si="339"/>
        <v>1</v>
      </c>
      <c r="AZ530" s="15">
        <f t="shared" si="340"/>
        <v>1</v>
      </c>
      <c r="BA530" s="15">
        <f t="shared" si="341"/>
        <v>1</v>
      </c>
      <c r="BB530" s="15">
        <f t="shared" si="348"/>
        <v>0</v>
      </c>
      <c r="BC530" s="15" t="str">
        <f t="shared" si="349"/>
        <v/>
      </c>
      <c r="BD530" s="15" t="str">
        <f t="shared" si="350"/>
        <v/>
      </c>
      <c r="BE530" s="11" t="e">
        <f t="shared" si="342"/>
        <v>#VALUE!</v>
      </c>
      <c r="BF530" s="11" t="e">
        <f t="shared" si="343"/>
        <v>#VALUE!</v>
      </c>
      <c r="BG530" s="11" t="e">
        <f t="shared" si="344"/>
        <v>#VALUE!</v>
      </c>
      <c r="BH530" t="str">
        <f t="shared" si="345"/>
        <v/>
      </c>
      <c r="BI530" t="str" cm="1">
        <f t="array" ref="BI530">_xlfn.IFS(
  L530&gt;0,"Critical Fail",
  M530&gt;0,"Important (Coaching)",
  TRUE,"Clean Pass"
)</f>
        <v>Clean Pass</v>
      </c>
      <c r="BJ530" t="str">
        <f t="shared" si="346"/>
        <v>NA</v>
      </c>
    </row>
    <row r="531" spans="1:62" x14ac:dyDescent="0.3">
      <c r="A531">
        <v>867262</v>
      </c>
      <c r="K531" t="str">
        <f t="shared" si="347"/>
        <v>Pass</v>
      </c>
      <c r="L531" s="15">
        <f t="shared" si="312"/>
        <v>0</v>
      </c>
      <c r="M531" s="15">
        <f t="shared" si="313"/>
        <v>0</v>
      </c>
      <c r="Z531" s="15">
        <f t="shared" si="314"/>
        <v>1</v>
      </c>
      <c r="AA531" s="15">
        <f t="shared" si="315"/>
        <v>1</v>
      </c>
      <c r="AB531" s="15">
        <f t="shared" si="316"/>
        <v>1</v>
      </c>
      <c r="AC531" s="15">
        <f t="shared" si="317"/>
        <v>1</v>
      </c>
      <c r="AD531" s="15">
        <f t="shared" si="318"/>
        <v>1</v>
      </c>
      <c r="AE531" s="15">
        <f t="shared" si="319"/>
        <v>1</v>
      </c>
      <c r="AF531" s="15">
        <f t="shared" si="320"/>
        <v>1</v>
      </c>
      <c r="AG531" s="15">
        <f t="shared" si="321"/>
        <v>1</v>
      </c>
      <c r="AH531" s="15">
        <f t="shared" si="322"/>
        <v>1</v>
      </c>
      <c r="AI531" s="15">
        <f t="shared" si="323"/>
        <v>1</v>
      </c>
      <c r="AJ531" s="15">
        <f t="shared" si="324"/>
        <v>1</v>
      </c>
      <c r="AK531" s="15">
        <f t="shared" si="325"/>
        <v>1</v>
      </c>
      <c r="AL531" s="15">
        <f t="shared" si="326"/>
        <v>1</v>
      </c>
      <c r="AM531" s="15">
        <f t="shared" si="327"/>
        <v>1</v>
      </c>
      <c r="AN531" s="15">
        <f t="shared" si="328"/>
        <v>1</v>
      </c>
      <c r="AO531" s="15">
        <f t="shared" si="329"/>
        <v>1</v>
      </c>
      <c r="AP531" s="15">
        <f t="shared" si="330"/>
        <v>1</v>
      </c>
      <c r="AQ531" s="15">
        <f t="shared" si="331"/>
        <v>1</v>
      </c>
      <c r="AR531" s="15">
        <f t="shared" si="332"/>
        <v>1</v>
      </c>
      <c r="AS531" s="15">
        <f t="shared" si="333"/>
        <v>1</v>
      </c>
      <c r="AT531" s="15">
        <f t="shared" si="334"/>
        <v>1</v>
      </c>
      <c r="AU531" s="15">
        <f t="shared" si="335"/>
        <v>1</v>
      </c>
      <c r="AV531" s="15">
        <f t="shared" si="336"/>
        <v>1</v>
      </c>
      <c r="AW531" s="15">
        <f t="shared" si="337"/>
        <v>1</v>
      </c>
      <c r="AX531" s="15">
        <f t="shared" si="338"/>
        <v>1</v>
      </c>
      <c r="AY531" s="15">
        <f t="shared" si="339"/>
        <v>1</v>
      </c>
      <c r="AZ531" s="15">
        <f t="shared" si="340"/>
        <v>1</v>
      </c>
      <c r="BA531" s="15">
        <f t="shared" si="341"/>
        <v>1</v>
      </c>
      <c r="BB531" s="15">
        <f t="shared" si="348"/>
        <v>0</v>
      </c>
      <c r="BC531" s="15" t="str">
        <f t="shared" si="349"/>
        <v/>
      </c>
      <c r="BD531" s="15" t="str">
        <f t="shared" si="350"/>
        <v/>
      </c>
      <c r="BE531" s="11" t="e">
        <f t="shared" si="342"/>
        <v>#VALUE!</v>
      </c>
      <c r="BF531" s="11" t="e">
        <f t="shared" si="343"/>
        <v>#VALUE!</v>
      </c>
      <c r="BG531" s="11" t="e">
        <f t="shared" si="344"/>
        <v>#VALUE!</v>
      </c>
      <c r="BH531" t="str">
        <f t="shared" si="345"/>
        <v/>
      </c>
      <c r="BI531" t="str" cm="1">
        <f t="array" ref="BI531">_xlfn.IFS(
  L531&gt;0,"Critical Fail",
  M531&gt;0,"Important (Coaching)",
  TRUE,"Clean Pass"
)</f>
        <v>Clean Pass</v>
      </c>
      <c r="BJ531" t="str">
        <f t="shared" si="346"/>
        <v>NA</v>
      </c>
    </row>
    <row r="532" spans="1:62" x14ac:dyDescent="0.3">
      <c r="A532">
        <v>383648</v>
      </c>
      <c r="K532" t="str">
        <f t="shared" si="347"/>
        <v>Pass</v>
      </c>
      <c r="L532" s="15">
        <f t="shared" si="312"/>
        <v>0</v>
      </c>
      <c r="M532" s="15">
        <f t="shared" si="313"/>
        <v>0</v>
      </c>
      <c r="Z532" s="15">
        <f t="shared" si="314"/>
        <v>1</v>
      </c>
      <c r="AA532" s="15">
        <f t="shared" si="315"/>
        <v>1</v>
      </c>
      <c r="AB532" s="15">
        <f t="shared" si="316"/>
        <v>1</v>
      </c>
      <c r="AC532" s="15">
        <f t="shared" si="317"/>
        <v>1</v>
      </c>
      <c r="AD532" s="15">
        <f t="shared" si="318"/>
        <v>1</v>
      </c>
      <c r="AE532" s="15">
        <f t="shared" si="319"/>
        <v>1</v>
      </c>
      <c r="AF532" s="15">
        <f t="shared" si="320"/>
        <v>1</v>
      </c>
      <c r="AG532" s="15">
        <f t="shared" si="321"/>
        <v>1</v>
      </c>
      <c r="AH532" s="15">
        <f t="shared" si="322"/>
        <v>1</v>
      </c>
      <c r="AI532" s="15">
        <f t="shared" si="323"/>
        <v>1</v>
      </c>
      <c r="AJ532" s="15">
        <f t="shared" si="324"/>
        <v>1</v>
      </c>
      <c r="AK532" s="15">
        <f t="shared" si="325"/>
        <v>1</v>
      </c>
      <c r="AL532" s="15">
        <f t="shared" si="326"/>
        <v>1</v>
      </c>
      <c r="AM532" s="15">
        <f t="shared" si="327"/>
        <v>1</v>
      </c>
      <c r="AN532" s="15">
        <f t="shared" si="328"/>
        <v>1</v>
      </c>
      <c r="AO532" s="15">
        <f t="shared" si="329"/>
        <v>1</v>
      </c>
      <c r="AP532" s="15">
        <f t="shared" si="330"/>
        <v>1</v>
      </c>
      <c r="AQ532" s="15">
        <f t="shared" si="331"/>
        <v>1</v>
      </c>
      <c r="AR532" s="15">
        <f t="shared" si="332"/>
        <v>1</v>
      </c>
      <c r="AS532" s="15">
        <f t="shared" si="333"/>
        <v>1</v>
      </c>
      <c r="AT532" s="15">
        <f t="shared" si="334"/>
        <v>1</v>
      </c>
      <c r="AU532" s="15">
        <f t="shared" si="335"/>
        <v>1</v>
      </c>
      <c r="AV532" s="15">
        <f t="shared" si="336"/>
        <v>1</v>
      </c>
      <c r="AW532" s="15">
        <f t="shared" si="337"/>
        <v>1</v>
      </c>
      <c r="AX532" s="15">
        <f t="shared" si="338"/>
        <v>1</v>
      </c>
      <c r="AY532" s="15">
        <f t="shared" si="339"/>
        <v>1</v>
      </c>
      <c r="AZ532" s="15">
        <f t="shared" si="340"/>
        <v>1</v>
      </c>
      <c r="BA532" s="15">
        <f t="shared" si="341"/>
        <v>1</v>
      </c>
      <c r="BB532" s="15">
        <f t="shared" si="348"/>
        <v>0</v>
      </c>
      <c r="BC532" s="15" t="str">
        <f t="shared" si="349"/>
        <v/>
      </c>
      <c r="BD532" s="15" t="str">
        <f t="shared" si="350"/>
        <v/>
      </c>
      <c r="BE532" s="11" t="e">
        <f t="shared" si="342"/>
        <v>#VALUE!</v>
      </c>
      <c r="BF532" s="11" t="e">
        <f t="shared" si="343"/>
        <v>#VALUE!</v>
      </c>
      <c r="BG532" s="11" t="e">
        <f t="shared" si="344"/>
        <v>#VALUE!</v>
      </c>
      <c r="BH532" t="str">
        <f t="shared" si="345"/>
        <v/>
      </c>
      <c r="BI532" t="str" cm="1">
        <f t="array" ref="BI532">_xlfn.IFS(
  L532&gt;0,"Critical Fail",
  M532&gt;0,"Important (Coaching)",
  TRUE,"Clean Pass"
)</f>
        <v>Clean Pass</v>
      </c>
      <c r="BJ532" t="str">
        <f t="shared" si="346"/>
        <v>NA</v>
      </c>
    </row>
    <row r="533" spans="1:62" x14ac:dyDescent="0.3">
      <c r="A533">
        <v>533460</v>
      </c>
      <c r="K533" t="str">
        <f t="shared" si="347"/>
        <v>Pass</v>
      </c>
      <c r="L533" s="15">
        <f t="shared" si="312"/>
        <v>0</v>
      </c>
      <c r="M533" s="15">
        <f t="shared" si="313"/>
        <v>0</v>
      </c>
      <c r="Z533" s="15">
        <f t="shared" si="314"/>
        <v>1</v>
      </c>
      <c r="AA533" s="15">
        <f t="shared" si="315"/>
        <v>1</v>
      </c>
      <c r="AB533" s="15">
        <f t="shared" si="316"/>
        <v>1</v>
      </c>
      <c r="AC533" s="15">
        <f t="shared" si="317"/>
        <v>1</v>
      </c>
      <c r="AD533" s="15">
        <f t="shared" si="318"/>
        <v>1</v>
      </c>
      <c r="AE533" s="15">
        <f t="shared" si="319"/>
        <v>1</v>
      </c>
      <c r="AF533" s="15">
        <f t="shared" si="320"/>
        <v>1</v>
      </c>
      <c r="AG533" s="15">
        <f t="shared" si="321"/>
        <v>1</v>
      </c>
      <c r="AH533" s="15">
        <f t="shared" si="322"/>
        <v>1</v>
      </c>
      <c r="AI533" s="15">
        <f t="shared" si="323"/>
        <v>1</v>
      </c>
      <c r="AJ533" s="15">
        <f t="shared" si="324"/>
        <v>1</v>
      </c>
      <c r="AK533" s="15">
        <f t="shared" si="325"/>
        <v>1</v>
      </c>
      <c r="AL533" s="15">
        <f t="shared" si="326"/>
        <v>1</v>
      </c>
      <c r="AM533" s="15">
        <f t="shared" si="327"/>
        <v>1</v>
      </c>
      <c r="AN533" s="15">
        <f t="shared" si="328"/>
        <v>1</v>
      </c>
      <c r="AO533" s="15">
        <f t="shared" si="329"/>
        <v>1</v>
      </c>
      <c r="AP533" s="15">
        <f t="shared" si="330"/>
        <v>1</v>
      </c>
      <c r="AQ533" s="15">
        <f t="shared" si="331"/>
        <v>1</v>
      </c>
      <c r="AR533" s="15">
        <f t="shared" si="332"/>
        <v>1</v>
      </c>
      <c r="AS533" s="15">
        <f t="shared" si="333"/>
        <v>1</v>
      </c>
      <c r="AT533" s="15">
        <f t="shared" si="334"/>
        <v>1</v>
      </c>
      <c r="AU533" s="15">
        <f t="shared" si="335"/>
        <v>1</v>
      </c>
      <c r="AV533" s="15">
        <f t="shared" si="336"/>
        <v>1</v>
      </c>
      <c r="AW533" s="15">
        <f t="shared" si="337"/>
        <v>1</v>
      </c>
      <c r="AX533" s="15">
        <f t="shared" si="338"/>
        <v>1</v>
      </c>
      <c r="AY533" s="15">
        <f t="shared" si="339"/>
        <v>1</v>
      </c>
      <c r="AZ533" s="15">
        <f t="shared" si="340"/>
        <v>1</v>
      </c>
      <c r="BA533" s="15">
        <f t="shared" si="341"/>
        <v>1</v>
      </c>
      <c r="BB533" s="15">
        <f t="shared" si="348"/>
        <v>0</v>
      </c>
      <c r="BC533" s="15" t="str">
        <f t="shared" si="349"/>
        <v/>
      </c>
      <c r="BD533" s="15" t="str">
        <f t="shared" si="350"/>
        <v/>
      </c>
      <c r="BE533" s="11" t="e">
        <f t="shared" si="342"/>
        <v>#VALUE!</v>
      </c>
      <c r="BF533" s="11" t="e">
        <f t="shared" si="343"/>
        <v>#VALUE!</v>
      </c>
      <c r="BG533" s="11" t="e">
        <f t="shared" si="344"/>
        <v>#VALUE!</v>
      </c>
      <c r="BH533" t="str">
        <f t="shared" si="345"/>
        <v/>
      </c>
      <c r="BI533" t="str" cm="1">
        <f t="array" ref="BI533">_xlfn.IFS(
  L533&gt;0,"Critical Fail",
  M533&gt;0,"Important (Coaching)",
  TRUE,"Clean Pass"
)</f>
        <v>Clean Pass</v>
      </c>
      <c r="BJ533" t="str">
        <f t="shared" si="346"/>
        <v>NA</v>
      </c>
    </row>
    <row r="534" spans="1:62" x14ac:dyDescent="0.3">
      <c r="A534">
        <v>952760</v>
      </c>
      <c r="K534" t="str">
        <f t="shared" si="347"/>
        <v>Pass</v>
      </c>
      <c r="L534" s="15">
        <f t="shared" si="312"/>
        <v>0</v>
      </c>
      <c r="M534" s="15">
        <f t="shared" si="313"/>
        <v>0</v>
      </c>
      <c r="Z534" s="15">
        <f t="shared" si="314"/>
        <v>1</v>
      </c>
      <c r="AA534" s="15">
        <f t="shared" si="315"/>
        <v>1</v>
      </c>
      <c r="AB534" s="15">
        <f t="shared" si="316"/>
        <v>1</v>
      </c>
      <c r="AC534" s="15">
        <f t="shared" si="317"/>
        <v>1</v>
      </c>
      <c r="AD534" s="15">
        <f t="shared" si="318"/>
        <v>1</v>
      </c>
      <c r="AE534" s="15">
        <f t="shared" si="319"/>
        <v>1</v>
      </c>
      <c r="AF534" s="15">
        <f t="shared" si="320"/>
        <v>1</v>
      </c>
      <c r="AG534" s="15">
        <f t="shared" si="321"/>
        <v>1</v>
      </c>
      <c r="AH534" s="15">
        <f t="shared" si="322"/>
        <v>1</v>
      </c>
      <c r="AI534" s="15">
        <f t="shared" si="323"/>
        <v>1</v>
      </c>
      <c r="AJ534" s="15">
        <f t="shared" si="324"/>
        <v>1</v>
      </c>
      <c r="AK534" s="15">
        <f t="shared" si="325"/>
        <v>1</v>
      </c>
      <c r="AL534" s="15">
        <f t="shared" si="326"/>
        <v>1</v>
      </c>
      <c r="AM534" s="15">
        <f t="shared" si="327"/>
        <v>1</v>
      </c>
      <c r="AN534" s="15">
        <f t="shared" si="328"/>
        <v>1</v>
      </c>
      <c r="AO534" s="15">
        <f t="shared" si="329"/>
        <v>1</v>
      </c>
      <c r="AP534" s="15">
        <f t="shared" si="330"/>
        <v>1</v>
      </c>
      <c r="AQ534" s="15">
        <f t="shared" si="331"/>
        <v>1</v>
      </c>
      <c r="AR534" s="15">
        <f t="shared" si="332"/>
        <v>1</v>
      </c>
      <c r="AS534" s="15">
        <f t="shared" si="333"/>
        <v>1</v>
      </c>
      <c r="AT534" s="15">
        <f t="shared" si="334"/>
        <v>1</v>
      </c>
      <c r="AU534" s="15">
        <f t="shared" si="335"/>
        <v>1</v>
      </c>
      <c r="AV534" s="15">
        <f t="shared" si="336"/>
        <v>1</v>
      </c>
      <c r="AW534" s="15">
        <f t="shared" si="337"/>
        <v>1</v>
      </c>
      <c r="AX534" s="15">
        <f t="shared" si="338"/>
        <v>1</v>
      </c>
      <c r="AY534" s="15">
        <f t="shared" si="339"/>
        <v>1</v>
      </c>
      <c r="AZ534" s="15">
        <f t="shared" si="340"/>
        <v>1</v>
      </c>
      <c r="BA534" s="15">
        <f t="shared" si="341"/>
        <v>1</v>
      </c>
      <c r="BB534" s="15">
        <f t="shared" si="348"/>
        <v>0</v>
      </c>
      <c r="BC534" s="15" t="str">
        <f t="shared" si="349"/>
        <v/>
      </c>
      <c r="BD534" s="15" t="str">
        <f t="shared" si="350"/>
        <v/>
      </c>
      <c r="BE534" s="11" t="e">
        <f t="shared" si="342"/>
        <v>#VALUE!</v>
      </c>
      <c r="BF534" s="11" t="e">
        <f t="shared" si="343"/>
        <v>#VALUE!</v>
      </c>
      <c r="BG534" s="11" t="e">
        <f t="shared" si="344"/>
        <v>#VALUE!</v>
      </c>
      <c r="BH534" t="str">
        <f t="shared" si="345"/>
        <v/>
      </c>
      <c r="BI534" t="str" cm="1">
        <f t="array" ref="BI534">_xlfn.IFS(
  L534&gt;0,"Critical Fail",
  M534&gt;0,"Important (Coaching)",
  TRUE,"Clean Pass"
)</f>
        <v>Clean Pass</v>
      </c>
      <c r="BJ534" t="str">
        <f t="shared" si="346"/>
        <v>NA</v>
      </c>
    </row>
    <row r="535" spans="1:62" x14ac:dyDescent="0.3">
      <c r="A535">
        <v>782366</v>
      </c>
      <c r="K535" t="str">
        <f t="shared" si="347"/>
        <v>Pass</v>
      </c>
      <c r="L535" s="15">
        <f t="shared" si="312"/>
        <v>0</v>
      </c>
      <c r="M535" s="15">
        <f t="shared" si="313"/>
        <v>0</v>
      </c>
      <c r="Z535" s="15">
        <f t="shared" si="314"/>
        <v>1</v>
      </c>
      <c r="AA535" s="15">
        <f t="shared" si="315"/>
        <v>1</v>
      </c>
      <c r="AB535" s="15">
        <f t="shared" si="316"/>
        <v>1</v>
      </c>
      <c r="AC535" s="15">
        <f t="shared" si="317"/>
        <v>1</v>
      </c>
      <c r="AD535" s="15">
        <f t="shared" si="318"/>
        <v>1</v>
      </c>
      <c r="AE535" s="15">
        <f t="shared" si="319"/>
        <v>1</v>
      </c>
      <c r="AF535" s="15">
        <f t="shared" si="320"/>
        <v>1</v>
      </c>
      <c r="AG535" s="15">
        <f t="shared" si="321"/>
        <v>1</v>
      </c>
      <c r="AH535" s="15">
        <f t="shared" si="322"/>
        <v>1</v>
      </c>
      <c r="AI535" s="15">
        <f t="shared" si="323"/>
        <v>1</v>
      </c>
      <c r="AJ535" s="15">
        <f t="shared" si="324"/>
        <v>1</v>
      </c>
      <c r="AK535" s="15">
        <f t="shared" si="325"/>
        <v>1</v>
      </c>
      <c r="AL535" s="15">
        <f t="shared" si="326"/>
        <v>1</v>
      </c>
      <c r="AM535" s="15">
        <f t="shared" si="327"/>
        <v>1</v>
      </c>
      <c r="AN535" s="15">
        <f t="shared" si="328"/>
        <v>1</v>
      </c>
      <c r="AO535" s="15">
        <f t="shared" si="329"/>
        <v>1</v>
      </c>
      <c r="AP535" s="15">
        <f t="shared" si="330"/>
        <v>1</v>
      </c>
      <c r="AQ535" s="15">
        <f t="shared" si="331"/>
        <v>1</v>
      </c>
      <c r="AR535" s="15">
        <f t="shared" si="332"/>
        <v>1</v>
      </c>
      <c r="AS535" s="15">
        <f t="shared" si="333"/>
        <v>1</v>
      </c>
      <c r="AT535" s="15">
        <f t="shared" si="334"/>
        <v>1</v>
      </c>
      <c r="AU535" s="15">
        <f t="shared" si="335"/>
        <v>1</v>
      </c>
      <c r="AV535" s="15">
        <f t="shared" si="336"/>
        <v>1</v>
      </c>
      <c r="AW535" s="15">
        <f t="shared" si="337"/>
        <v>1</v>
      </c>
      <c r="AX535" s="15">
        <f t="shared" si="338"/>
        <v>1</v>
      </c>
      <c r="AY535" s="15">
        <f t="shared" si="339"/>
        <v>1</v>
      </c>
      <c r="AZ535" s="15">
        <f t="shared" si="340"/>
        <v>1</v>
      </c>
      <c r="BA535" s="15">
        <f t="shared" si="341"/>
        <v>1</v>
      </c>
      <c r="BB535" s="15">
        <f t="shared" si="348"/>
        <v>0</v>
      </c>
      <c r="BC535" s="15" t="str">
        <f t="shared" si="349"/>
        <v/>
      </c>
      <c r="BD535" s="15" t="str">
        <f t="shared" si="350"/>
        <v/>
      </c>
      <c r="BE535" s="11" t="e">
        <f t="shared" si="342"/>
        <v>#VALUE!</v>
      </c>
      <c r="BF535" s="11" t="e">
        <f t="shared" si="343"/>
        <v>#VALUE!</v>
      </c>
      <c r="BG535" s="11" t="e">
        <f t="shared" si="344"/>
        <v>#VALUE!</v>
      </c>
      <c r="BH535" t="str">
        <f t="shared" si="345"/>
        <v/>
      </c>
      <c r="BI535" t="str" cm="1">
        <f t="array" ref="BI535">_xlfn.IFS(
  L535&gt;0,"Critical Fail",
  M535&gt;0,"Important (Coaching)",
  TRUE,"Clean Pass"
)</f>
        <v>Clean Pass</v>
      </c>
      <c r="BJ535" t="str">
        <f t="shared" si="346"/>
        <v>NA</v>
      </c>
    </row>
    <row r="536" spans="1:62" x14ac:dyDescent="0.3">
      <c r="A536">
        <v>627125</v>
      </c>
      <c r="K536" t="str">
        <f t="shared" si="347"/>
        <v>Pass</v>
      </c>
      <c r="L536" s="15">
        <f t="shared" si="312"/>
        <v>0</v>
      </c>
      <c r="M536" s="15">
        <f t="shared" si="313"/>
        <v>0</v>
      </c>
      <c r="Z536" s="15">
        <f t="shared" si="314"/>
        <v>1</v>
      </c>
      <c r="AA536" s="15">
        <f t="shared" si="315"/>
        <v>1</v>
      </c>
      <c r="AB536" s="15">
        <f t="shared" si="316"/>
        <v>1</v>
      </c>
      <c r="AC536" s="15">
        <f t="shared" si="317"/>
        <v>1</v>
      </c>
      <c r="AD536" s="15">
        <f t="shared" si="318"/>
        <v>1</v>
      </c>
      <c r="AE536" s="15">
        <f t="shared" si="319"/>
        <v>1</v>
      </c>
      <c r="AF536" s="15">
        <f t="shared" si="320"/>
        <v>1</v>
      </c>
      <c r="AG536" s="15">
        <f t="shared" si="321"/>
        <v>1</v>
      </c>
      <c r="AH536" s="15">
        <f t="shared" si="322"/>
        <v>1</v>
      </c>
      <c r="AI536" s="15">
        <f t="shared" si="323"/>
        <v>1</v>
      </c>
      <c r="AJ536" s="15">
        <f t="shared" si="324"/>
        <v>1</v>
      </c>
      <c r="AK536" s="15">
        <f t="shared" si="325"/>
        <v>1</v>
      </c>
      <c r="AL536" s="15">
        <f t="shared" si="326"/>
        <v>1</v>
      </c>
      <c r="AM536" s="15">
        <f t="shared" si="327"/>
        <v>1</v>
      </c>
      <c r="AN536" s="15">
        <f t="shared" si="328"/>
        <v>1</v>
      </c>
      <c r="AO536" s="15">
        <f t="shared" si="329"/>
        <v>1</v>
      </c>
      <c r="AP536" s="15">
        <f t="shared" si="330"/>
        <v>1</v>
      </c>
      <c r="AQ536" s="15">
        <f t="shared" si="331"/>
        <v>1</v>
      </c>
      <c r="AR536" s="15">
        <f t="shared" si="332"/>
        <v>1</v>
      </c>
      <c r="AS536" s="15">
        <f t="shared" si="333"/>
        <v>1</v>
      </c>
      <c r="AT536" s="15">
        <f t="shared" si="334"/>
        <v>1</v>
      </c>
      <c r="AU536" s="15">
        <f t="shared" si="335"/>
        <v>1</v>
      </c>
      <c r="AV536" s="15">
        <f t="shared" si="336"/>
        <v>1</v>
      </c>
      <c r="AW536" s="15">
        <f t="shared" si="337"/>
        <v>1</v>
      </c>
      <c r="AX536" s="15">
        <f t="shared" si="338"/>
        <v>1</v>
      </c>
      <c r="AY536" s="15">
        <f t="shared" si="339"/>
        <v>1</v>
      </c>
      <c r="AZ536" s="15">
        <f t="shared" si="340"/>
        <v>1</v>
      </c>
      <c r="BA536" s="15">
        <f t="shared" si="341"/>
        <v>1</v>
      </c>
      <c r="BB536" s="15">
        <f t="shared" si="348"/>
        <v>0</v>
      </c>
      <c r="BC536" s="15" t="str">
        <f t="shared" si="349"/>
        <v/>
      </c>
      <c r="BD536" s="15" t="str">
        <f t="shared" si="350"/>
        <v/>
      </c>
      <c r="BE536" s="11" t="e">
        <f t="shared" si="342"/>
        <v>#VALUE!</v>
      </c>
      <c r="BF536" s="11" t="e">
        <f t="shared" si="343"/>
        <v>#VALUE!</v>
      </c>
      <c r="BG536" s="11" t="e">
        <f t="shared" si="344"/>
        <v>#VALUE!</v>
      </c>
      <c r="BH536" t="str">
        <f t="shared" si="345"/>
        <v/>
      </c>
      <c r="BI536" t="str" cm="1">
        <f t="array" ref="BI536">_xlfn.IFS(
  L536&gt;0,"Critical Fail",
  M536&gt;0,"Important (Coaching)",
  TRUE,"Clean Pass"
)</f>
        <v>Clean Pass</v>
      </c>
      <c r="BJ536" t="str">
        <f t="shared" si="346"/>
        <v>NA</v>
      </c>
    </row>
    <row r="537" spans="1:62" x14ac:dyDescent="0.3">
      <c r="A537">
        <v>789150</v>
      </c>
      <c r="K537" t="str">
        <f t="shared" si="347"/>
        <v>Pass</v>
      </c>
      <c r="L537" s="15">
        <f t="shared" si="312"/>
        <v>0</v>
      </c>
      <c r="M537" s="15">
        <f t="shared" si="313"/>
        <v>0</v>
      </c>
      <c r="Z537" s="15">
        <f t="shared" si="314"/>
        <v>1</v>
      </c>
      <c r="AA537" s="15">
        <f t="shared" si="315"/>
        <v>1</v>
      </c>
      <c r="AB537" s="15">
        <f t="shared" si="316"/>
        <v>1</v>
      </c>
      <c r="AC537" s="15">
        <f t="shared" si="317"/>
        <v>1</v>
      </c>
      <c r="AD537" s="15">
        <f t="shared" si="318"/>
        <v>1</v>
      </c>
      <c r="AE537" s="15">
        <f t="shared" si="319"/>
        <v>1</v>
      </c>
      <c r="AF537" s="15">
        <f t="shared" si="320"/>
        <v>1</v>
      </c>
      <c r="AG537" s="15">
        <f t="shared" si="321"/>
        <v>1</v>
      </c>
      <c r="AH537" s="15">
        <f t="shared" si="322"/>
        <v>1</v>
      </c>
      <c r="AI537" s="15">
        <f t="shared" si="323"/>
        <v>1</v>
      </c>
      <c r="AJ537" s="15">
        <f t="shared" si="324"/>
        <v>1</v>
      </c>
      <c r="AK537" s="15">
        <f t="shared" si="325"/>
        <v>1</v>
      </c>
      <c r="AL537" s="15">
        <f t="shared" si="326"/>
        <v>1</v>
      </c>
      <c r="AM537" s="15">
        <f t="shared" si="327"/>
        <v>1</v>
      </c>
      <c r="AN537" s="15">
        <f t="shared" si="328"/>
        <v>1</v>
      </c>
      <c r="AO537" s="15">
        <f t="shared" si="329"/>
        <v>1</v>
      </c>
      <c r="AP537" s="15">
        <f t="shared" si="330"/>
        <v>1</v>
      </c>
      <c r="AQ537" s="15">
        <f t="shared" si="331"/>
        <v>1</v>
      </c>
      <c r="AR537" s="15">
        <f t="shared" si="332"/>
        <v>1</v>
      </c>
      <c r="AS537" s="15">
        <f t="shared" si="333"/>
        <v>1</v>
      </c>
      <c r="AT537" s="15">
        <f t="shared" si="334"/>
        <v>1</v>
      </c>
      <c r="AU537" s="15">
        <f t="shared" si="335"/>
        <v>1</v>
      </c>
      <c r="AV537" s="15">
        <f t="shared" si="336"/>
        <v>1</v>
      </c>
      <c r="AW537" s="15">
        <f t="shared" si="337"/>
        <v>1</v>
      </c>
      <c r="AX537" s="15">
        <f t="shared" si="338"/>
        <v>1</v>
      </c>
      <c r="AY537" s="15">
        <f t="shared" si="339"/>
        <v>1</v>
      </c>
      <c r="AZ537" s="15">
        <f t="shared" si="340"/>
        <v>1</v>
      </c>
      <c r="BA537" s="15">
        <f t="shared" si="341"/>
        <v>1</v>
      </c>
      <c r="BB537" s="15">
        <f t="shared" si="348"/>
        <v>0</v>
      </c>
      <c r="BC537" s="15" t="str">
        <f t="shared" si="349"/>
        <v/>
      </c>
      <c r="BD537" s="15" t="str">
        <f t="shared" si="350"/>
        <v/>
      </c>
      <c r="BE537" s="11" t="e">
        <f t="shared" si="342"/>
        <v>#VALUE!</v>
      </c>
      <c r="BF537" s="11" t="e">
        <f t="shared" si="343"/>
        <v>#VALUE!</v>
      </c>
      <c r="BG537" s="11" t="e">
        <f t="shared" si="344"/>
        <v>#VALUE!</v>
      </c>
      <c r="BH537" t="str">
        <f t="shared" si="345"/>
        <v/>
      </c>
      <c r="BI537" t="str" cm="1">
        <f t="array" ref="BI537">_xlfn.IFS(
  L537&gt;0,"Critical Fail",
  M537&gt;0,"Important (Coaching)",
  TRUE,"Clean Pass"
)</f>
        <v>Clean Pass</v>
      </c>
      <c r="BJ537" t="str">
        <f t="shared" si="346"/>
        <v>NA</v>
      </c>
    </row>
    <row r="538" spans="1:62" x14ac:dyDescent="0.3">
      <c r="A538">
        <v>892321</v>
      </c>
      <c r="K538" t="str">
        <f t="shared" si="347"/>
        <v>Pass</v>
      </c>
      <c r="L538" s="15">
        <f t="shared" ref="L538:L601" si="351">COUNTA(N538,P538,R538)</f>
        <v>0</v>
      </c>
      <c r="M538" s="15">
        <f t="shared" ref="M538:M601" si="352">COUNTA(T538,V538,X538)</f>
        <v>0</v>
      </c>
      <c r="Z538" s="15">
        <f t="shared" ref="Z538:Z601" si="353">IF(AND(G538="DV",ISNUMBER(SEARCH("C1",N538&amp;P538&amp;R538&amp;T538&amp;V538&amp;X538))),0,1)</f>
        <v>1</v>
      </c>
      <c r="AA538" s="15">
        <f t="shared" ref="AA538:AA601" si="354">IF(AND(G538="DV",ISNUMBER(SEARCH("C2",N538&amp;P538&amp;R538&amp;T538&amp;V538&amp;X538))),0,1)</f>
        <v>1</v>
      </c>
      <c r="AB538" s="15">
        <f t="shared" ref="AB538:AB601" si="355">IF(AND(G538="DV",ISNUMBER(SEARCH("C3",N538&amp;P538&amp;R538&amp;T538&amp;V538&amp;X538))),0,1)</f>
        <v>1</v>
      </c>
      <c r="AC538" s="15">
        <f t="shared" ref="AC538:AC601" si="356">IF(AND(G538="DV",ISNUMBER(SEARCH("C4",N538&amp;P538&amp;R538&amp;T538&amp;V538&amp;X538))),0,1)</f>
        <v>1</v>
      </c>
      <c r="AD538" s="15">
        <f t="shared" ref="AD538:AD601" si="357">IF(AND(G538="DV",ISNUMBER(SEARCH("C5",N538&amp;P538&amp;R538&amp;T538&amp;V538&amp;X538))),0,1)</f>
        <v>1</v>
      </c>
      <c r="AE538" s="15">
        <f t="shared" ref="AE538:AE601" si="358">IF(AND(G538="DV",ISNUMBER(SEARCH("C6",N538&amp;P538&amp;R538&amp;T538&amp;V538&amp;X538))),0,1)</f>
        <v>1</v>
      </c>
      <c r="AF538" s="15">
        <f t="shared" ref="AF538:AF601" si="359">IF(AND(G538="DV",ISNUMBER(SEARCH("C7",N538&amp;P538&amp;R538&amp;T538&amp;V538&amp;X538))),0,1)</f>
        <v>1</v>
      </c>
      <c r="AG538" s="15">
        <f t="shared" ref="AG538:AG601" si="360">IF(AND(G538="DV",ISNUMBER(SEARCH("C8",N538&amp;P538&amp;R538&amp;T538&amp;V538&amp;X538))),0,1)</f>
        <v>1</v>
      </c>
      <c r="AH538" s="15">
        <f t="shared" ref="AH538:AH601" si="361">IF(AND(G538="DV",ISNUMBER(SEARCH("C9",N538&amp;P538&amp;R538&amp;T538&amp;V538&amp;X538))),0,1)</f>
        <v>1</v>
      </c>
      <c r="AI538" s="15">
        <f t="shared" ref="AI538:AI601" si="362">IF(AND(G538="DV",ISNUMBER(SEARCH("I1",N538&amp;P538&amp;R538&amp;T538&amp;V538&amp;X538))),0,1)</f>
        <v>1</v>
      </c>
      <c r="AJ538" s="15">
        <f t="shared" ref="AJ538:AJ601" si="363">IF(AND(G538="DV",ISNUMBER(SEARCH("I2",N538&amp;P538&amp;R538&amp;T538&amp;V538&amp;X538))),0,1)</f>
        <v>1</v>
      </c>
      <c r="AK538" s="15">
        <f t="shared" ref="AK538:AK601" si="364">IF(AND(G538="DV",ISNUMBER(SEARCH("I3",N538&amp;P538&amp;R538&amp;T538&amp;V538&amp;X538))),0,1)</f>
        <v>1</v>
      </c>
      <c r="AL538" s="15">
        <f t="shared" ref="AL538:AL601" si="365">IF(AND(G538="AL",ISNUMBER(SEARCH("C1",N538&amp;P538&amp;R538&amp;T538&amp;V538&amp;X538))),0,1)</f>
        <v>1</v>
      </c>
      <c r="AM538" s="15">
        <f t="shared" ref="AM538:AM601" si="366">IF(AND(G538="AL",ISNUMBER(SEARCH("C2",N538&amp;P538&amp;R538&amp;T538&amp;V538&amp;X538))),0,1)</f>
        <v>1</v>
      </c>
      <c r="AN538" s="15">
        <f t="shared" ref="AN538:AN601" si="367">IF(AND(G538="AL",ISNUMBER(SEARCH("C3",N538&amp;P538&amp;R538&amp;T538&amp;V538&amp;X538))),0,1)</f>
        <v>1</v>
      </c>
      <c r="AO538" s="15">
        <f t="shared" ref="AO538:AO601" si="368">IF(AND(G538="AL",ISNUMBER(SEARCH("C4",N538&amp;P538&amp;R538&amp;T538&amp;V538&amp;X538))),0,1)</f>
        <v>1</v>
      </c>
      <c r="AP538" s="15">
        <f t="shared" ref="AP538:AP601" si="369">IF(AND(G538="AL",ISNUMBER(SEARCH("C5",N538&amp;P538&amp;R538&amp;T538&amp;V538&amp;X538))),0,1)</f>
        <v>1</v>
      </c>
      <c r="AQ538" s="15">
        <f t="shared" ref="AQ538:AQ601" si="370">IF(AND(G538="AL",ISNUMBER(SEARCH("C6",N538&amp;P538&amp;R538&amp;T538&amp;V538&amp;X538))),0,1)</f>
        <v>1</v>
      </c>
      <c r="AR538" s="15">
        <f t="shared" ref="AR538:AR601" si="371">IF(AND(G538="AL",ISNUMBER(SEARCH("C7",N538&amp;P538&amp;R538&amp;T538&amp;V538&amp;X538))),0,1)</f>
        <v>1</v>
      </c>
      <c r="AS538" s="15">
        <f t="shared" ref="AS538:AS601" si="372">IF(AND(G538="AL",ISNUMBER(SEARCH("C8",N538&amp;P538&amp;R538&amp;T538&amp;V538&amp;X538))),0,1)</f>
        <v>1</v>
      </c>
      <c r="AT538" s="15">
        <f t="shared" ref="AT538:AT601" si="373">IF(AND(G538="AL",ISNUMBER(SEARCH("C9",N538&amp;P538&amp;R538&amp;T538&amp;V538&amp;X538))),0,1)</f>
        <v>1</v>
      </c>
      <c r="AU538" s="15">
        <f t="shared" ref="AU538:AU601" si="374">IF(AND(G538="AL",ISNUMBER(SEARCH("C10",N538&amp;P538&amp;R538&amp;T538&amp;V538&amp;X538))),0,1)</f>
        <v>1</v>
      </c>
      <c r="AV538" s="15">
        <f t="shared" ref="AV538:AV601" si="375">IF(AND(G538="AL",ISNUMBER(SEARCH("C11",N538&amp;P538&amp;R538&amp;T538&amp;V538&amp;X538))),0,1)</f>
        <v>1</v>
      </c>
      <c r="AW538" s="15">
        <f t="shared" ref="AW538:AW601" si="376">IF(AND(G538="AL",ISNUMBER(SEARCH("C12",N538&amp;P538&amp;R538&amp;T538&amp;V538&amp;X538))),0,1)</f>
        <v>1</v>
      </c>
      <c r="AX538" s="15">
        <f t="shared" ref="AX538:AX601" si="377">IF(AND(G538="AL",ISNUMBER(SEARCH("C13",N538&amp;P538&amp;R538&amp;T538&amp;V538&amp;X538))),0,1)</f>
        <v>1</v>
      </c>
      <c r="AY538" s="15">
        <f t="shared" ref="AY538:AY601" si="378">IF(AND(G538="AL",ISNUMBER(SEARCH("I1",N538&amp;P538&amp;R538&amp;T538&amp;V538&amp;X538))),0,1)</f>
        <v>1</v>
      </c>
      <c r="AZ538" s="15">
        <f t="shared" ref="AZ538:AZ601" si="379">IF(AND(G538="AL",ISNUMBER(SEARCH("I2",N538&amp;P538&amp;R538&amp;T538&amp;V538&amp;X538))),0,1)</f>
        <v>1</v>
      </c>
      <c r="BA538" s="15">
        <f t="shared" ref="BA538:BA601" si="380">IF(AND(G538="AL",ISNUMBER(SEARCH("I3",N538&amp;P538&amp;R538&amp;T538&amp;V538&amp;X538))),0,1)</f>
        <v>1</v>
      </c>
      <c r="BB538" s="15">
        <f t="shared" si="348"/>
        <v>0</v>
      </c>
      <c r="BC538" s="15" t="str">
        <f t="shared" si="349"/>
        <v/>
      </c>
      <c r="BD538" s="15" t="str">
        <f t="shared" si="350"/>
        <v/>
      </c>
      <c r="BE538" s="11" t="e">
        <f t="shared" ref="BE538:BE601" si="381">IF(BC538=0,1,(BC538-L538)/BC538)</f>
        <v>#VALUE!</v>
      </c>
      <c r="BF538" s="11" t="e">
        <f t="shared" ref="BF538:BF601" si="382">IF(BD538=0,1,(BD538-M538)/BD538)</f>
        <v>#VALUE!</v>
      </c>
      <c r="BG538" s="11" t="e">
        <f t="shared" ref="BG538:BG601" si="383">(BE538*0.7)+(BF538*0.3)</f>
        <v>#VALUE!</v>
      </c>
      <c r="BH538" t="str">
        <f t="shared" ref="BH538:BH601" si="384">_xlfn.TEXTJOIN(",",TRUE,N538,P538,R538)</f>
        <v/>
      </c>
      <c r="BI538" t="str" cm="1">
        <f t="array" ref="BI538">_xlfn.IFS(
  L538&gt;0,"Critical Fail",
  M538&gt;0,"Important (Coaching)",
  TRUE,"Clean Pass"
)</f>
        <v>Clean Pass</v>
      </c>
      <c r="BJ538" t="str">
        <f t="shared" ref="BJ538:BJ601" si="385">IF(COUNTA(N538:Y538)=0,"NA",_xlfn.TEXTJOIN(",",TRUE,N538:Y538))</f>
        <v>NA</v>
      </c>
    </row>
    <row r="539" spans="1:62" x14ac:dyDescent="0.3">
      <c r="A539">
        <v>978579</v>
      </c>
      <c r="K539" t="str">
        <f t="shared" si="347"/>
        <v>Pass</v>
      </c>
      <c r="L539" s="15">
        <f t="shared" si="351"/>
        <v>0</v>
      </c>
      <c r="M539" s="15">
        <f t="shared" si="352"/>
        <v>0</v>
      </c>
      <c r="Z539" s="15">
        <f t="shared" si="353"/>
        <v>1</v>
      </c>
      <c r="AA539" s="15">
        <f t="shared" si="354"/>
        <v>1</v>
      </c>
      <c r="AB539" s="15">
        <f t="shared" si="355"/>
        <v>1</v>
      </c>
      <c r="AC539" s="15">
        <f t="shared" si="356"/>
        <v>1</v>
      </c>
      <c r="AD539" s="15">
        <f t="shared" si="357"/>
        <v>1</v>
      </c>
      <c r="AE539" s="15">
        <f t="shared" si="358"/>
        <v>1</v>
      </c>
      <c r="AF539" s="15">
        <f t="shared" si="359"/>
        <v>1</v>
      </c>
      <c r="AG539" s="15">
        <f t="shared" si="360"/>
        <v>1</v>
      </c>
      <c r="AH539" s="15">
        <f t="shared" si="361"/>
        <v>1</v>
      </c>
      <c r="AI539" s="15">
        <f t="shared" si="362"/>
        <v>1</v>
      </c>
      <c r="AJ539" s="15">
        <f t="shared" si="363"/>
        <v>1</v>
      </c>
      <c r="AK539" s="15">
        <f t="shared" si="364"/>
        <v>1</v>
      </c>
      <c r="AL539" s="15">
        <f t="shared" si="365"/>
        <v>1</v>
      </c>
      <c r="AM539" s="15">
        <f t="shared" si="366"/>
        <v>1</v>
      </c>
      <c r="AN539" s="15">
        <f t="shared" si="367"/>
        <v>1</v>
      </c>
      <c r="AO539" s="15">
        <f t="shared" si="368"/>
        <v>1</v>
      </c>
      <c r="AP539" s="15">
        <f t="shared" si="369"/>
        <v>1</v>
      </c>
      <c r="AQ539" s="15">
        <f t="shared" si="370"/>
        <v>1</v>
      </c>
      <c r="AR539" s="15">
        <f t="shared" si="371"/>
        <v>1</v>
      </c>
      <c r="AS539" s="15">
        <f t="shared" si="372"/>
        <v>1</v>
      </c>
      <c r="AT539" s="15">
        <f t="shared" si="373"/>
        <v>1</v>
      </c>
      <c r="AU539" s="15">
        <f t="shared" si="374"/>
        <v>1</v>
      </c>
      <c r="AV539" s="15">
        <f t="shared" si="375"/>
        <v>1</v>
      </c>
      <c r="AW539" s="15">
        <f t="shared" si="376"/>
        <v>1</v>
      </c>
      <c r="AX539" s="15">
        <f t="shared" si="377"/>
        <v>1</v>
      </c>
      <c r="AY539" s="15">
        <f t="shared" si="378"/>
        <v>1</v>
      </c>
      <c r="AZ539" s="15">
        <f t="shared" si="379"/>
        <v>1</v>
      </c>
      <c r="BA539" s="15">
        <f t="shared" si="380"/>
        <v>1</v>
      </c>
      <c r="BB539" s="15">
        <f t="shared" si="348"/>
        <v>0</v>
      </c>
      <c r="BC539" s="15" t="str">
        <f t="shared" si="349"/>
        <v/>
      </c>
      <c r="BD539" s="15" t="str">
        <f t="shared" si="350"/>
        <v/>
      </c>
      <c r="BE539" s="11" t="e">
        <f t="shared" si="381"/>
        <v>#VALUE!</v>
      </c>
      <c r="BF539" s="11" t="e">
        <f t="shared" si="382"/>
        <v>#VALUE!</v>
      </c>
      <c r="BG539" s="11" t="e">
        <f t="shared" si="383"/>
        <v>#VALUE!</v>
      </c>
      <c r="BH539" t="str">
        <f t="shared" si="384"/>
        <v/>
      </c>
      <c r="BI539" t="str" cm="1">
        <f t="array" ref="BI539">_xlfn.IFS(
  L539&gt;0,"Critical Fail",
  M539&gt;0,"Important (Coaching)",
  TRUE,"Clean Pass"
)</f>
        <v>Clean Pass</v>
      </c>
      <c r="BJ539" t="str">
        <f t="shared" si="385"/>
        <v>NA</v>
      </c>
    </row>
    <row r="540" spans="1:62" x14ac:dyDescent="0.3">
      <c r="A540">
        <v>445566</v>
      </c>
      <c r="K540" t="str">
        <f t="shared" si="347"/>
        <v>Pass</v>
      </c>
      <c r="L540" s="15">
        <f t="shared" si="351"/>
        <v>0</v>
      </c>
      <c r="M540" s="15">
        <f t="shared" si="352"/>
        <v>0</v>
      </c>
      <c r="Z540" s="15">
        <f t="shared" si="353"/>
        <v>1</v>
      </c>
      <c r="AA540" s="15">
        <f t="shared" si="354"/>
        <v>1</v>
      </c>
      <c r="AB540" s="15">
        <f t="shared" si="355"/>
        <v>1</v>
      </c>
      <c r="AC540" s="15">
        <f t="shared" si="356"/>
        <v>1</v>
      </c>
      <c r="AD540" s="15">
        <f t="shared" si="357"/>
        <v>1</v>
      </c>
      <c r="AE540" s="15">
        <f t="shared" si="358"/>
        <v>1</v>
      </c>
      <c r="AF540" s="15">
        <f t="shared" si="359"/>
        <v>1</v>
      </c>
      <c r="AG540" s="15">
        <f t="shared" si="360"/>
        <v>1</v>
      </c>
      <c r="AH540" s="15">
        <f t="shared" si="361"/>
        <v>1</v>
      </c>
      <c r="AI540" s="15">
        <f t="shared" si="362"/>
        <v>1</v>
      </c>
      <c r="AJ540" s="15">
        <f t="shared" si="363"/>
        <v>1</v>
      </c>
      <c r="AK540" s="15">
        <f t="shared" si="364"/>
        <v>1</v>
      </c>
      <c r="AL540" s="15">
        <f t="shared" si="365"/>
        <v>1</v>
      </c>
      <c r="AM540" s="15">
        <f t="shared" si="366"/>
        <v>1</v>
      </c>
      <c r="AN540" s="15">
        <f t="shared" si="367"/>
        <v>1</v>
      </c>
      <c r="AO540" s="15">
        <f t="shared" si="368"/>
        <v>1</v>
      </c>
      <c r="AP540" s="15">
        <f t="shared" si="369"/>
        <v>1</v>
      </c>
      <c r="AQ540" s="15">
        <f t="shared" si="370"/>
        <v>1</v>
      </c>
      <c r="AR540" s="15">
        <f t="shared" si="371"/>
        <v>1</v>
      </c>
      <c r="AS540" s="15">
        <f t="shared" si="372"/>
        <v>1</v>
      </c>
      <c r="AT540" s="15">
        <f t="shared" si="373"/>
        <v>1</v>
      </c>
      <c r="AU540" s="15">
        <f t="shared" si="374"/>
        <v>1</v>
      </c>
      <c r="AV540" s="15">
        <f t="shared" si="375"/>
        <v>1</v>
      </c>
      <c r="AW540" s="15">
        <f t="shared" si="376"/>
        <v>1</v>
      </c>
      <c r="AX540" s="15">
        <f t="shared" si="377"/>
        <v>1</v>
      </c>
      <c r="AY540" s="15">
        <f t="shared" si="378"/>
        <v>1</v>
      </c>
      <c r="AZ540" s="15">
        <f t="shared" si="379"/>
        <v>1</v>
      </c>
      <c r="BA540" s="15">
        <f t="shared" si="380"/>
        <v>1</v>
      </c>
      <c r="BB540" s="15">
        <f t="shared" si="348"/>
        <v>0</v>
      </c>
      <c r="BC540" s="15" t="str">
        <f t="shared" si="349"/>
        <v/>
      </c>
      <c r="BD540" s="15" t="str">
        <f t="shared" si="350"/>
        <v/>
      </c>
      <c r="BE540" s="11" t="e">
        <f t="shared" si="381"/>
        <v>#VALUE!</v>
      </c>
      <c r="BF540" s="11" t="e">
        <f t="shared" si="382"/>
        <v>#VALUE!</v>
      </c>
      <c r="BG540" s="11" t="e">
        <f t="shared" si="383"/>
        <v>#VALUE!</v>
      </c>
      <c r="BH540" t="str">
        <f t="shared" si="384"/>
        <v/>
      </c>
      <c r="BI540" t="str" cm="1">
        <f t="array" ref="BI540">_xlfn.IFS(
  L540&gt;0,"Critical Fail",
  M540&gt;0,"Important (Coaching)",
  TRUE,"Clean Pass"
)</f>
        <v>Clean Pass</v>
      </c>
      <c r="BJ540" t="str">
        <f t="shared" si="385"/>
        <v>NA</v>
      </c>
    </row>
    <row r="541" spans="1:62" x14ac:dyDescent="0.3">
      <c r="A541">
        <v>715265</v>
      </c>
      <c r="K541" t="str">
        <f t="shared" si="347"/>
        <v>Pass</v>
      </c>
      <c r="L541" s="15">
        <f t="shared" si="351"/>
        <v>0</v>
      </c>
      <c r="M541" s="15">
        <f t="shared" si="352"/>
        <v>0</v>
      </c>
      <c r="Z541" s="15">
        <f t="shared" si="353"/>
        <v>1</v>
      </c>
      <c r="AA541" s="15">
        <f t="shared" si="354"/>
        <v>1</v>
      </c>
      <c r="AB541" s="15">
        <f t="shared" si="355"/>
        <v>1</v>
      </c>
      <c r="AC541" s="15">
        <f t="shared" si="356"/>
        <v>1</v>
      </c>
      <c r="AD541" s="15">
        <f t="shared" si="357"/>
        <v>1</v>
      </c>
      <c r="AE541" s="15">
        <f t="shared" si="358"/>
        <v>1</v>
      </c>
      <c r="AF541" s="15">
        <f t="shared" si="359"/>
        <v>1</v>
      </c>
      <c r="AG541" s="15">
        <f t="shared" si="360"/>
        <v>1</v>
      </c>
      <c r="AH541" s="15">
        <f t="shared" si="361"/>
        <v>1</v>
      </c>
      <c r="AI541" s="15">
        <f t="shared" si="362"/>
        <v>1</v>
      </c>
      <c r="AJ541" s="15">
        <f t="shared" si="363"/>
        <v>1</v>
      </c>
      <c r="AK541" s="15">
        <f t="shared" si="364"/>
        <v>1</v>
      </c>
      <c r="AL541" s="15">
        <f t="shared" si="365"/>
        <v>1</v>
      </c>
      <c r="AM541" s="15">
        <f t="shared" si="366"/>
        <v>1</v>
      </c>
      <c r="AN541" s="15">
        <f t="shared" si="367"/>
        <v>1</v>
      </c>
      <c r="AO541" s="15">
        <f t="shared" si="368"/>
        <v>1</v>
      </c>
      <c r="AP541" s="15">
        <f t="shared" si="369"/>
        <v>1</v>
      </c>
      <c r="AQ541" s="15">
        <f t="shared" si="370"/>
        <v>1</v>
      </c>
      <c r="AR541" s="15">
        <f t="shared" si="371"/>
        <v>1</v>
      </c>
      <c r="AS541" s="15">
        <f t="shared" si="372"/>
        <v>1</v>
      </c>
      <c r="AT541" s="15">
        <f t="shared" si="373"/>
        <v>1</v>
      </c>
      <c r="AU541" s="15">
        <f t="shared" si="374"/>
        <v>1</v>
      </c>
      <c r="AV541" s="15">
        <f t="shared" si="375"/>
        <v>1</v>
      </c>
      <c r="AW541" s="15">
        <f t="shared" si="376"/>
        <v>1</v>
      </c>
      <c r="AX541" s="15">
        <f t="shared" si="377"/>
        <v>1</v>
      </c>
      <c r="AY541" s="15">
        <f t="shared" si="378"/>
        <v>1</v>
      </c>
      <c r="AZ541" s="15">
        <f t="shared" si="379"/>
        <v>1</v>
      </c>
      <c r="BA541" s="15">
        <f t="shared" si="380"/>
        <v>1</v>
      </c>
      <c r="BB541" s="15">
        <f t="shared" si="348"/>
        <v>0</v>
      </c>
      <c r="BC541" s="15" t="str">
        <f t="shared" si="349"/>
        <v/>
      </c>
      <c r="BD541" s="15" t="str">
        <f t="shared" si="350"/>
        <v/>
      </c>
      <c r="BE541" s="11" t="e">
        <f t="shared" si="381"/>
        <v>#VALUE!</v>
      </c>
      <c r="BF541" s="11" t="e">
        <f t="shared" si="382"/>
        <v>#VALUE!</v>
      </c>
      <c r="BG541" s="11" t="e">
        <f t="shared" si="383"/>
        <v>#VALUE!</v>
      </c>
      <c r="BH541" t="str">
        <f t="shared" si="384"/>
        <v/>
      </c>
      <c r="BI541" t="str" cm="1">
        <f t="array" ref="BI541">_xlfn.IFS(
  L541&gt;0,"Critical Fail",
  M541&gt;0,"Important (Coaching)",
  TRUE,"Clean Pass"
)</f>
        <v>Clean Pass</v>
      </c>
      <c r="BJ541" t="str">
        <f t="shared" si="385"/>
        <v>NA</v>
      </c>
    </row>
    <row r="542" spans="1:62" x14ac:dyDescent="0.3">
      <c r="A542">
        <v>485818</v>
      </c>
      <c r="K542" t="str">
        <f t="shared" si="347"/>
        <v>Pass</v>
      </c>
      <c r="L542" s="15">
        <f t="shared" si="351"/>
        <v>0</v>
      </c>
      <c r="M542" s="15">
        <f t="shared" si="352"/>
        <v>0</v>
      </c>
      <c r="Z542" s="15">
        <f t="shared" si="353"/>
        <v>1</v>
      </c>
      <c r="AA542" s="15">
        <f t="shared" si="354"/>
        <v>1</v>
      </c>
      <c r="AB542" s="15">
        <f t="shared" si="355"/>
        <v>1</v>
      </c>
      <c r="AC542" s="15">
        <f t="shared" si="356"/>
        <v>1</v>
      </c>
      <c r="AD542" s="15">
        <f t="shared" si="357"/>
        <v>1</v>
      </c>
      <c r="AE542" s="15">
        <f t="shared" si="358"/>
        <v>1</v>
      </c>
      <c r="AF542" s="15">
        <f t="shared" si="359"/>
        <v>1</v>
      </c>
      <c r="AG542" s="15">
        <f t="shared" si="360"/>
        <v>1</v>
      </c>
      <c r="AH542" s="15">
        <f t="shared" si="361"/>
        <v>1</v>
      </c>
      <c r="AI542" s="15">
        <f t="shared" si="362"/>
        <v>1</v>
      </c>
      <c r="AJ542" s="15">
        <f t="shared" si="363"/>
        <v>1</v>
      </c>
      <c r="AK542" s="15">
        <f t="shared" si="364"/>
        <v>1</v>
      </c>
      <c r="AL542" s="15">
        <f t="shared" si="365"/>
        <v>1</v>
      </c>
      <c r="AM542" s="15">
        <f t="shared" si="366"/>
        <v>1</v>
      </c>
      <c r="AN542" s="15">
        <f t="shared" si="367"/>
        <v>1</v>
      </c>
      <c r="AO542" s="15">
        <f t="shared" si="368"/>
        <v>1</v>
      </c>
      <c r="AP542" s="15">
        <f t="shared" si="369"/>
        <v>1</v>
      </c>
      <c r="AQ542" s="15">
        <f t="shared" si="370"/>
        <v>1</v>
      </c>
      <c r="AR542" s="15">
        <f t="shared" si="371"/>
        <v>1</v>
      </c>
      <c r="AS542" s="15">
        <f t="shared" si="372"/>
        <v>1</v>
      </c>
      <c r="AT542" s="15">
        <f t="shared" si="373"/>
        <v>1</v>
      </c>
      <c r="AU542" s="15">
        <f t="shared" si="374"/>
        <v>1</v>
      </c>
      <c r="AV542" s="15">
        <f t="shared" si="375"/>
        <v>1</v>
      </c>
      <c r="AW542" s="15">
        <f t="shared" si="376"/>
        <v>1</v>
      </c>
      <c r="AX542" s="15">
        <f t="shared" si="377"/>
        <v>1</v>
      </c>
      <c r="AY542" s="15">
        <f t="shared" si="378"/>
        <v>1</v>
      </c>
      <c r="AZ542" s="15">
        <f t="shared" si="379"/>
        <v>1</v>
      </c>
      <c r="BA542" s="15">
        <f t="shared" si="380"/>
        <v>1</v>
      </c>
      <c r="BB542" s="15">
        <f t="shared" si="348"/>
        <v>0</v>
      </c>
      <c r="BC542" s="15" t="str">
        <f t="shared" si="349"/>
        <v/>
      </c>
      <c r="BD542" s="15" t="str">
        <f t="shared" si="350"/>
        <v/>
      </c>
      <c r="BE542" s="11" t="e">
        <f t="shared" si="381"/>
        <v>#VALUE!</v>
      </c>
      <c r="BF542" s="11" t="e">
        <f t="shared" si="382"/>
        <v>#VALUE!</v>
      </c>
      <c r="BG542" s="11" t="e">
        <f t="shared" si="383"/>
        <v>#VALUE!</v>
      </c>
      <c r="BH542" t="str">
        <f t="shared" si="384"/>
        <v/>
      </c>
      <c r="BI542" t="str" cm="1">
        <f t="array" ref="BI542">_xlfn.IFS(
  L542&gt;0,"Critical Fail",
  M542&gt;0,"Important (Coaching)",
  TRUE,"Clean Pass"
)</f>
        <v>Clean Pass</v>
      </c>
      <c r="BJ542" t="str">
        <f t="shared" si="385"/>
        <v>NA</v>
      </c>
    </row>
    <row r="543" spans="1:62" x14ac:dyDescent="0.3">
      <c r="A543">
        <v>892099</v>
      </c>
      <c r="K543" t="str">
        <f t="shared" si="347"/>
        <v>Pass</v>
      </c>
      <c r="L543" s="15">
        <f t="shared" si="351"/>
        <v>0</v>
      </c>
      <c r="M543" s="15">
        <f t="shared" si="352"/>
        <v>0</v>
      </c>
      <c r="Z543" s="15">
        <f t="shared" si="353"/>
        <v>1</v>
      </c>
      <c r="AA543" s="15">
        <f t="shared" si="354"/>
        <v>1</v>
      </c>
      <c r="AB543" s="15">
        <f t="shared" si="355"/>
        <v>1</v>
      </c>
      <c r="AC543" s="15">
        <f t="shared" si="356"/>
        <v>1</v>
      </c>
      <c r="AD543" s="15">
        <f t="shared" si="357"/>
        <v>1</v>
      </c>
      <c r="AE543" s="15">
        <f t="shared" si="358"/>
        <v>1</v>
      </c>
      <c r="AF543" s="15">
        <f t="shared" si="359"/>
        <v>1</v>
      </c>
      <c r="AG543" s="15">
        <f t="shared" si="360"/>
        <v>1</v>
      </c>
      <c r="AH543" s="15">
        <f t="shared" si="361"/>
        <v>1</v>
      </c>
      <c r="AI543" s="15">
        <f t="shared" si="362"/>
        <v>1</v>
      </c>
      <c r="AJ543" s="15">
        <f t="shared" si="363"/>
        <v>1</v>
      </c>
      <c r="AK543" s="15">
        <f t="shared" si="364"/>
        <v>1</v>
      </c>
      <c r="AL543" s="15">
        <f t="shared" si="365"/>
        <v>1</v>
      </c>
      <c r="AM543" s="15">
        <f t="shared" si="366"/>
        <v>1</v>
      </c>
      <c r="AN543" s="15">
        <f t="shared" si="367"/>
        <v>1</v>
      </c>
      <c r="AO543" s="15">
        <f t="shared" si="368"/>
        <v>1</v>
      </c>
      <c r="AP543" s="15">
        <f t="shared" si="369"/>
        <v>1</v>
      </c>
      <c r="AQ543" s="15">
        <f t="shared" si="370"/>
        <v>1</v>
      </c>
      <c r="AR543" s="15">
        <f t="shared" si="371"/>
        <v>1</v>
      </c>
      <c r="AS543" s="15">
        <f t="shared" si="372"/>
        <v>1</v>
      </c>
      <c r="AT543" s="15">
        <f t="shared" si="373"/>
        <v>1</v>
      </c>
      <c r="AU543" s="15">
        <f t="shared" si="374"/>
        <v>1</v>
      </c>
      <c r="AV543" s="15">
        <f t="shared" si="375"/>
        <v>1</v>
      </c>
      <c r="AW543" s="15">
        <f t="shared" si="376"/>
        <v>1</v>
      </c>
      <c r="AX543" s="15">
        <f t="shared" si="377"/>
        <v>1</v>
      </c>
      <c r="AY543" s="15">
        <f t="shared" si="378"/>
        <v>1</v>
      </c>
      <c r="AZ543" s="15">
        <f t="shared" si="379"/>
        <v>1</v>
      </c>
      <c r="BA543" s="15">
        <f t="shared" si="380"/>
        <v>1</v>
      </c>
      <c r="BB543" s="15">
        <f t="shared" si="348"/>
        <v>0</v>
      </c>
      <c r="BC543" s="15" t="str">
        <f t="shared" si="349"/>
        <v/>
      </c>
      <c r="BD543" s="15" t="str">
        <f t="shared" si="350"/>
        <v/>
      </c>
      <c r="BE543" s="11" t="e">
        <f t="shared" si="381"/>
        <v>#VALUE!</v>
      </c>
      <c r="BF543" s="11" t="e">
        <f t="shared" si="382"/>
        <v>#VALUE!</v>
      </c>
      <c r="BG543" s="11" t="e">
        <f t="shared" si="383"/>
        <v>#VALUE!</v>
      </c>
      <c r="BH543" t="str">
        <f t="shared" si="384"/>
        <v/>
      </c>
      <c r="BI543" t="str" cm="1">
        <f t="array" ref="BI543">_xlfn.IFS(
  L543&gt;0,"Critical Fail",
  M543&gt;0,"Important (Coaching)",
  TRUE,"Clean Pass"
)</f>
        <v>Clean Pass</v>
      </c>
      <c r="BJ543" t="str">
        <f t="shared" si="385"/>
        <v>NA</v>
      </c>
    </row>
    <row r="544" spans="1:62" x14ac:dyDescent="0.3">
      <c r="A544">
        <v>447548</v>
      </c>
      <c r="K544" t="str">
        <f t="shared" si="347"/>
        <v>Pass</v>
      </c>
      <c r="L544" s="15">
        <f t="shared" si="351"/>
        <v>0</v>
      </c>
      <c r="M544" s="15">
        <f t="shared" si="352"/>
        <v>0</v>
      </c>
      <c r="Z544" s="15">
        <f t="shared" si="353"/>
        <v>1</v>
      </c>
      <c r="AA544" s="15">
        <f t="shared" si="354"/>
        <v>1</v>
      </c>
      <c r="AB544" s="15">
        <f t="shared" si="355"/>
        <v>1</v>
      </c>
      <c r="AC544" s="15">
        <f t="shared" si="356"/>
        <v>1</v>
      </c>
      <c r="AD544" s="15">
        <f t="shared" si="357"/>
        <v>1</v>
      </c>
      <c r="AE544" s="15">
        <f t="shared" si="358"/>
        <v>1</v>
      </c>
      <c r="AF544" s="15">
        <f t="shared" si="359"/>
        <v>1</v>
      </c>
      <c r="AG544" s="15">
        <f t="shared" si="360"/>
        <v>1</v>
      </c>
      <c r="AH544" s="15">
        <f t="shared" si="361"/>
        <v>1</v>
      </c>
      <c r="AI544" s="15">
        <f t="shared" si="362"/>
        <v>1</v>
      </c>
      <c r="AJ544" s="15">
        <f t="shared" si="363"/>
        <v>1</v>
      </c>
      <c r="AK544" s="15">
        <f t="shared" si="364"/>
        <v>1</v>
      </c>
      <c r="AL544" s="15">
        <f t="shared" si="365"/>
        <v>1</v>
      </c>
      <c r="AM544" s="15">
        <f t="shared" si="366"/>
        <v>1</v>
      </c>
      <c r="AN544" s="15">
        <f t="shared" si="367"/>
        <v>1</v>
      </c>
      <c r="AO544" s="15">
        <f t="shared" si="368"/>
        <v>1</v>
      </c>
      <c r="AP544" s="15">
        <f t="shared" si="369"/>
        <v>1</v>
      </c>
      <c r="AQ544" s="15">
        <f t="shared" si="370"/>
        <v>1</v>
      </c>
      <c r="AR544" s="15">
        <f t="shared" si="371"/>
        <v>1</v>
      </c>
      <c r="AS544" s="15">
        <f t="shared" si="372"/>
        <v>1</v>
      </c>
      <c r="AT544" s="15">
        <f t="shared" si="373"/>
        <v>1</v>
      </c>
      <c r="AU544" s="15">
        <f t="shared" si="374"/>
        <v>1</v>
      </c>
      <c r="AV544" s="15">
        <f t="shared" si="375"/>
        <v>1</v>
      </c>
      <c r="AW544" s="15">
        <f t="shared" si="376"/>
        <v>1</v>
      </c>
      <c r="AX544" s="15">
        <f t="shared" si="377"/>
        <v>1</v>
      </c>
      <c r="AY544" s="15">
        <f t="shared" si="378"/>
        <v>1</v>
      </c>
      <c r="AZ544" s="15">
        <f t="shared" si="379"/>
        <v>1</v>
      </c>
      <c r="BA544" s="15">
        <f t="shared" si="380"/>
        <v>1</v>
      </c>
      <c r="BB544" s="15">
        <f t="shared" si="348"/>
        <v>0</v>
      </c>
      <c r="BC544" s="15" t="str">
        <f t="shared" si="349"/>
        <v/>
      </c>
      <c r="BD544" s="15" t="str">
        <f t="shared" si="350"/>
        <v/>
      </c>
      <c r="BE544" s="11" t="e">
        <f t="shared" si="381"/>
        <v>#VALUE!</v>
      </c>
      <c r="BF544" s="11" t="e">
        <f t="shared" si="382"/>
        <v>#VALUE!</v>
      </c>
      <c r="BG544" s="11" t="e">
        <f t="shared" si="383"/>
        <v>#VALUE!</v>
      </c>
      <c r="BH544" t="str">
        <f t="shared" si="384"/>
        <v/>
      </c>
      <c r="BI544" t="str" cm="1">
        <f t="array" ref="BI544">_xlfn.IFS(
  L544&gt;0,"Critical Fail",
  M544&gt;0,"Important (Coaching)",
  TRUE,"Clean Pass"
)</f>
        <v>Clean Pass</v>
      </c>
      <c r="BJ544" t="str">
        <f t="shared" si="385"/>
        <v>NA</v>
      </c>
    </row>
    <row r="545" spans="1:62" x14ac:dyDescent="0.3">
      <c r="A545">
        <v>754618</v>
      </c>
      <c r="K545" t="str">
        <f t="shared" si="347"/>
        <v>Pass</v>
      </c>
      <c r="L545" s="15">
        <f t="shared" si="351"/>
        <v>0</v>
      </c>
      <c r="M545" s="15">
        <f t="shared" si="352"/>
        <v>0</v>
      </c>
      <c r="Z545" s="15">
        <f t="shared" si="353"/>
        <v>1</v>
      </c>
      <c r="AA545" s="15">
        <f t="shared" si="354"/>
        <v>1</v>
      </c>
      <c r="AB545" s="15">
        <f t="shared" si="355"/>
        <v>1</v>
      </c>
      <c r="AC545" s="15">
        <f t="shared" si="356"/>
        <v>1</v>
      </c>
      <c r="AD545" s="15">
        <f t="shared" si="357"/>
        <v>1</v>
      </c>
      <c r="AE545" s="15">
        <f t="shared" si="358"/>
        <v>1</v>
      </c>
      <c r="AF545" s="15">
        <f t="shared" si="359"/>
        <v>1</v>
      </c>
      <c r="AG545" s="15">
        <f t="shared" si="360"/>
        <v>1</v>
      </c>
      <c r="AH545" s="15">
        <f t="shared" si="361"/>
        <v>1</v>
      </c>
      <c r="AI545" s="15">
        <f t="shared" si="362"/>
        <v>1</v>
      </c>
      <c r="AJ545" s="15">
        <f t="shared" si="363"/>
        <v>1</v>
      </c>
      <c r="AK545" s="15">
        <f t="shared" si="364"/>
        <v>1</v>
      </c>
      <c r="AL545" s="15">
        <f t="shared" si="365"/>
        <v>1</v>
      </c>
      <c r="AM545" s="15">
        <f t="shared" si="366"/>
        <v>1</v>
      </c>
      <c r="AN545" s="15">
        <f t="shared" si="367"/>
        <v>1</v>
      </c>
      <c r="AO545" s="15">
        <f t="shared" si="368"/>
        <v>1</v>
      </c>
      <c r="AP545" s="15">
        <f t="shared" si="369"/>
        <v>1</v>
      </c>
      <c r="AQ545" s="15">
        <f t="shared" si="370"/>
        <v>1</v>
      </c>
      <c r="AR545" s="15">
        <f t="shared" si="371"/>
        <v>1</v>
      </c>
      <c r="AS545" s="15">
        <f t="shared" si="372"/>
        <v>1</v>
      </c>
      <c r="AT545" s="15">
        <f t="shared" si="373"/>
        <v>1</v>
      </c>
      <c r="AU545" s="15">
        <f t="shared" si="374"/>
        <v>1</v>
      </c>
      <c r="AV545" s="15">
        <f t="shared" si="375"/>
        <v>1</v>
      </c>
      <c r="AW545" s="15">
        <f t="shared" si="376"/>
        <v>1</v>
      </c>
      <c r="AX545" s="15">
        <f t="shared" si="377"/>
        <v>1</v>
      </c>
      <c r="AY545" s="15">
        <f t="shared" si="378"/>
        <v>1</v>
      </c>
      <c r="AZ545" s="15">
        <f t="shared" si="379"/>
        <v>1</v>
      </c>
      <c r="BA545" s="15">
        <f t="shared" si="380"/>
        <v>1</v>
      </c>
      <c r="BB545" s="15">
        <f t="shared" si="348"/>
        <v>0</v>
      </c>
      <c r="BC545" s="15" t="str">
        <f t="shared" si="349"/>
        <v/>
      </c>
      <c r="BD545" s="15" t="str">
        <f t="shared" si="350"/>
        <v/>
      </c>
      <c r="BE545" s="11" t="e">
        <f t="shared" si="381"/>
        <v>#VALUE!</v>
      </c>
      <c r="BF545" s="11" t="e">
        <f t="shared" si="382"/>
        <v>#VALUE!</v>
      </c>
      <c r="BG545" s="11" t="e">
        <f t="shared" si="383"/>
        <v>#VALUE!</v>
      </c>
      <c r="BH545" t="str">
        <f t="shared" si="384"/>
        <v/>
      </c>
      <c r="BI545" t="str" cm="1">
        <f t="array" ref="BI545">_xlfn.IFS(
  L545&gt;0,"Critical Fail",
  M545&gt;0,"Important (Coaching)",
  TRUE,"Clean Pass"
)</f>
        <v>Clean Pass</v>
      </c>
      <c r="BJ545" t="str">
        <f t="shared" si="385"/>
        <v>NA</v>
      </c>
    </row>
    <row r="546" spans="1:62" x14ac:dyDescent="0.3">
      <c r="A546">
        <v>848954</v>
      </c>
      <c r="K546" t="str">
        <f t="shared" si="347"/>
        <v>Pass</v>
      </c>
      <c r="L546" s="15">
        <f t="shared" si="351"/>
        <v>0</v>
      </c>
      <c r="M546" s="15">
        <f t="shared" si="352"/>
        <v>0</v>
      </c>
      <c r="Z546" s="15">
        <f t="shared" si="353"/>
        <v>1</v>
      </c>
      <c r="AA546" s="15">
        <f t="shared" si="354"/>
        <v>1</v>
      </c>
      <c r="AB546" s="15">
        <f t="shared" si="355"/>
        <v>1</v>
      </c>
      <c r="AC546" s="15">
        <f t="shared" si="356"/>
        <v>1</v>
      </c>
      <c r="AD546" s="15">
        <f t="shared" si="357"/>
        <v>1</v>
      </c>
      <c r="AE546" s="15">
        <f t="shared" si="358"/>
        <v>1</v>
      </c>
      <c r="AF546" s="15">
        <f t="shared" si="359"/>
        <v>1</v>
      </c>
      <c r="AG546" s="15">
        <f t="shared" si="360"/>
        <v>1</v>
      </c>
      <c r="AH546" s="15">
        <f t="shared" si="361"/>
        <v>1</v>
      </c>
      <c r="AI546" s="15">
        <f t="shared" si="362"/>
        <v>1</v>
      </c>
      <c r="AJ546" s="15">
        <f t="shared" si="363"/>
        <v>1</v>
      </c>
      <c r="AK546" s="15">
        <f t="shared" si="364"/>
        <v>1</v>
      </c>
      <c r="AL546" s="15">
        <f t="shared" si="365"/>
        <v>1</v>
      </c>
      <c r="AM546" s="15">
        <f t="shared" si="366"/>
        <v>1</v>
      </c>
      <c r="AN546" s="15">
        <f t="shared" si="367"/>
        <v>1</v>
      </c>
      <c r="AO546" s="15">
        <f t="shared" si="368"/>
        <v>1</v>
      </c>
      <c r="AP546" s="15">
        <f t="shared" si="369"/>
        <v>1</v>
      </c>
      <c r="AQ546" s="15">
        <f t="shared" si="370"/>
        <v>1</v>
      </c>
      <c r="AR546" s="15">
        <f t="shared" si="371"/>
        <v>1</v>
      </c>
      <c r="AS546" s="15">
        <f t="shared" si="372"/>
        <v>1</v>
      </c>
      <c r="AT546" s="15">
        <f t="shared" si="373"/>
        <v>1</v>
      </c>
      <c r="AU546" s="15">
        <f t="shared" si="374"/>
        <v>1</v>
      </c>
      <c r="AV546" s="15">
        <f t="shared" si="375"/>
        <v>1</v>
      </c>
      <c r="AW546" s="15">
        <f t="shared" si="376"/>
        <v>1</v>
      </c>
      <c r="AX546" s="15">
        <f t="shared" si="377"/>
        <v>1</v>
      </c>
      <c r="AY546" s="15">
        <f t="shared" si="378"/>
        <v>1</v>
      </c>
      <c r="AZ546" s="15">
        <f t="shared" si="379"/>
        <v>1</v>
      </c>
      <c r="BA546" s="15">
        <f t="shared" si="380"/>
        <v>1</v>
      </c>
      <c r="BB546" s="15">
        <f t="shared" si="348"/>
        <v>0</v>
      </c>
      <c r="BC546" s="15" t="str">
        <f t="shared" si="349"/>
        <v/>
      </c>
      <c r="BD546" s="15" t="str">
        <f t="shared" si="350"/>
        <v/>
      </c>
      <c r="BE546" s="11" t="e">
        <f t="shared" si="381"/>
        <v>#VALUE!</v>
      </c>
      <c r="BF546" s="11" t="e">
        <f t="shared" si="382"/>
        <v>#VALUE!</v>
      </c>
      <c r="BG546" s="11" t="e">
        <f t="shared" si="383"/>
        <v>#VALUE!</v>
      </c>
      <c r="BH546" t="str">
        <f t="shared" si="384"/>
        <v/>
      </c>
      <c r="BI546" t="str" cm="1">
        <f t="array" ref="BI546">_xlfn.IFS(
  L546&gt;0,"Critical Fail",
  M546&gt;0,"Important (Coaching)",
  TRUE,"Clean Pass"
)</f>
        <v>Clean Pass</v>
      </c>
      <c r="BJ546" t="str">
        <f t="shared" si="385"/>
        <v>NA</v>
      </c>
    </row>
    <row r="547" spans="1:62" x14ac:dyDescent="0.3">
      <c r="A547">
        <v>192508</v>
      </c>
      <c r="K547" t="str">
        <f t="shared" si="347"/>
        <v>Pass</v>
      </c>
      <c r="L547" s="15">
        <f t="shared" si="351"/>
        <v>0</v>
      </c>
      <c r="M547" s="15">
        <f t="shared" si="352"/>
        <v>0</v>
      </c>
      <c r="Z547" s="15">
        <f t="shared" si="353"/>
        <v>1</v>
      </c>
      <c r="AA547" s="15">
        <f t="shared" si="354"/>
        <v>1</v>
      </c>
      <c r="AB547" s="15">
        <f t="shared" si="355"/>
        <v>1</v>
      </c>
      <c r="AC547" s="15">
        <f t="shared" si="356"/>
        <v>1</v>
      </c>
      <c r="AD547" s="15">
        <f t="shared" si="357"/>
        <v>1</v>
      </c>
      <c r="AE547" s="15">
        <f t="shared" si="358"/>
        <v>1</v>
      </c>
      <c r="AF547" s="15">
        <f t="shared" si="359"/>
        <v>1</v>
      </c>
      <c r="AG547" s="15">
        <f t="shared" si="360"/>
        <v>1</v>
      </c>
      <c r="AH547" s="15">
        <f t="shared" si="361"/>
        <v>1</v>
      </c>
      <c r="AI547" s="15">
        <f t="shared" si="362"/>
        <v>1</v>
      </c>
      <c r="AJ547" s="15">
        <f t="shared" si="363"/>
        <v>1</v>
      </c>
      <c r="AK547" s="15">
        <f t="shared" si="364"/>
        <v>1</v>
      </c>
      <c r="AL547" s="15">
        <f t="shared" si="365"/>
        <v>1</v>
      </c>
      <c r="AM547" s="15">
        <f t="shared" si="366"/>
        <v>1</v>
      </c>
      <c r="AN547" s="15">
        <f t="shared" si="367"/>
        <v>1</v>
      </c>
      <c r="AO547" s="15">
        <f t="shared" si="368"/>
        <v>1</v>
      </c>
      <c r="AP547" s="15">
        <f t="shared" si="369"/>
        <v>1</v>
      </c>
      <c r="AQ547" s="15">
        <f t="shared" si="370"/>
        <v>1</v>
      </c>
      <c r="AR547" s="15">
        <f t="shared" si="371"/>
        <v>1</v>
      </c>
      <c r="AS547" s="15">
        <f t="shared" si="372"/>
        <v>1</v>
      </c>
      <c r="AT547" s="15">
        <f t="shared" si="373"/>
        <v>1</v>
      </c>
      <c r="AU547" s="15">
        <f t="shared" si="374"/>
        <v>1</v>
      </c>
      <c r="AV547" s="15">
        <f t="shared" si="375"/>
        <v>1</v>
      </c>
      <c r="AW547" s="15">
        <f t="shared" si="376"/>
        <v>1</v>
      </c>
      <c r="AX547" s="15">
        <f t="shared" si="377"/>
        <v>1</v>
      </c>
      <c r="AY547" s="15">
        <f t="shared" si="378"/>
        <v>1</v>
      </c>
      <c r="AZ547" s="15">
        <f t="shared" si="379"/>
        <v>1</v>
      </c>
      <c r="BA547" s="15">
        <f t="shared" si="380"/>
        <v>1</v>
      </c>
      <c r="BB547" s="15">
        <f t="shared" si="348"/>
        <v>0</v>
      </c>
      <c r="BC547" s="15" t="str">
        <f t="shared" si="349"/>
        <v/>
      </c>
      <c r="BD547" s="15" t="str">
        <f t="shared" si="350"/>
        <v/>
      </c>
      <c r="BE547" s="11" t="e">
        <f t="shared" si="381"/>
        <v>#VALUE!</v>
      </c>
      <c r="BF547" s="11" t="e">
        <f t="shared" si="382"/>
        <v>#VALUE!</v>
      </c>
      <c r="BG547" s="11" t="e">
        <f t="shared" si="383"/>
        <v>#VALUE!</v>
      </c>
      <c r="BH547" t="str">
        <f t="shared" si="384"/>
        <v/>
      </c>
      <c r="BI547" t="str" cm="1">
        <f t="array" ref="BI547">_xlfn.IFS(
  L547&gt;0,"Critical Fail",
  M547&gt;0,"Important (Coaching)",
  TRUE,"Clean Pass"
)</f>
        <v>Clean Pass</v>
      </c>
      <c r="BJ547" t="str">
        <f t="shared" si="385"/>
        <v>NA</v>
      </c>
    </row>
    <row r="548" spans="1:62" x14ac:dyDescent="0.3">
      <c r="A548">
        <v>942689</v>
      </c>
      <c r="K548" t="str">
        <f t="shared" si="347"/>
        <v>Pass</v>
      </c>
      <c r="L548" s="15">
        <f t="shared" si="351"/>
        <v>0</v>
      </c>
      <c r="M548" s="15">
        <f t="shared" si="352"/>
        <v>0</v>
      </c>
      <c r="Z548" s="15">
        <f t="shared" si="353"/>
        <v>1</v>
      </c>
      <c r="AA548" s="15">
        <f t="shared" si="354"/>
        <v>1</v>
      </c>
      <c r="AB548" s="15">
        <f t="shared" si="355"/>
        <v>1</v>
      </c>
      <c r="AC548" s="15">
        <f t="shared" si="356"/>
        <v>1</v>
      </c>
      <c r="AD548" s="15">
        <f t="shared" si="357"/>
        <v>1</v>
      </c>
      <c r="AE548" s="15">
        <f t="shared" si="358"/>
        <v>1</v>
      </c>
      <c r="AF548" s="15">
        <f t="shared" si="359"/>
        <v>1</v>
      </c>
      <c r="AG548" s="15">
        <f t="shared" si="360"/>
        <v>1</v>
      </c>
      <c r="AH548" s="15">
        <f t="shared" si="361"/>
        <v>1</v>
      </c>
      <c r="AI548" s="15">
        <f t="shared" si="362"/>
        <v>1</v>
      </c>
      <c r="AJ548" s="15">
        <f t="shared" si="363"/>
        <v>1</v>
      </c>
      <c r="AK548" s="15">
        <f t="shared" si="364"/>
        <v>1</v>
      </c>
      <c r="AL548" s="15">
        <f t="shared" si="365"/>
        <v>1</v>
      </c>
      <c r="AM548" s="15">
        <f t="shared" si="366"/>
        <v>1</v>
      </c>
      <c r="AN548" s="15">
        <f t="shared" si="367"/>
        <v>1</v>
      </c>
      <c r="AO548" s="15">
        <f t="shared" si="368"/>
        <v>1</v>
      </c>
      <c r="AP548" s="15">
        <f t="shared" si="369"/>
        <v>1</v>
      </c>
      <c r="AQ548" s="15">
        <f t="shared" si="370"/>
        <v>1</v>
      </c>
      <c r="AR548" s="15">
        <f t="shared" si="371"/>
        <v>1</v>
      </c>
      <c r="AS548" s="15">
        <f t="shared" si="372"/>
        <v>1</v>
      </c>
      <c r="AT548" s="15">
        <f t="shared" si="373"/>
        <v>1</v>
      </c>
      <c r="AU548" s="15">
        <f t="shared" si="374"/>
        <v>1</v>
      </c>
      <c r="AV548" s="15">
        <f t="shared" si="375"/>
        <v>1</v>
      </c>
      <c r="AW548" s="15">
        <f t="shared" si="376"/>
        <v>1</v>
      </c>
      <c r="AX548" s="15">
        <f t="shared" si="377"/>
        <v>1</v>
      </c>
      <c r="AY548" s="15">
        <f t="shared" si="378"/>
        <v>1</v>
      </c>
      <c r="AZ548" s="15">
        <f t="shared" si="379"/>
        <v>1</v>
      </c>
      <c r="BA548" s="15">
        <f t="shared" si="380"/>
        <v>1</v>
      </c>
      <c r="BB548" s="15">
        <f t="shared" si="348"/>
        <v>0</v>
      </c>
      <c r="BC548" s="15" t="str">
        <f t="shared" si="349"/>
        <v/>
      </c>
      <c r="BD548" s="15" t="str">
        <f t="shared" si="350"/>
        <v/>
      </c>
      <c r="BE548" s="11" t="e">
        <f t="shared" si="381"/>
        <v>#VALUE!</v>
      </c>
      <c r="BF548" s="11" t="e">
        <f t="shared" si="382"/>
        <v>#VALUE!</v>
      </c>
      <c r="BG548" s="11" t="e">
        <f t="shared" si="383"/>
        <v>#VALUE!</v>
      </c>
      <c r="BH548" t="str">
        <f t="shared" si="384"/>
        <v/>
      </c>
      <c r="BI548" t="str" cm="1">
        <f t="array" ref="BI548">_xlfn.IFS(
  L548&gt;0,"Critical Fail",
  M548&gt;0,"Important (Coaching)",
  TRUE,"Clean Pass"
)</f>
        <v>Clean Pass</v>
      </c>
      <c r="BJ548" t="str">
        <f t="shared" si="385"/>
        <v>NA</v>
      </c>
    </row>
    <row r="549" spans="1:62" x14ac:dyDescent="0.3">
      <c r="A549">
        <v>338271</v>
      </c>
      <c r="K549" t="str">
        <f t="shared" si="347"/>
        <v>Pass</v>
      </c>
      <c r="L549" s="15">
        <f t="shared" si="351"/>
        <v>0</v>
      </c>
      <c r="M549" s="15">
        <f t="shared" si="352"/>
        <v>0</v>
      </c>
      <c r="Z549" s="15">
        <f t="shared" si="353"/>
        <v>1</v>
      </c>
      <c r="AA549" s="15">
        <f t="shared" si="354"/>
        <v>1</v>
      </c>
      <c r="AB549" s="15">
        <f t="shared" si="355"/>
        <v>1</v>
      </c>
      <c r="AC549" s="15">
        <f t="shared" si="356"/>
        <v>1</v>
      </c>
      <c r="AD549" s="15">
        <f t="shared" si="357"/>
        <v>1</v>
      </c>
      <c r="AE549" s="15">
        <f t="shared" si="358"/>
        <v>1</v>
      </c>
      <c r="AF549" s="15">
        <f t="shared" si="359"/>
        <v>1</v>
      </c>
      <c r="AG549" s="15">
        <f t="shared" si="360"/>
        <v>1</v>
      </c>
      <c r="AH549" s="15">
        <f t="shared" si="361"/>
        <v>1</v>
      </c>
      <c r="AI549" s="15">
        <f t="shared" si="362"/>
        <v>1</v>
      </c>
      <c r="AJ549" s="15">
        <f t="shared" si="363"/>
        <v>1</v>
      </c>
      <c r="AK549" s="15">
        <f t="shared" si="364"/>
        <v>1</v>
      </c>
      <c r="AL549" s="15">
        <f t="shared" si="365"/>
        <v>1</v>
      </c>
      <c r="AM549" s="15">
        <f t="shared" si="366"/>
        <v>1</v>
      </c>
      <c r="AN549" s="15">
        <f t="shared" si="367"/>
        <v>1</v>
      </c>
      <c r="AO549" s="15">
        <f t="shared" si="368"/>
        <v>1</v>
      </c>
      <c r="AP549" s="15">
        <f t="shared" si="369"/>
        <v>1</v>
      </c>
      <c r="AQ549" s="15">
        <f t="shared" si="370"/>
        <v>1</v>
      </c>
      <c r="AR549" s="15">
        <f t="shared" si="371"/>
        <v>1</v>
      </c>
      <c r="AS549" s="15">
        <f t="shared" si="372"/>
        <v>1</v>
      </c>
      <c r="AT549" s="15">
        <f t="shared" si="373"/>
        <v>1</v>
      </c>
      <c r="AU549" s="15">
        <f t="shared" si="374"/>
        <v>1</v>
      </c>
      <c r="AV549" s="15">
        <f t="shared" si="375"/>
        <v>1</v>
      </c>
      <c r="AW549" s="15">
        <f t="shared" si="376"/>
        <v>1</v>
      </c>
      <c r="AX549" s="15">
        <f t="shared" si="377"/>
        <v>1</v>
      </c>
      <c r="AY549" s="15">
        <f t="shared" si="378"/>
        <v>1</v>
      </c>
      <c r="AZ549" s="15">
        <f t="shared" si="379"/>
        <v>1</v>
      </c>
      <c r="BA549" s="15">
        <f t="shared" si="380"/>
        <v>1</v>
      </c>
      <c r="BB549" s="15">
        <f t="shared" si="348"/>
        <v>0</v>
      </c>
      <c r="BC549" s="15" t="str">
        <f t="shared" si="349"/>
        <v/>
      </c>
      <c r="BD549" s="15" t="str">
        <f t="shared" si="350"/>
        <v/>
      </c>
      <c r="BE549" s="11" t="e">
        <f t="shared" si="381"/>
        <v>#VALUE!</v>
      </c>
      <c r="BF549" s="11" t="e">
        <f t="shared" si="382"/>
        <v>#VALUE!</v>
      </c>
      <c r="BG549" s="11" t="e">
        <f t="shared" si="383"/>
        <v>#VALUE!</v>
      </c>
      <c r="BH549" t="str">
        <f t="shared" si="384"/>
        <v/>
      </c>
      <c r="BI549" t="str" cm="1">
        <f t="array" ref="BI549">_xlfn.IFS(
  L549&gt;0,"Critical Fail",
  M549&gt;0,"Important (Coaching)",
  TRUE,"Clean Pass"
)</f>
        <v>Clean Pass</v>
      </c>
      <c r="BJ549" t="str">
        <f t="shared" si="385"/>
        <v>NA</v>
      </c>
    </row>
    <row r="550" spans="1:62" x14ac:dyDescent="0.3">
      <c r="A550">
        <v>439222</v>
      </c>
      <c r="K550" t="str">
        <f t="shared" si="347"/>
        <v>Pass</v>
      </c>
      <c r="L550" s="15">
        <f t="shared" si="351"/>
        <v>0</v>
      </c>
      <c r="M550" s="15">
        <f t="shared" si="352"/>
        <v>0</v>
      </c>
      <c r="Z550" s="15">
        <f t="shared" si="353"/>
        <v>1</v>
      </c>
      <c r="AA550" s="15">
        <f t="shared" si="354"/>
        <v>1</v>
      </c>
      <c r="AB550" s="15">
        <f t="shared" si="355"/>
        <v>1</v>
      </c>
      <c r="AC550" s="15">
        <f t="shared" si="356"/>
        <v>1</v>
      </c>
      <c r="AD550" s="15">
        <f t="shared" si="357"/>
        <v>1</v>
      </c>
      <c r="AE550" s="15">
        <f t="shared" si="358"/>
        <v>1</v>
      </c>
      <c r="AF550" s="15">
        <f t="shared" si="359"/>
        <v>1</v>
      </c>
      <c r="AG550" s="15">
        <f t="shared" si="360"/>
        <v>1</v>
      </c>
      <c r="AH550" s="15">
        <f t="shared" si="361"/>
        <v>1</v>
      </c>
      <c r="AI550" s="15">
        <f t="shared" si="362"/>
        <v>1</v>
      </c>
      <c r="AJ550" s="15">
        <f t="shared" si="363"/>
        <v>1</v>
      </c>
      <c r="AK550" s="15">
        <f t="shared" si="364"/>
        <v>1</v>
      </c>
      <c r="AL550" s="15">
        <f t="shared" si="365"/>
        <v>1</v>
      </c>
      <c r="AM550" s="15">
        <f t="shared" si="366"/>
        <v>1</v>
      </c>
      <c r="AN550" s="15">
        <f t="shared" si="367"/>
        <v>1</v>
      </c>
      <c r="AO550" s="15">
        <f t="shared" si="368"/>
        <v>1</v>
      </c>
      <c r="AP550" s="15">
        <f t="shared" si="369"/>
        <v>1</v>
      </c>
      <c r="AQ550" s="15">
        <f t="shared" si="370"/>
        <v>1</v>
      </c>
      <c r="AR550" s="15">
        <f t="shared" si="371"/>
        <v>1</v>
      </c>
      <c r="AS550" s="15">
        <f t="shared" si="372"/>
        <v>1</v>
      </c>
      <c r="AT550" s="15">
        <f t="shared" si="373"/>
        <v>1</v>
      </c>
      <c r="AU550" s="15">
        <f t="shared" si="374"/>
        <v>1</v>
      </c>
      <c r="AV550" s="15">
        <f t="shared" si="375"/>
        <v>1</v>
      </c>
      <c r="AW550" s="15">
        <f t="shared" si="376"/>
        <v>1</v>
      </c>
      <c r="AX550" s="15">
        <f t="shared" si="377"/>
        <v>1</v>
      </c>
      <c r="AY550" s="15">
        <f t="shared" si="378"/>
        <v>1</v>
      </c>
      <c r="AZ550" s="15">
        <f t="shared" si="379"/>
        <v>1</v>
      </c>
      <c r="BA550" s="15">
        <f t="shared" si="380"/>
        <v>1</v>
      </c>
      <c r="BB550" s="15">
        <f t="shared" si="348"/>
        <v>0</v>
      </c>
      <c r="BC550" s="15" t="str">
        <f t="shared" si="349"/>
        <v/>
      </c>
      <c r="BD550" s="15" t="str">
        <f t="shared" si="350"/>
        <v/>
      </c>
      <c r="BE550" s="11" t="e">
        <f t="shared" si="381"/>
        <v>#VALUE!</v>
      </c>
      <c r="BF550" s="11" t="e">
        <f t="shared" si="382"/>
        <v>#VALUE!</v>
      </c>
      <c r="BG550" s="11" t="e">
        <f t="shared" si="383"/>
        <v>#VALUE!</v>
      </c>
      <c r="BH550" t="str">
        <f t="shared" si="384"/>
        <v/>
      </c>
      <c r="BI550" t="str" cm="1">
        <f t="array" ref="BI550">_xlfn.IFS(
  L550&gt;0,"Critical Fail",
  M550&gt;0,"Important (Coaching)",
  TRUE,"Clean Pass"
)</f>
        <v>Clean Pass</v>
      </c>
      <c r="BJ550" t="str">
        <f t="shared" si="385"/>
        <v>NA</v>
      </c>
    </row>
    <row r="551" spans="1:62" x14ac:dyDescent="0.3">
      <c r="A551">
        <v>663270</v>
      </c>
      <c r="K551" t="str">
        <f t="shared" si="347"/>
        <v>Pass</v>
      </c>
      <c r="L551" s="15">
        <f t="shared" si="351"/>
        <v>0</v>
      </c>
      <c r="M551" s="15">
        <f t="shared" si="352"/>
        <v>0</v>
      </c>
      <c r="Z551" s="15">
        <f t="shared" si="353"/>
        <v>1</v>
      </c>
      <c r="AA551" s="15">
        <f t="shared" si="354"/>
        <v>1</v>
      </c>
      <c r="AB551" s="15">
        <f t="shared" si="355"/>
        <v>1</v>
      </c>
      <c r="AC551" s="15">
        <f t="shared" si="356"/>
        <v>1</v>
      </c>
      <c r="AD551" s="15">
        <f t="shared" si="357"/>
        <v>1</v>
      </c>
      <c r="AE551" s="15">
        <f t="shared" si="358"/>
        <v>1</v>
      </c>
      <c r="AF551" s="15">
        <f t="shared" si="359"/>
        <v>1</v>
      </c>
      <c r="AG551" s="15">
        <f t="shared" si="360"/>
        <v>1</v>
      </c>
      <c r="AH551" s="15">
        <f t="shared" si="361"/>
        <v>1</v>
      </c>
      <c r="AI551" s="15">
        <f t="shared" si="362"/>
        <v>1</v>
      </c>
      <c r="AJ551" s="15">
        <f t="shared" si="363"/>
        <v>1</v>
      </c>
      <c r="AK551" s="15">
        <f t="shared" si="364"/>
        <v>1</v>
      </c>
      <c r="AL551" s="15">
        <f t="shared" si="365"/>
        <v>1</v>
      </c>
      <c r="AM551" s="15">
        <f t="shared" si="366"/>
        <v>1</v>
      </c>
      <c r="AN551" s="15">
        <f t="shared" si="367"/>
        <v>1</v>
      </c>
      <c r="AO551" s="15">
        <f t="shared" si="368"/>
        <v>1</v>
      </c>
      <c r="AP551" s="15">
        <f t="shared" si="369"/>
        <v>1</v>
      </c>
      <c r="AQ551" s="15">
        <f t="shared" si="370"/>
        <v>1</v>
      </c>
      <c r="AR551" s="15">
        <f t="shared" si="371"/>
        <v>1</v>
      </c>
      <c r="AS551" s="15">
        <f t="shared" si="372"/>
        <v>1</v>
      </c>
      <c r="AT551" s="15">
        <f t="shared" si="373"/>
        <v>1</v>
      </c>
      <c r="AU551" s="15">
        <f t="shared" si="374"/>
        <v>1</v>
      </c>
      <c r="AV551" s="15">
        <f t="shared" si="375"/>
        <v>1</v>
      </c>
      <c r="AW551" s="15">
        <f t="shared" si="376"/>
        <v>1</v>
      </c>
      <c r="AX551" s="15">
        <f t="shared" si="377"/>
        <v>1</v>
      </c>
      <c r="AY551" s="15">
        <f t="shared" si="378"/>
        <v>1</v>
      </c>
      <c r="AZ551" s="15">
        <f t="shared" si="379"/>
        <v>1</v>
      </c>
      <c r="BA551" s="15">
        <f t="shared" si="380"/>
        <v>1</v>
      </c>
      <c r="BB551" s="15">
        <f t="shared" si="348"/>
        <v>0</v>
      </c>
      <c r="BC551" s="15" t="str">
        <f t="shared" si="349"/>
        <v/>
      </c>
      <c r="BD551" s="15" t="str">
        <f t="shared" si="350"/>
        <v/>
      </c>
      <c r="BE551" s="11" t="e">
        <f t="shared" si="381"/>
        <v>#VALUE!</v>
      </c>
      <c r="BF551" s="11" t="e">
        <f t="shared" si="382"/>
        <v>#VALUE!</v>
      </c>
      <c r="BG551" s="11" t="e">
        <f t="shared" si="383"/>
        <v>#VALUE!</v>
      </c>
      <c r="BH551" t="str">
        <f t="shared" si="384"/>
        <v/>
      </c>
      <c r="BI551" t="str" cm="1">
        <f t="array" ref="BI551">_xlfn.IFS(
  L551&gt;0,"Critical Fail",
  M551&gt;0,"Important (Coaching)",
  TRUE,"Clean Pass"
)</f>
        <v>Clean Pass</v>
      </c>
      <c r="BJ551" t="str">
        <f t="shared" si="385"/>
        <v>NA</v>
      </c>
    </row>
    <row r="552" spans="1:62" x14ac:dyDescent="0.3">
      <c r="A552">
        <v>679456</v>
      </c>
      <c r="K552" t="str">
        <f t="shared" si="347"/>
        <v>Pass</v>
      </c>
      <c r="L552" s="15">
        <f t="shared" si="351"/>
        <v>0</v>
      </c>
      <c r="M552" s="15">
        <f t="shared" si="352"/>
        <v>0</v>
      </c>
      <c r="Z552" s="15">
        <f t="shared" si="353"/>
        <v>1</v>
      </c>
      <c r="AA552" s="15">
        <f t="shared" si="354"/>
        <v>1</v>
      </c>
      <c r="AB552" s="15">
        <f t="shared" si="355"/>
        <v>1</v>
      </c>
      <c r="AC552" s="15">
        <f t="shared" si="356"/>
        <v>1</v>
      </c>
      <c r="AD552" s="15">
        <f t="shared" si="357"/>
        <v>1</v>
      </c>
      <c r="AE552" s="15">
        <f t="shared" si="358"/>
        <v>1</v>
      </c>
      <c r="AF552" s="15">
        <f t="shared" si="359"/>
        <v>1</v>
      </c>
      <c r="AG552" s="15">
        <f t="shared" si="360"/>
        <v>1</v>
      </c>
      <c r="AH552" s="15">
        <f t="shared" si="361"/>
        <v>1</v>
      </c>
      <c r="AI552" s="15">
        <f t="shared" si="362"/>
        <v>1</v>
      </c>
      <c r="AJ552" s="15">
        <f t="shared" si="363"/>
        <v>1</v>
      </c>
      <c r="AK552" s="15">
        <f t="shared" si="364"/>
        <v>1</v>
      </c>
      <c r="AL552" s="15">
        <f t="shared" si="365"/>
        <v>1</v>
      </c>
      <c r="AM552" s="15">
        <f t="shared" si="366"/>
        <v>1</v>
      </c>
      <c r="AN552" s="15">
        <f t="shared" si="367"/>
        <v>1</v>
      </c>
      <c r="AO552" s="15">
        <f t="shared" si="368"/>
        <v>1</v>
      </c>
      <c r="AP552" s="15">
        <f t="shared" si="369"/>
        <v>1</v>
      </c>
      <c r="AQ552" s="15">
        <f t="shared" si="370"/>
        <v>1</v>
      </c>
      <c r="AR552" s="15">
        <f t="shared" si="371"/>
        <v>1</v>
      </c>
      <c r="AS552" s="15">
        <f t="shared" si="372"/>
        <v>1</v>
      </c>
      <c r="AT552" s="15">
        <f t="shared" si="373"/>
        <v>1</v>
      </c>
      <c r="AU552" s="15">
        <f t="shared" si="374"/>
        <v>1</v>
      </c>
      <c r="AV552" s="15">
        <f t="shared" si="375"/>
        <v>1</v>
      </c>
      <c r="AW552" s="15">
        <f t="shared" si="376"/>
        <v>1</v>
      </c>
      <c r="AX552" s="15">
        <f t="shared" si="377"/>
        <v>1</v>
      </c>
      <c r="AY552" s="15">
        <f t="shared" si="378"/>
        <v>1</v>
      </c>
      <c r="AZ552" s="15">
        <f t="shared" si="379"/>
        <v>1</v>
      </c>
      <c r="BA552" s="15">
        <f t="shared" si="380"/>
        <v>1</v>
      </c>
      <c r="BB552" s="15">
        <f t="shared" si="348"/>
        <v>0</v>
      </c>
      <c r="BC552" s="15" t="str">
        <f t="shared" si="349"/>
        <v/>
      </c>
      <c r="BD552" s="15" t="str">
        <f t="shared" si="350"/>
        <v/>
      </c>
      <c r="BE552" s="11" t="e">
        <f t="shared" si="381"/>
        <v>#VALUE!</v>
      </c>
      <c r="BF552" s="11" t="e">
        <f t="shared" si="382"/>
        <v>#VALUE!</v>
      </c>
      <c r="BG552" s="11" t="e">
        <f t="shared" si="383"/>
        <v>#VALUE!</v>
      </c>
      <c r="BH552" t="str">
        <f t="shared" si="384"/>
        <v/>
      </c>
      <c r="BI552" t="str" cm="1">
        <f t="array" ref="BI552">_xlfn.IFS(
  L552&gt;0,"Critical Fail",
  M552&gt;0,"Important (Coaching)",
  TRUE,"Clean Pass"
)</f>
        <v>Clean Pass</v>
      </c>
      <c r="BJ552" t="str">
        <f t="shared" si="385"/>
        <v>NA</v>
      </c>
    </row>
    <row r="553" spans="1:62" x14ac:dyDescent="0.3">
      <c r="A553">
        <v>903439</v>
      </c>
      <c r="K553" t="str">
        <f t="shared" si="347"/>
        <v>Pass</v>
      </c>
      <c r="L553" s="15">
        <f t="shared" si="351"/>
        <v>0</v>
      </c>
      <c r="M553" s="15">
        <f t="shared" si="352"/>
        <v>0</v>
      </c>
      <c r="Z553" s="15">
        <f t="shared" si="353"/>
        <v>1</v>
      </c>
      <c r="AA553" s="15">
        <f t="shared" si="354"/>
        <v>1</v>
      </c>
      <c r="AB553" s="15">
        <f t="shared" si="355"/>
        <v>1</v>
      </c>
      <c r="AC553" s="15">
        <f t="shared" si="356"/>
        <v>1</v>
      </c>
      <c r="AD553" s="15">
        <f t="shared" si="357"/>
        <v>1</v>
      </c>
      <c r="AE553" s="15">
        <f t="shared" si="358"/>
        <v>1</v>
      </c>
      <c r="AF553" s="15">
        <f t="shared" si="359"/>
        <v>1</v>
      </c>
      <c r="AG553" s="15">
        <f t="shared" si="360"/>
        <v>1</v>
      </c>
      <c r="AH553" s="15">
        <f t="shared" si="361"/>
        <v>1</v>
      </c>
      <c r="AI553" s="15">
        <f t="shared" si="362"/>
        <v>1</v>
      </c>
      <c r="AJ553" s="15">
        <f t="shared" si="363"/>
        <v>1</v>
      </c>
      <c r="AK553" s="15">
        <f t="shared" si="364"/>
        <v>1</v>
      </c>
      <c r="AL553" s="15">
        <f t="shared" si="365"/>
        <v>1</v>
      </c>
      <c r="AM553" s="15">
        <f t="shared" si="366"/>
        <v>1</v>
      </c>
      <c r="AN553" s="15">
        <f t="shared" si="367"/>
        <v>1</v>
      </c>
      <c r="AO553" s="15">
        <f t="shared" si="368"/>
        <v>1</v>
      </c>
      <c r="AP553" s="15">
        <f t="shared" si="369"/>
        <v>1</v>
      </c>
      <c r="AQ553" s="15">
        <f t="shared" si="370"/>
        <v>1</v>
      </c>
      <c r="AR553" s="15">
        <f t="shared" si="371"/>
        <v>1</v>
      </c>
      <c r="AS553" s="15">
        <f t="shared" si="372"/>
        <v>1</v>
      </c>
      <c r="AT553" s="15">
        <f t="shared" si="373"/>
        <v>1</v>
      </c>
      <c r="AU553" s="15">
        <f t="shared" si="374"/>
        <v>1</v>
      </c>
      <c r="AV553" s="15">
        <f t="shared" si="375"/>
        <v>1</v>
      </c>
      <c r="AW553" s="15">
        <f t="shared" si="376"/>
        <v>1</v>
      </c>
      <c r="AX553" s="15">
        <f t="shared" si="377"/>
        <v>1</v>
      </c>
      <c r="AY553" s="15">
        <f t="shared" si="378"/>
        <v>1</v>
      </c>
      <c r="AZ553" s="15">
        <f t="shared" si="379"/>
        <v>1</v>
      </c>
      <c r="BA553" s="15">
        <f t="shared" si="380"/>
        <v>1</v>
      </c>
      <c r="BB553" s="15">
        <f t="shared" si="348"/>
        <v>0</v>
      </c>
      <c r="BC553" s="15" t="str">
        <f t="shared" si="349"/>
        <v/>
      </c>
      <c r="BD553" s="15" t="str">
        <f t="shared" si="350"/>
        <v/>
      </c>
      <c r="BE553" s="11" t="e">
        <f t="shared" si="381"/>
        <v>#VALUE!</v>
      </c>
      <c r="BF553" s="11" t="e">
        <f t="shared" si="382"/>
        <v>#VALUE!</v>
      </c>
      <c r="BG553" s="11" t="e">
        <f t="shared" si="383"/>
        <v>#VALUE!</v>
      </c>
      <c r="BH553" t="str">
        <f t="shared" si="384"/>
        <v/>
      </c>
      <c r="BI553" t="str" cm="1">
        <f t="array" ref="BI553">_xlfn.IFS(
  L553&gt;0,"Critical Fail",
  M553&gt;0,"Important (Coaching)",
  TRUE,"Clean Pass"
)</f>
        <v>Clean Pass</v>
      </c>
      <c r="BJ553" t="str">
        <f t="shared" si="385"/>
        <v>NA</v>
      </c>
    </row>
    <row r="554" spans="1:62" x14ac:dyDescent="0.3">
      <c r="A554">
        <v>652237</v>
      </c>
      <c r="K554" t="str">
        <f t="shared" si="347"/>
        <v>Pass</v>
      </c>
      <c r="L554" s="15">
        <f t="shared" si="351"/>
        <v>0</v>
      </c>
      <c r="M554" s="15">
        <f t="shared" si="352"/>
        <v>0</v>
      </c>
      <c r="Z554" s="15">
        <f t="shared" si="353"/>
        <v>1</v>
      </c>
      <c r="AA554" s="15">
        <f t="shared" si="354"/>
        <v>1</v>
      </c>
      <c r="AB554" s="15">
        <f t="shared" si="355"/>
        <v>1</v>
      </c>
      <c r="AC554" s="15">
        <f t="shared" si="356"/>
        <v>1</v>
      </c>
      <c r="AD554" s="15">
        <f t="shared" si="357"/>
        <v>1</v>
      </c>
      <c r="AE554" s="15">
        <f t="shared" si="358"/>
        <v>1</v>
      </c>
      <c r="AF554" s="15">
        <f t="shared" si="359"/>
        <v>1</v>
      </c>
      <c r="AG554" s="15">
        <f t="shared" si="360"/>
        <v>1</v>
      </c>
      <c r="AH554" s="15">
        <f t="shared" si="361"/>
        <v>1</v>
      </c>
      <c r="AI554" s="15">
        <f t="shared" si="362"/>
        <v>1</v>
      </c>
      <c r="AJ554" s="15">
        <f t="shared" si="363"/>
        <v>1</v>
      </c>
      <c r="AK554" s="15">
        <f t="shared" si="364"/>
        <v>1</v>
      </c>
      <c r="AL554" s="15">
        <f t="shared" si="365"/>
        <v>1</v>
      </c>
      <c r="AM554" s="15">
        <f t="shared" si="366"/>
        <v>1</v>
      </c>
      <c r="AN554" s="15">
        <f t="shared" si="367"/>
        <v>1</v>
      </c>
      <c r="AO554" s="15">
        <f t="shared" si="368"/>
        <v>1</v>
      </c>
      <c r="AP554" s="15">
        <f t="shared" si="369"/>
        <v>1</v>
      </c>
      <c r="AQ554" s="15">
        <f t="shared" si="370"/>
        <v>1</v>
      </c>
      <c r="AR554" s="15">
        <f t="shared" si="371"/>
        <v>1</v>
      </c>
      <c r="AS554" s="15">
        <f t="shared" si="372"/>
        <v>1</v>
      </c>
      <c r="AT554" s="15">
        <f t="shared" si="373"/>
        <v>1</v>
      </c>
      <c r="AU554" s="15">
        <f t="shared" si="374"/>
        <v>1</v>
      </c>
      <c r="AV554" s="15">
        <f t="shared" si="375"/>
        <v>1</v>
      </c>
      <c r="AW554" s="15">
        <f t="shared" si="376"/>
        <v>1</v>
      </c>
      <c r="AX554" s="15">
        <f t="shared" si="377"/>
        <v>1</v>
      </c>
      <c r="AY554" s="15">
        <f t="shared" si="378"/>
        <v>1</v>
      </c>
      <c r="AZ554" s="15">
        <f t="shared" si="379"/>
        <v>1</v>
      </c>
      <c r="BA554" s="15">
        <f t="shared" si="380"/>
        <v>1</v>
      </c>
      <c r="BB554" s="15">
        <f t="shared" si="348"/>
        <v>0</v>
      </c>
      <c r="BC554" s="15" t="str">
        <f t="shared" si="349"/>
        <v/>
      </c>
      <c r="BD554" s="15" t="str">
        <f t="shared" si="350"/>
        <v/>
      </c>
      <c r="BE554" s="11" t="e">
        <f t="shared" si="381"/>
        <v>#VALUE!</v>
      </c>
      <c r="BF554" s="11" t="e">
        <f t="shared" si="382"/>
        <v>#VALUE!</v>
      </c>
      <c r="BG554" s="11" t="e">
        <f t="shared" si="383"/>
        <v>#VALUE!</v>
      </c>
      <c r="BH554" t="str">
        <f t="shared" si="384"/>
        <v/>
      </c>
      <c r="BI554" t="str" cm="1">
        <f t="array" ref="BI554">_xlfn.IFS(
  L554&gt;0,"Critical Fail",
  M554&gt;0,"Important (Coaching)",
  TRUE,"Clean Pass"
)</f>
        <v>Clean Pass</v>
      </c>
      <c r="BJ554" t="str">
        <f t="shared" si="385"/>
        <v>NA</v>
      </c>
    </row>
    <row r="555" spans="1:62" x14ac:dyDescent="0.3">
      <c r="A555">
        <v>600467</v>
      </c>
      <c r="K555" t="str">
        <f t="shared" si="347"/>
        <v>Pass</v>
      </c>
      <c r="L555" s="15">
        <f t="shared" si="351"/>
        <v>0</v>
      </c>
      <c r="M555" s="15">
        <f t="shared" si="352"/>
        <v>0</v>
      </c>
      <c r="Z555" s="15">
        <f t="shared" si="353"/>
        <v>1</v>
      </c>
      <c r="AA555" s="15">
        <f t="shared" si="354"/>
        <v>1</v>
      </c>
      <c r="AB555" s="15">
        <f t="shared" si="355"/>
        <v>1</v>
      </c>
      <c r="AC555" s="15">
        <f t="shared" si="356"/>
        <v>1</v>
      </c>
      <c r="AD555" s="15">
        <f t="shared" si="357"/>
        <v>1</v>
      </c>
      <c r="AE555" s="15">
        <f t="shared" si="358"/>
        <v>1</v>
      </c>
      <c r="AF555" s="15">
        <f t="shared" si="359"/>
        <v>1</v>
      </c>
      <c r="AG555" s="15">
        <f t="shared" si="360"/>
        <v>1</v>
      </c>
      <c r="AH555" s="15">
        <f t="shared" si="361"/>
        <v>1</v>
      </c>
      <c r="AI555" s="15">
        <f t="shared" si="362"/>
        <v>1</v>
      </c>
      <c r="AJ555" s="15">
        <f t="shared" si="363"/>
        <v>1</v>
      </c>
      <c r="AK555" s="15">
        <f t="shared" si="364"/>
        <v>1</v>
      </c>
      <c r="AL555" s="15">
        <f t="shared" si="365"/>
        <v>1</v>
      </c>
      <c r="AM555" s="15">
        <f t="shared" si="366"/>
        <v>1</v>
      </c>
      <c r="AN555" s="15">
        <f t="shared" si="367"/>
        <v>1</v>
      </c>
      <c r="AO555" s="15">
        <f t="shared" si="368"/>
        <v>1</v>
      </c>
      <c r="AP555" s="15">
        <f t="shared" si="369"/>
        <v>1</v>
      </c>
      <c r="AQ555" s="15">
        <f t="shared" si="370"/>
        <v>1</v>
      </c>
      <c r="AR555" s="15">
        <f t="shared" si="371"/>
        <v>1</v>
      </c>
      <c r="AS555" s="15">
        <f t="shared" si="372"/>
        <v>1</v>
      </c>
      <c r="AT555" s="15">
        <f t="shared" si="373"/>
        <v>1</v>
      </c>
      <c r="AU555" s="15">
        <f t="shared" si="374"/>
        <v>1</v>
      </c>
      <c r="AV555" s="15">
        <f t="shared" si="375"/>
        <v>1</v>
      </c>
      <c r="AW555" s="15">
        <f t="shared" si="376"/>
        <v>1</v>
      </c>
      <c r="AX555" s="15">
        <f t="shared" si="377"/>
        <v>1</v>
      </c>
      <c r="AY555" s="15">
        <f t="shared" si="378"/>
        <v>1</v>
      </c>
      <c r="AZ555" s="15">
        <f t="shared" si="379"/>
        <v>1</v>
      </c>
      <c r="BA555" s="15">
        <f t="shared" si="380"/>
        <v>1</v>
      </c>
      <c r="BB555" s="15">
        <f t="shared" si="348"/>
        <v>0</v>
      </c>
      <c r="BC555" s="15" t="str">
        <f t="shared" si="349"/>
        <v/>
      </c>
      <c r="BD555" s="15" t="str">
        <f t="shared" si="350"/>
        <v/>
      </c>
      <c r="BE555" s="11" t="e">
        <f t="shared" si="381"/>
        <v>#VALUE!</v>
      </c>
      <c r="BF555" s="11" t="e">
        <f t="shared" si="382"/>
        <v>#VALUE!</v>
      </c>
      <c r="BG555" s="11" t="e">
        <f t="shared" si="383"/>
        <v>#VALUE!</v>
      </c>
      <c r="BH555" t="str">
        <f t="shared" si="384"/>
        <v/>
      </c>
      <c r="BI555" t="str" cm="1">
        <f t="array" ref="BI555">_xlfn.IFS(
  L555&gt;0,"Critical Fail",
  M555&gt;0,"Important (Coaching)",
  TRUE,"Clean Pass"
)</f>
        <v>Clean Pass</v>
      </c>
      <c r="BJ555" t="str">
        <f t="shared" si="385"/>
        <v>NA</v>
      </c>
    </row>
    <row r="556" spans="1:62" x14ac:dyDescent="0.3">
      <c r="A556">
        <v>507521</v>
      </c>
      <c r="K556" t="str">
        <f t="shared" si="347"/>
        <v>Pass</v>
      </c>
      <c r="L556" s="15">
        <f t="shared" si="351"/>
        <v>0</v>
      </c>
      <c r="M556" s="15">
        <f t="shared" si="352"/>
        <v>0</v>
      </c>
      <c r="Z556" s="15">
        <f t="shared" si="353"/>
        <v>1</v>
      </c>
      <c r="AA556" s="15">
        <f t="shared" si="354"/>
        <v>1</v>
      </c>
      <c r="AB556" s="15">
        <f t="shared" si="355"/>
        <v>1</v>
      </c>
      <c r="AC556" s="15">
        <f t="shared" si="356"/>
        <v>1</v>
      </c>
      <c r="AD556" s="15">
        <f t="shared" si="357"/>
        <v>1</v>
      </c>
      <c r="AE556" s="15">
        <f t="shared" si="358"/>
        <v>1</v>
      </c>
      <c r="AF556" s="15">
        <f t="shared" si="359"/>
        <v>1</v>
      </c>
      <c r="AG556" s="15">
        <f t="shared" si="360"/>
        <v>1</v>
      </c>
      <c r="AH556" s="15">
        <f t="shared" si="361"/>
        <v>1</v>
      </c>
      <c r="AI556" s="15">
        <f t="shared" si="362"/>
        <v>1</v>
      </c>
      <c r="AJ556" s="15">
        <f t="shared" si="363"/>
        <v>1</v>
      </c>
      <c r="AK556" s="15">
        <f t="shared" si="364"/>
        <v>1</v>
      </c>
      <c r="AL556" s="15">
        <f t="shared" si="365"/>
        <v>1</v>
      </c>
      <c r="AM556" s="15">
        <f t="shared" si="366"/>
        <v>1</v>
      </c>
      <c r="AN556" s="15">
        <f t="shared" si="367"/>
        <v>1</v>
      </c>
      <c r="AO556" s="15">
        <f t="shared" si="368"/>
        <v>1</v>
      </c>
      <c r="AP556" s="15">
        <f t="shared" si="369"/>
        <v>1</v>
      </c>
      <c r="AQ556" s="15">
        <f t="shared" si="370"/>
        <v>1</v>
      </c>
      <c r="AR556" s="15">
        <f t="shared" si="371"/>
        <v>1</v>
      </c>
      <c r="AS556" s="15">
        <f t="shared" si="372"/>
        <v>1</v>
      </c>
      <c r="AT556" s="15">
        <f t="shared" si="373"/>
        <v>1</v>
      </c>
      <c r="AU556" s="15">
        <f t="shared" si="374"/>
        <v>1</v>
      </c>
      <c r="AV556" s="15">
        <f t="shared" si="375"/>
        <v>1</v>
      </c>
      <c r="AW556" s="15">
        <f t="shared" si="376"/>
        <v>1</v>
      </c>
      <c r="AX556" s="15">
        <f t="shared" si="377"/>
        <v>1</v>
      </c>
      <c r="AY556" s="15">
        <f t="shared" si="378"/>
        <v>1</v>
      </c>
      <c r="AZ556" s="15">
        <f t="shared" si="379"/>
        <v>1</v>
      </c>
      <c r="BA556" s="15">
        <f t="shared" si="380"/>
        <v>1</v>
      </c>
      <c r="BB556" s="15">
        <f t="shared" si="348"/>
        <v>0</v>
      </c>
      <c r="BC556" s="15" t="str">
        <f t="shared" si="349"/>
        <v/>
      </c>
      <c r="BD556" s="15" t="str">
        <f t="shared" si="350"/>
        <v/>
      </c>
      <c r="BE556" s="11" t="e">
        <f t="shared" si="381"/>
        <v>#VALUE!</v>
      </c>
      <c r="BF556" s="11" t="e">
        <f t="shared" si="382"/>
        <v>#VALUE!</v>
      </c>
      <c r="BG556" s="11" t="e">
        <f t="shared" si="383"/>
        <v>#VALUE!</v>
      </c>
      <c r="BH556" t="str">
        <f t="shared" si="384"/>
        <v/>
      </c>
      <c r="BI556" t="str" cm="1">
        <f t="array" ref="BI556">_xlfn.IFS(
  L556&gt;0,"Critical Fail",
  M556&gt;0,"Important (Coaching)",
  TRUE,"Clean Pass"
)</f>
        <v>Clean Pass</v>
      </c>
      <c r="BJ556" t="str">
        <f t="shared" si="385"/>
        <v>NA</v>
      </c>
    </row>
    <row r="557" spans="1:62" x14ac:dyDescent="0.3">
      <c r="A557">
        <v>404310</v>
      </c>
      <c r="K557" t="str">
        <f t="shared" si="347"/>
        <v>Pass</v>
      </c>
      <c r="L557" s="15">
        <f t="shared" si="351"/>
        <v>0</v>
      </c>
      <c r="M557" s="15">
        <f t="shared" si="352"/>
        <v>0</v>
      </c>
      <c r="Z557" s="15">
        <f t="shared" si="353"/>
        <v>1</v>
      </c>
      <c r="AA557" s="15">
        <f t="shared" si="354"/>
        <v>1</v>
      </c>
      <c r="AB557" s="15">
        <f t="shared" si="355"/>
        <v>1</v>
      </c>
      <c r="AC557" s="15">
        <f t="shared" si="356"/>
        <v>1</v>
      </c>
      <c r="AD557" s="15">
        <f t="shared" si="357"/>
        <v>1</v>
      </c>
      <c r="AE557" s="15">
        <f t="shared" si="358"/>
        <v>1</v>
      </c>
      <c r="AF557" s="15">
        <f t="shared" si="359"/>
        <v>1</v>
      </c>
      <c r="AG557" s="15">
        <f t="shared" si="360"/>
        <v>1</v>
      </c>
      <c r="AH557" s="15">
        <f t="shared" si="361"/>
        <v>1</v>
      </c>
      <c r="AI557" s="15">
        <f t="shared" si="362"/>
        <v>1</v>
      </c>
      <c r="AJ557" s="15">
        <f t="shared" si="363"/>
        <v>1</v>
      </c>
      <c r="AK557" s="15">
        <f t="shared" si="364"/>
        <v>1</v>
      </c>
      <c r="AL557" s="15">
        <f t="shared" si="365"/>
        <v>1</v>
      </c>
      <c r="AM557" s="15">
        <f t="shared" si="366"/>
        <v>1</v>
      </c>
      <c r="AN557" s="15">
        <f t="shared" si="367"/>
        <v>1</v>
      </c>
      <c r="AO557" s="15">
        <f t="shared" si="368"/>
        <v>1</v>
      </c>
      <c r="AP557" s="15">
        <f t="shared" si="369"/>
        <v>1</v>
      </c>
      <c r="AQ557" s="15">
        <f t="shared" si="370"/>
        <v>1</v>
      </c>
      <c r="AR557" s="15">
        <f t="shared" si="371"/>
        <v>1</v>
      </c>
      <c r="AS557" s="15">
        <f t="shared" si="372"/>
        <v>1</v>
      </c>
      <c r="AT557" s="15">
        <f t="shared" si="373"/>
        <v>1</v>
      </c>
      <c r="AU557" s="15">
        <f t="shared" si="374"/>
        <v>1</v>
      </c>
      <c r="AV557" s="15">
        <f t="shared" si="375"/>
        <v>1</v>
      </c>
      <c r="AW557" s="15">
        <f t="shared" si="376"/>
        <v>1</v>
      </c>
      <c r="AX557" s="15">
        <f t="shared" si="377"/>
        <v>1</v>
      </c>
      <c r="AY557" s="15">
        <f t="shared" si="378"/>
        <v>1</v>
      </c>
      <c r="AZ557" s="15">
        <f t="shared" si="379"/>
        <v>1</v>
      </c>
      <c r="BA557" s="15">
        <f t="shared" si="380"/>
        <v>1</v>
      </c>
      <c r="BB557" s="15">
        <f t="shared" si="348"/>
        <v>0</v>
      </c>
      <c r="BC557" s="15" t="str">
        <f t="shared" si="349"/>
        <v/>
      </c>
      <c r="BD557" s="15" t="str">
        <f t="shared" si="350"/>
        <v/>
      </c>
      <c r="BE557" s="11" t="e">
        <f t="shared" si="381"/>
        <v>#VALUE!</v>
      </c>
      <c r="BF557" s="11" t="e">
        <f t="shared" si="382"/>
        <v>#VALUE!</v>
      </c>
      <c r="BG557" s="11" t="e">
        <f t="shared" si="383"/>
        <v>#VALUE!</v>
      </c>
      <c r="BH557" t="str">
        <f t="shared" si="384"/>
        <v/>
      </c>
      <c r="BI557" t="str" cm="1">
        <f t="array" ref="BI557">_xlfn.IFS(
  L557&gt;0,"Critical Fail",
  M557&gt;0,"Important (Coaching)",
  TRUE,"Clean Pass"
)</f>
        <v>Clean Pass</v>
      </c>
      <c r="BJ557" t="str">
        <f t="shared" si="385"/>
        <v>NA</v>
      </c>
    </row>
    <row r="558" spans="1:62" x14ac:dyDescent="0.3">
      <c r="A558">
        <v>375636</v>
      </c>
      <c r="K558" t="str">
        <f t="shared" si="347"/>
        <v>Pass</v>
      </c>
      <c r="L558" s="15">
        <f t="shared" si="351"/>
        <v>0</v>
      </c>
      <c r="M558" s="15">
        <f t="shared" si="352"/>
        <v>0</v>
      </c>
      <c r="Z558" s="15">
        <f t="shared" si="353"/>
        <v>1</v>
      </c>
      <c r="AA558" s="15">
        <f t="shared" si="354"/>
        <v>1</v>
      </c>
      <c r="AB558" s="15">
        <f t="shared" si="355"/>
        <v>1</v>
      </c>
      <c r="AC558" s="15">
        <f t="shared" si="356"/>
        <v>1</v>
      </c>
      <c r="AD558" s="15">
        <f t="shared" si="357"/>
        <v>1</v>
      </c>
      <c r="AE558" s="15">
        <f t="shared" si="358"/>
        <v>1</v>
      </c>
      <c r="AF558" s="15">
        <f t="shared" si="359"/>
        <v>1</v>
      </c>
      <c r="AG558" s="15">
        <f t="shared" si="360"/>
        <v>1</v>
      </c>
      <c r="AH558" s="15">
        <f t="shared" si="361"/>
        <v>1</v>
      </c>
      <c r="AI558" s="15">
        <f t="shared" si="362"/>
        <v>1</v>
      </c>
      <c r="AJ558" s="15">
        <f t="shared" si="363"/>
        <v>1</v>
      </c>
      <c r="AK558" s="15">
        <f t="shared" si="364"/>
        <v>1</v>
      </c>
      <c r="AL558" s="15">
        <f t="shared" si="365"/>
        <v>1</v>
      </c>
      <c r="AM558" s="15">
        <f t="shared" si="366"/>
        <v>1</v>
      </c>
      <c r="AN558" s="15">
        <f t="shared" si="367"/>
        <v>1</v>
      </c>
      <c r="AO558" s="15">
        <f t="shared" si="368"/>
        <v>1</v>
      </c>
      <c r="AP558" s="15">
        <f t="shared" si="369"/>
        <v>1</v>
      </c>
      <c r="AQ558" s="15">
        <f t="shared" si="370"/>
        <v>1</v>
      </c>
      <c r="AR558" s="15">
        <f t="shared" si="371"/>
        <v>1</v>
      </c>
      <c r="AS558" s="15">
        <f t="shared" si="372"/>
        <v>1</v>
      </c>
      <c r="AT558" s="15">
        <f t="shared" si="373"/>
        <v>1</v>
      </c>
      <c r="AU558" s="15">
        <f t="shared" si="374"/>
        <v>1</v>
      </c>
      <c r="AV558" s="15">
        <f t="shared" si="375"/>
        <v>1</v>
      </c>
      <c r="AW558" s="15">
        <f t="shared" si="376"/>
        <v>1</v>
      </c>
      <c r="AX558" s="15">
        <f t="shared" si="377"/>
        <v>1</v>
      </c>
      <c r="AY558" s="15">
        <f t="shared" si="378"/>
        <v>1</v>
      </c>
      <c r="AZ558" s="15">
        <f t="shared" si="379"/>
        <v>1</v>
      </c>
      <c r="BA558" s="15">
        <f t="shared" si="380"/>
        <v>1</v>
      </c>
      <c r="BB558" s="15">
        <f t="shared" si="348"/>
        <v>0</v>
      </c>
      <c r="BC558" s="15" t="str">
        <f t="shared" si="349"/>
        <v/>
      </c>
      <c r="BD558" s="15" t="str">
        <f t="shared" si="350"/>
        <v/>
      </c>
      <c r="BE558" s="11" t="e">
        <f t="shared" si="381"/>
        <v>#VALUE!</v>
      </c>
      <c r="BF558" s="11" t="e">
        <f t="shared" si="382"/>
        <v>#VALUE!</v>
      </c>
      <c r="BG558" s="11" t="e">
        <f t="shared" si="383"/>
        <v>#VALUE!</v>
      </c>
      <c r="BH558" t="str">
        <f t="shared" si="384"/>
        <v/>
      </c>
      <c r="BI558" t="str" cm="1">
        <f t="array" ref="BI558">_xlfn.IFS(
  L558&gt;0,"Critical Fail",
  M558&gt;0,"Important (Coaching)",
  TRUE,"Clean Pass"
)</f>
        <v>Clean Pass</v>
      </c>
      <c r="BJ558" t="str">
        <f t="shared" si="385"/>
        <v>NA</v>
      </c>
    </row>
    <row r="559" spans="1:62" x14ac:dyDescent="0.3">
      <c r="A559">
        <v>126852</v>
      </c>
      <c r="K559" t="str">
        <f t="shared" si="347"/>
        <v>Pass</v>
      </c>
      <c r="L559" s="15">
        <f t="shared" si="351"/>
        <v>0</v>
      </c>
      <c r="M559" s="15">
        <f t="shared" si="352"/>
        <v>0</v>
      </c>
      <c r="Z559" s="15">
        <f t="shared" si="353"/>
        <v>1</v>
      </c>
      <c r="AA559" s="15">
        <f t="shared" si="354"/>
        <v>1</v>
      </c>
      <c r="AB559" s="15">
        <f t="shared" si="355"/>
        <v>1</v>
      </c>
      <c r="AC559" s="15">
        <f t="shared" si="356"/>
        <v>1</v>
      </c>
      <c r="AD559" s="15">
        <f t="shared" si="357"/>
        <v>1</v>
      </c>
      <c r="AE559" s="15">
        <f t="shared" si="358"/>
        <v>1</v>
      </c>
      <c r="AF559" s="15">
        <f t="shared" si="359"/>
        <v>1</v>
      </c>
      <c r="AG559" s="15">
        <f t="shared" si="360"/>
        <v>1</v>
      </c>
      <c r="AH559" s="15">
        <f t="shared" si="361"/>
        <v>1</v>
      </c>
      <c r="AI559" s="15">
        <f t="shared" si="362"/>
        <v>1</v>
      </c>
      <c r="AJ559" s="15">
        <f t="shared" si="363"/>
        <v>1</v>
      </c>
      <c r="AK559" s="15">
        <f t="shared" si="364"/>
        <v>1</v>
      </c>
      <c r="AL559" s="15">
        <f t="shared" si="365"/>
        <v>1</v>
      </c>
      <c r="AM559" s="15">
        <f t="shared" si="366"/>
        <v>1</v>
      </c>
      <c r="AN559" s="15">
        <f t="shared" si="367"/>
        <v>1</v>
      </c>
      <c r="AO559" s="15">
        <f t="shared" si="368"/>
        <v>1</v>
      </c>
      <c r="AP559" s="15">
        <f t="shared" si="369"/>
        <v>1</v>
      </c>
      <c r="AQ559" s="15">
        <f t="shared" si="370"/>
        <v>1</v>
      </c>
      <c r="AR559" s="15">
        <f t="shared" si="371"/>
        <v>1</v>
      </c>
      <c r="AS559" s="15">
        <f t="shared" si="372"/>
        <v>1</v>
      </c>
      <c r="AT559" s="15">
        <f t="shared" si="373"/>
        <v>1</v>
      </c>
      <c r="AU559" s="15">
        <f t="shared" si="374"/>
        <v>1</v>
      </c>
      <c r="AV559" s="15">
        <f t="shared" si="375"/>
        <v>1</v>
      </c>
      <c r="AW559" s="15">
        <f t="shared" si="376"/>
        <v>1</v>
      </c>
      <c r="AX559" s="15">
        <f t="shared" si="377"/>
        <v>1</v>
      </c>
      <c r="AY559" s="15">
        <f t="shared" si="378"/>
        <v>1</v>
      </c>
      <c r="AZ559" s="15">
        <f t="shared" si="379"/>
        <v>1</v>
      </c>
      <c r="BA559" s="15">
        <f t="shared" si="380"/>
        <v>1</v>
      </c>
      <c r="BB559" s="15">
        <f t="shared" si="348"/>
        <v>0</v>
      </c>
      <c r="BC559" s="15" t="str">
        <f t="shared" si="349"/>
        <v/>
      </c>
      <c r="BD559" s="15" t="str">
        <f t="shared" si="350"/>
        <v/>
      </c>
      <c r="BE559" s="11" t="e">
        <f t="shared" si="381"/>
        <v>#VALUE!</v>
      </c>
      <c r="BF559" s="11" t="e">
        <f t="shared" si="382"/>
        <v>#VALUE!</v>
      </c>
      <c r="BG559" s="11" t="e">
        <f t="shared" si="383"/>
        <v>#VALUE!</v>
      </c>
      <c r="BH559" t="str">
        <f t="shared" si="384"/>
        <v/>
      </c>
      <c r="BI559" t="str" cm="1">
        <f t="array" ref="BI559">_xlfn.IFS(
  L559&gt;0,"Critical Fail",
  M559&gt;0,"Important (Coaching)",
  TRUE,"Clean Pass"
)</f>
        <v>Clean Pass</v>
      </c>
      <c r="BJ559" t="str">
        <f t="shared" si="385"/>
        <v>NA</v>
      </c>
    </row>
    <row r="560" spans="1:62" x14ac:dyDescent="0.3">
      <c r="A560">
        <v>198127</v>
      </c>
      <c r="K560" t="str">
        <f t="shared" si="347"/>
        <v>Pass</v>
      </c>
      <c r="L560" s="15">
        <f t="shared" si="351"/>
        <v>0</v>
      </c>
      <c r="M560" s="15">
        <f t="shared" si="352"/>
        <v>0</v>
      </c>
      <c r="Z560" s="15">
        <f t="shared" si="353"/>
        <v>1</v>
      </c>
      <c r="AA560" s="15">
        <f t="shared" si="354"/>
        <v>1</v>
      </c>
      <c r="AB560" s="15">
        <f t="shared" si="355"/>
        <v>1</v>
      </c>
      <c r="AC560" s="15">
        <f t="shared" si="356"/>
        <v>1</v>
      </c>
      <c r="AD560" s="15">
        <f t="shared" si="357"/>
        <v>1</v>
      </c>
      <c r="AE560" s="15">
        <f t="shared" si="358"/>
        <v>1</v>
      </c>
      <c r="AF560" s="15">
        <f t="shared" si="359"/>
        <v>1</v>
      </c>
      <c r="AG560" s="15">
        <f t="shared" si="360"/>
        <v>1</v>
      </c>
      <c r="AH560" s="15">
        <f t="shared" si="361"/>
        <v>1</v>
      </c>
      <c r="AI560" s="15">
        <f t="shared" si="362"/>
        <v>1</v>
      </c>
      <c r="AJ560" s="15">
        <f t="shared" si="363"/>
        <v>1</v>
      </c>
      <c r="AK560" s="15">
        <f t="shared" si="364"/>
        <v>1</v>
      </c>
      <c r="AL560" s="15">
        <f t="shared" si="365"/>
        <v>1</v>
      </c>
      <c r="AM560" s="15">
        <f t="shared" si="366"/>
        <v>1</v>
      </c>
      <c r="AN560" s="15">
        <f t="shared" si="367"/>
        <v>1</v>
      </c>
      <c r="AO560" s="15">
        <f t="shared" si="368"/>
        <v>1</v>
      </c>
      <c r="AP560" s="15">
        <f t="shared" si="369"/>
        <v>1</v>
      </c>
      <c r="AQ560" s="15">
        <f t="shared" si="370"/>
        <v>1</v>
      </c>
      <c r="AR560" s="15">
        <f t="shared" si="371"/>
        <v>1</v>
      </c>
      <c r="AS560" s="15">
        <f t="shared" si="372"/>
        <v>1</v>
      </c>
      <c r="AT560" s="15">
        <f t="shared" si="373"/>
        <v>1</v>
      </c>
      <c r="AU560" s="15">
        <f t="shared" si="374"/>
        <v>1</v>
      </c>
      <c r="AV560" s="15">
        <f t="shared" si="375"/>
        <v>1</v>
      </c>
      <c r="AW560" s="15">
        <f t="shared" si="376"/>
        <v>1</v>
      </c>
      <c r="AX560" s="15">
        <f t="shared" si="377"/>
        <v>1</v>
      </c>
      <c r="AY560" s="15">
        <f t="shared" si="378"/>
        <v>1</v>
      </c>
      <c r="AZ560" s="15">
        <f t="shared" si="379"/>
        <v>1</v>
      </c>
      <c r="BA560" s="15">
        <f t="shared" si="380"/>
        <v>1</v>
      </c>
      <c r="BB560" s="15">
        <f t="shared" si="348"/>
        <v>0</v>
      </c>
      <c r="BC560" s="15" t="str">
        <f t="shared" si="349"/>
        <v/>
      </c>
      <c r="BD560" s="15" t="str">
        <f t="shared" si="350"/>
        <v/>
      </c>
      <c r="BE560" s="11" t="e">
        <f t="shared" si="381"/>
        <v>#VALUE!</v>
      </c>
      <c r="BF560" s="11" t="e">
        <f t="shared" si="382"/>
        <v>#VALUE!</v>
      </c>
      <c r="BG560" s="11" t="e">
        <f t="shared" si="383"/>
        <v>#VALUE!</v>
      </c>
      <c r="BH560" t="str">
        <f t="shared" si="384"/>
        <v/>
      </c>
      <c r="BI560" t="str" cm="1">
        <f t="array" ref="BI560">_xlfn.IFS(
  L560&gt;0,"Critical Fail",
  M560&gt;0,"Important (Coaching)",
  TRUE,"Clean Pass"
)</f>
        <v>Clean Pass</v>
      </c>
      <c r="BJ560" t="str">
        <f t="shared" si="385"/>
        <v>NA</v>
      </c>
    </row>
    <row r="561" spans="1:62" x14ac:dyDescent="0.3">
      <c r="A561">
        <v>881908</v>
      </c>
      <c r="K561" t="str">
        <f t="shared" si="347"/>
        <v>Pass</v>
      </c>
      <c r="L561" s="15">
        <f t="shared" si="351"/>
        <v>0</v>
      </c>
      <c r="M561" s="15">
        <f t="shared" si="352"/>
        <v>0</v>
      </c>
      <c r="Z561" s="15">
        <f t="shared" si="353"/>
        <v>1</v>
      </c>
      <c r="AA561" s="15">
        <f t="shared" si="354"/>
        <v>1</v>
      </c>
      <c r="AB561" s="15">
        <f t="shared" si="355"/>
        <v>1</v>
      </c>
      <c r="AC561" s="15">
        <f t="shared" si="356"/>
        <v>1</v>
      </c>
      <c r="AD561" s="15">
        <f t="shared" si="357"/>
        <v>1</v>
      </c>
      <c r="AE561" s="15">
        <f t="shared" si="358"/>
        <v>1</v>
      </c>
      <c r="AF561" s="15">
        <f t="shared" si="359"/>
        <v>1</v>
      </c>
      <c r="AG561" s="15">
        <f t="shared" si="360"/>
        <v>1</v>
      </c>
      <c r="AH561" s="15">
        <f t="shared" si="361"/>
        <v>1</v>
      </c>
      <c r="AI561" s="15">
        <f t="shared" si="362"/>
        <v>1</v>
      </c>
      <c r="AJ561" s="15">
        <f t="shared" si="363"/>
        <v>1</v>
      </c>
      <c r="AK561" s="15">
        <f t="shared" si="364"/>
        <v>1</v>
      </c>
      <c r="AL561" s="15">
        <f t="shared" si="365"/>
        <v>1</v>
      </c>
      <c r="AM561" s="15">
        <f t="shared" si="366"/>
        <v>1</v>
      </c>
      <c r="AN561" s="15">
        <f t="shared" si="367"/>
        <v>1</v>
      </c>
      <c r="AO561" s="15">
        <f t="shared" si="368"/>
        <v>1</v>
      </c>
      <c r="AP561" s="15">
        <f t="shared" si="369"/>
        <v>1</v>
      </c>
      <c r="AQ561" s="15">
        <f t="shared" si="370"/>
        <v>1</v>
      </c>
      <c r="AR561" s="15">
        <f t="shared" si="371"/>
        <v>1</v>
      </c>
      <c r="AS561" s="15">
        <f t="shared" si="372"/>
        <v>1</v>
      </c>
      <c r="AT561" s="15">
        <f t="shared" si="373"/>
        <v>1</v>
      </c>
      <c r="AU561" s="15">
        <f t="shared" si="374"/>
        <v>1</v>
      </c>
      <c r="AV561" s="15">
        <f t="shared" si="375"/>
        <v>1</v>
      </c>
      <c r="AW561" s="15">
        <f t="shared" si="376"/>
        <v>1</v>
      </c>
      <c r="AX561" s="15">
        <f t="shared" si="377"/>
        <v>1</v>
      </c>
      <c r="AY561" s="15">
        <f t="shared" si="378"/>
        <v>1</v>
      </c>
      <c r="AZ561" s="15">
        <f t="shared" si="379"/>
        <v>1</v>
      </c>
      <c r="BA561" s="15">
        <f t="shared" si="380"/>
        <v>1</v>
      </c>
      <c r="BB561" s="15">
        <f t="shared" si="348"/>
        <v>0</v>
      </c>
      <c r="BC561" s="15" t="str">
        <f t="shared" si="349"/>
        <v/>
      </c>
      <c r="BD561" s="15" t="str">
        <f t="shared" si="350"/>
        <v/>
      </c>
      <c r="BE561" s="11" t="e">
        <f t="shared" si="381"/>
        <v>#VALUE!</v>
      </c>
      <c r="BF561" s="11" t="e">
        <f t="shared" si="382"/>
        <v>#VALUE!</v>
      </c>
      <c r="BG561" s="11" t="e">
        <f t="shared" si="383"/>
        <v>#VALUE!</v>
      </c>
      <c r="BH561" t="str">
        <f t="shared" si="384"/>
        <v/>
      </c>
      <c r="BI561" t="str" cm="1">
        <f t="array" ref="BI561">_xlfn.IFS(
  L561&gt;0,"Critical Fail",
  M561&gt;0,"Important (Coaching)",
  TRUE,"Clean Pass"
)</f>
        <v>Clean Pass</v>
      </c>
      <c r="BJ561" t="str">
        <f t="shared" si="385"/>
        <v>NA</v>
      </c>
    </row>
    <row r="562" spans="1:62" x14ac:dyDescent="0.3">
      <c r="A562">
        <v>234229</v>
      </c>
      <c r="K562" t="str">
        <f t="shared" si="347"/>
        <v>Pass</v>
      </c>
      <c r="L562" s="15">
        <f t="shared" si="351"/>
        <v>0</v>
      </c>
      <c r="M562" s="15">
        <f t="shared" si="352"/>
        <v>0</v>
      </c>
      <c r="Z562" s="15">
        <f t="shared" si="353"/>
        <v>1</v>
      </c>
      <c r="AA562" s="15">
        <f t="shared" si="354"/>
        <v>1</v>
      </c>
      <c r="AB562" s="15">
        <f t="shared" si="355"/>
        <v>1</v>
      </c>
      <c r="AC562" s="15">
        <f t="shared" si="356"/>
        <v>1</v>
      </c>
      <c r="AD562" s="15">
        <f t="shared" si="357"/>
        <v>1</v>
      </c>
      <c r="AE562" s="15">
        <f t="shared" si="358"/>
        <v>1</v>
      </c>
      <c r="AF562" s="15">
        <f t="shared" si="359"/>
        <v>1</v>
      </c>
      <c r="AG562" s="15">
        <f t="shared" si="360"/>
        <v>1</v>
      </c>
      <c r="AH562" s="15">
        <f t="shared" si="361"/>
        <v>1</v>
      </c>
      <c r="AI562" s="15">
        <f t="shared" si="362"/>
        <v>1</v>
      </c>
      <c r="AJ562" s="15">
        <f t="shared" si="363"/>
        <v>1</v>
      </c>
      <c r="AK562" s="15">
        <f t="shared" si="364"/>
        <v>1</v>
      </c>
      <c r="AL562" s="15">
        <f t="shared" si="365"/>
        <v>1</v>
      </c>
      <c r="AM562" s="15">
        <f t="shared" si="366"/>
        <v>1</v>
      </c>
      <c r="AN562" s="15">
        <f t="shared" si="367"/>
        <v>1</v>
      </c>
      <c r="AO562" s="15">
        <f t="shared" si="368"/>
        <v>1</v>
      </c>
      <c r="AP562" s="15">
        <f t="shared" si="369"/>
        <v>1</v>
      </c>
      <c r="AQ562" s="15">
        <f t="shared" si="370"/>
        <v>1</v>
      </c>
      <c r="AR562" s="15">
        <f t="shared" si="371"/>
        <v>1</v>
      </c>
      <c r="AS562" s="15">
        <f t="shared" si="372"/>
        <v>1</v>
      </c>
      <c r="AT562" s="15">
        <f t="shared" si="373"/>
        <v>1</v>
      </c>
      <c r="AU562" s="15">
        <f t="shared" si="374"/>
        <v>1</v>
      </c>
      <c r="AV562" s="15">
        <f t="shared" si="375"/>
        <v>1</v>
      </c>
      <c r="AW562" s="15">
        <f t="shared" si="376"/>
        <v>1</v>
      </c>
      <c r="AX562" s="15">
        <f t="shared" si="377"/>
        <v>1</v>
      </c>
      <c r="AY562" s="15">
        <f t="shared" si="378"/>
        <v>1</v>
      </c>
      <c r="AZ562" s="15">
        <f t="shared" si="379"/>
        <v>1</v>
      </c>
      <c r="BA562" s="15">
        <f t="shared" si="380"/>
        <v>1</v>
      </c>
      <c r="BB562" s="15">
        <f t="shared" si="348"/>
        <v>0</v>
      </c>
      <c r="BC562" s="15" t="str">
        <f t="shared" si="349"/>
        <v/>
      </c>
      <c r="BD562" s="15" t="str">
        <f t="shared" si="350"/>
        <v/>
      </c>
      <c r="BE562" s="11" t="e">
        <f t="shared" si="381"/>
        <v>#VALUE!</v>
      </c>
      <c r="BF562" s="11" t="e">
        <f t="shared" si="382"/>
        <v>#VALUE!</v>
      </c>
      <c r="BG562" s="11" t="e">
        <f t="shared" si="383"/>
        <v>#VALUE!</v>
      </c>
      <c r="BH562" t="str">
        <f t="shared" si="384"/>
        <v/>
      </c>
      <c r="BI562" t="str" cm="1">
        <f t="array" ref="BI562">_xlfn.IFS(
  L562&gt;0,"Critical Fail",
  M562&gt;0,"Important (Coaching)",
  TRUE,"Clean Pass"
)</f>
        <v>Clean Pass</v>
      </c>
      <c r="BJ562" t="str">
        <f t="shared" si="385"/>
        <v>NA</v>
      </c>
    </row>
    <row r="563" spans="1:62" x14ac:dyDescent="0.3">
      <c r="A563">
        <v>538922</v>
      </c>
      <c r="K563" t="str">
        <f t="shared" si="347"/>
        <v>Pass</v>
      </c>
      <c r="L563" s="15">
        <f t="shared" si="351"/>
        <v>0</v>
      </c>
      <c r="M563" s="15">
        <f t="shared" si="352"/>
        <v>0</v>
      </c>
      <c r="Z563" s="15">
        <f t="shared" si="353"/>
        <v>1</v>
      </c>
      <c r="AA563" s="15">
        <f t="shared" si="354"/>
        <v>1</v>
      </c>
      <c r="AB563" s="15">
        <f t="shared" si="355"/>
        <v>1</v>
      </c>
      <c r="AC563" s="15">
        <f t="shared" si="356"/>
        <v>1</v>
      </c>
      <c r="AD563" s="15">
        <f t="shared" si="357"/>
        <v>1</v>
      </c>
      <c r="AE563" s="15">
        <f t="shared" si="358"/>
        <v>1</v>
      </c>
      <c r="AF563" s="15">
        <f t="shared" si="359"/>
        <v>1</v>
      </c>
      <c r="AG563" s="15">
        <f t="shared" si="360"/>
        <v>1</v>
      </c>
      <c r="AH563" s="15">
        <f t="shared" si="361"/>
        <v>1</v>
      </c>
      <c r="AI563" s="15">
        <f t="shared" si="362"/>
        <v>1</v>
      </c>
      <c r="AJ563" s="15">
        <f t="shared" si="363"/>
        <v>1</v>
      </c>
      <c r="AK563" s="15">
        <f t="shared" si="364"/>
        <v>1</v>
      </c>
      <c r="AL563" s="15">
        <f t="shared" si="365"/>
        <v>1</v>
      </c>
      <c r="AM563" s="15">
        <f t="shared" si="366"/>
        <v>1</v>
      </c>
      <c r="AN563" s="15">
        <f t="shared" si="367"/>
        <v>1</v>
      </c>
      <c r="AO563" s="15">
        <f t="shared" si="368"/>
        <v>1</v>
      </c>
      <c r="AP563" s="15">
        <f t="shared" si="369"/>
        <v>1</v>
      </c>
      <c r="AQ563" s="15">
        <f t="shared" si="370"/>
        <v>1</v>
      </c>
      <c r="AR563" s="15">
        <f t="shared" si="371"/>
        <v>1</v>
      </c>
      <c r="AS563" s="15">
        <f t="shared" si="372"/>
        <v>1</v>
      </c>
      <c r="AT563" s="15">
        <f t="shared" si="373"/>
        <v>1</v>
      </c>
      <c r="AU563" s="15">
        <f t="shared" si="374"/>
        <v>1</v>
      </c>
      <c r="AV563" s="15">
        <f t="shared" si="375"/>
        <v>1</v>
      </c>
      <c r="AW563" s="15">
        <f t="shared" si="376"/>
        <v>1</v>
      </c>
      <c r="AX563" s="15">
        <f t="shared" si="377"/>
        <v>1</v>
      </c>
      <c r="AY563" s="15">
        <f t="shared" si="378"/>
        <v>1</v>
      </c>
      <c r="AZ563" s="15">
        <f t="shared" si="379"/>
        <v>1</v>
      </c>
      <c r="BA563" s="15">
        <f t="shared" si="380"/>
        <v>1</v>
      </c>
      <c r="BB563" s="15">
        <f t="shared" si="348"/>
        <v>0</v>
      </c>
      <c r="BC563" s="15" t="str">
        <f t="shared" si="349"/>
        <v/>
      </c>
      <c r="BD563" s="15" t="str">
        <f t="shared" si="350"/>
        <v/>
      </c>
      <c r="BE563" s="11" t="e">
        <f t="shared" si="381"/>
        <v>#VALUE!</v>
      </c>
      <c r="BF563" s="11" t="e">
        <f t="shared" si="382"/>
        <v>#VALUE!</v>
      </c>
      <c r="BG563" s="11" t="e">
        <f t="shared" si="383"/>
        <v>#VALUE!</v>
      </c>
      <c r="BH563" t="str">
        <f t="shared" si="384"/>
        <v/>
      </c>
      <c r="BI563" t="str" cm="1">
        <f t="array" ref="BI563">_xlfn.IFS(
  L563&gt;0,"Critical Fail",
  M563&gt;0,"Important (Coaching)",
  TRUE,"Clean Pass"
)</f>
        <v>Clean Pass</v>
      </c>
      <c r="BJ563" t="str">
        <f t="shared" si="385"/>
        <v>NA</v>
      </c>
    </row>
    <row r="564" spans="1:62" x14ac:dyDescent="0.3">
      <c r="A564">
        <v>204747</v>
      </c>
      <c r="K564" t="str">
        <f t="shared" si="347"/>
        <v>Pass</v>
      </c>
      <c r="L564" s="15">
        <f t="shared" si="351"/>
        <v>0</v>
      </c>
      <c r="M564" s="15">
        <f t="shared" si="352"/>
        <v>0</v>
      </c>
      <c r="Z564" s="15">
        <f t="shared" si="353"/>
        <v>1</v>
      </c>
      <c r="AA564" s="15">
        <f t="shared" si="354"/>
        <v>1</v>
      </c>
      <c r="AB564" s="15">
        <f t="shared" si="355"/>
        <v>1</v>
      </c>
      <c r="AC564" s="15">
        <f t="shared" si="356"/>
        <v>1</v>
      </c>
      <c r="AD564" s="15">
        <f t="shared" si="357"/>
        <v>1</v>
      </c>
      <c r="AE564" s="15">
        <f t="shared" si="358"/>
        <v>1</v>
      </c>
      <c r="AF564" s="15">
        <f t="shared" si="359"/>
        <v>1</v>
      </c>
      <c r="AG564" s="15">
        <f t="shared" si="360"/>
        <v>1</v>
      </c>
      <c r="AH564" s="15">
        <f t="shared" si="361"/>
        <v>1</v>
      </c>
      <c r="AI564" s="15">
        <f t="shared" si="362"/>
        <v>1</v>
      </c>
      <c r="AJ564" s="15">
        <f t="shared" si="363"/>
        <v>1</v>
      </c>
      <c r="AK564" s="15">
        <f t="shared" si="364"/>
        <v>1</v>
      </c>
      <c r="AL564" s="15">
        <f t="shared" si="365"/>
        <v>1</v>
      </c>
      <c r="AM564" s="15">
        <f t="shared" si="366"/>
        <v>1</v>
      </c>
      <c r="AN564" s="15">
        <f t="shared" si="367"/>
        <v>1</v>
      </c>
      <c r="AO564" s="15">
        <f t="shared" si="368"/>
        <v>1</v>
      </c>
      <c r="AP564" s="15">
        <f t="shared" si="369"/>
        <v>1</v>
      </c>
      <c r="AQ564" s="15">
        <f t="shared" si="370"/>
        <v>1</v>
      </c>
      <c r="AR564" s="15">
        <f t="shared" si="371"/>
        <v>1</v>
      </c>
      <c r="AS564" s="15">
        <f t="shared" si="372"/>
        <v>1</v>
      </c>
      <c r="AT564" s="15">
        <f t="shared" si="373"/>
        <v>1</v>
      </c>
      <c r="AU564" s="15">
        <f t="shared" si="374"/>
        <v>1</v>
      </c>
      <c r="AV564" s="15">
        <f t="shared" si="375"/>
        <v>1</v>
      </c>
      <c r="AW564" s="15">
        <f t="shared" si="376"/>
        <v>1</v>
      </c>
      <c r="AX564" s="15">
        <f t="shared" si="377"/>
        <v>1</v>
      </c>
      <c r="AY564" s="15">
        <f t="shared" si="378"/>
        <v>1</v>
      </c>
      <c r="AZ564" s="15">
        <f t="shared" si="379"/>
        <v>1</v>
      </c>
      <c r="BA564" s="15">
        <f t="shared" si="380"/>
        <v>1</v>
      </c>
      <c r="BB564" s="15">
        <f t="shared" si="348"/>
        <v>0</v>
      </c>
      <c r="BC564" s="15" t="str">
        <f t="shared" si="349"/>
        <v/>
      </c>
      <c r="BD564" s="15" t="str">
        <f t="shared" si="350"/>
        <v/>
      </c>
      <c r="BE564" s="11" t="e">
        <f t="shared" si="381"/>
        <v>#VALUE!</v>
      </c>
      <c r="BF564" s="11" t="e">
        <f t="shared" si="382"/>
        <v>#VALUE!</v>
      </c>
      <c r="BG564" s="11" t="e">
        <f t="shared" si="383"/>
        <v>#VALUE!</v>
      </c>
      <c r="BH564" t="str">
        <f t="shared" si="384"/>
        <v/>
      </c>
      <c r="BI564" t="str" cm="1">
        <f t="array" ref="BI564">_xlfn.IFS(
  L564&gt;0,"Critical Fail",
  M564&gt;0,"Important (Coaching)",
  TRUE,"Clean Pass"
)</f>
        <v>Clean Pass</v>
      </c>
      <c r="BJ564" t="str">
        <f t="shared" si="385"/>
        <v>NA</v>
      </c>
    </row>
    <row r="565" spans="1:62" x14ac:dyDescent="0.3">
      <c r="A565">
        <v>538307</v>
      </c>
      <c r="K565" t="str">
        <f t="shared" si="347"/>
        <v>Pass</v>
      </c>
      <c r="L565" s="15">
        <f t="shared" si="351"/>
        <v>0</v>
      </c>
      <c r="M565" s="15">
        <f t="shared" si="352"/>
        <v>0</v>
      </c>
      <c r="Z565" s="15">
        <f t="shared" si="353"/>
        <v>1</v>
      </c>
      <c r="AA565" s="15">
        <f t="shared" si="354"/>
        <v>1</v>
      </c>
      <c r="AB565" s="15">
        <f t="shared" si="355"/>
        <v>1</v>
      </c>
      <c r="AC565" s="15">
        <f t="shared" si="356"/>
        <v>1</v>
      </c>
      <c r="AD565" s="15">
        <f t="shared" si="357"/>
        <v>1</v>
      </c>
      <c r="AE565" s="15">
        <f t="shared" si="358"/>
        <v>1</v>
      </c>
      <c r="AF565" s="15">
        <f t="shared" si="359"/>
        <v>1</v>
      </c>
      <c r="AG565" s="15">
        <f t="shared" si="360"/>
        <v>1</v>
      </c>
      <c r="AH565" s="15">
        <f t="shared" si="361"/>
        <v>1</v>
      </c>
      <c r="AI565" s="15">
        <f t="shared" si="362"/>
        <v>1</v>
      </c>
      <c r="AJ565" s="15">
        <f t="shared" si="363"/>
        <v>1</v>
      </c>
      <c r="AK565" s="15">
        <f t="shared" si="364"/>
        <v>1</v>
      </c>
      <c r="AL565" s="15">
        <f t="shared" si="365"/>
        <v>1</v>
      </c>
      <c r="AM565" s="15">
        <f t="shared" si="366"/>
        <v>1</v>
      </c>
      <c r="AN565" s="15">
        <f t="shared" si="367"/>
        <v>1</v>
      </c>
      <c r="AO565" s="15">
        <f t="shared" si="368"/>
        <v>1</v>
      </c>
      <c r="AP565" s="15">
        <f t="shared" si="369"/>
        <v>1</v>
      </c>
      <c r="AQ565" s="15">
        <f t="shared" si="370"/>
        <v>1</v>
      </c>
      <c r="AR565" s="15">
        <f t="shared" si="371"/>
        <v>1</v>
      </c>
      <c r="AS565" s="15">
        <f t="shared" si="372"/>
        <v>1</v>
      </c>
      <c r="AT565" s="15">
        <f t="shared" si="373"/>
        <v>1</v>
      </c>
      <c r="AU565" s="15">
        <f t="shared" si="374"/>
        <v>1</v>
      </c>
      <c r="AV565" s="15">
        <f t="shared" si="375"/>
        <v>1</v>
      </c>
      <c r="AW565" s="15">
        <f t="shared" si="376"/>
        <v>1</v>
      </c>
      <c r="AX565" s="15">
        <f t="shared" si="377"/>
        <v>1</v>
      </c>
      <c r="AY565" s="15">
        <f t="shared" si="378"/>
        <v>1</v>
      </c>
      <c r="AZ565" s="15">
        <f t="shared" si="379"/>
        <v>1</v>
      </c>
      <c r="BA565" s="15">
        <f t="shared" si="380"/>
        <v>1</v>
      </c>
      <c r="BB565" s="15">
        <f t="shared" si="348"/>
        <v>0</v>
      </c>
      <c r="BC565" s="15" t="str">
        <f t="shared" si="349"/>
        <v/>
      </c>
      <c r="BD565" s="15" t="str">
        <f t="shared" si="350"/>
        <v/>
      </c>
      <c r="BE565" s="11" t="e">
        <f t="shared" si="381"/>
        <v>#VALUE!</v>
      </c>
      <c r="BF565" s="11" t="e">
        <f t="shared" si="382"/>
        <v>#VALUE!</v>
      </c>
      <c r="BG565" s="11" t="e">
        <f t="shared" si="383"/>
        <v>#VALUE!</v>
      </c>
      <c r="BH565" t="str">
        <f t="shared" si="384"/>
        <v/>
      </c>
      <c r="BI565" t="str" cm="1">
        <f t="array" ref="BI565">_xlfn.IFS(
  L565&gt;0,"Critical Fail",
  M565&gt;0,"Important (Coaching)",
  TRUE,"Clean Pass"
)</f>
        <v>Clean Pass</v>
      </c>
      <c r="BJ565" t="str">
        <f t="shared" si="385"/>
        <v>NA</v>
      </c>
    </row>
    <row r="566" spans="1:62" x14ac:dyDescent="0.3">
      <c r="A566">
        <v>471343</v>
      </c>
      <c r="K566" t="str">
        <f t="shared" si="347"/>
        <v>Pass</v>
      </c>
      <c r="L566" s="15">
        <f t="shared" si="351"/>
        <v>0</v>
      </c>
      <c r="M566" s="15">
        <f t="shared" si="352"/>
        <v>0</v>
      </c>
      <c r="Z566" s="15">
        <f t="shared" si="353"/>
        <v>1</v>
      </c>
      <c r="AA566" s="15">
        <f t="shared" si="354"/>
        <v>1</v>
      </c>
      <c r="AB566" s="15">
        <f t="shared" si="355"/>
        <v>1</v>
      </c>
      <c r="AC566" s="15">
        <f t="shared" si="356"/>
        <v>1</v>
      </c>
      <c r="AD566" s="15">
        <f t="shared" si="357"/>
        <v>1</v>
      </c>
      <c r="AE566" s="15">
        <f t="shared" si="358"/>
        <v>1</v>
      </c>
      <c r="AF566" s="15">
        <f t="shared" si="359"/>
        <v>1</v>
      </c>
      <c r="AG566" s="15">
        <f t="shared" si="360"/>
        <v>1</v>
      </c>
      <c r="AH566" s="15">
        <f t="shared" si="361"/>
        <v>1</v>
      </c>
      <c r="AI566" s="15">
        <f t="shared" si="362"/>
        <v>1</v>
      </c>
      <c r="AJ566" s="15">
        <f t="shared" si="363"/>
        <v>1</v>
      </c>
      <c r="AK566" s="15">
        <f t="shared" si="364"/>
        <v>1</v>
      </c>
      <c r="AL566" s="15">
        <f t="shared" si="365"/>
        <v>1</v>
      </c>
      <c r="AM566" s="15">
        <f t="shared" si="366"/>
        <v>1</v>
      </c>
      <c r="AN566" s="15">
        <f t="shared" si="367"/>
        <v>1</v>
      </c>
      <c r="AO566" s="15">
        <f t="shared" si="368"/>
        <v>1</v>
      </c>
      <c r="AP566" s="15">
        <f t="shared" si="369"/>
        <v>1</v>
      </c>
      <c r="AQ566" s="15">
        <f t="shared" si="370"/>
        <v>1</v>
      </c>
      <c r="AR566" s="15">
        <f t="shared" si="371"/>
        <v>1</v>
      </c>
      <c r="AS566" s="15">
        <f t="shared" si="372"/>
        <v>1</v>
      </c>
      <c r="AT566" s="15">
        <f t="shared" si="373"/>
        <v>1</v>
      </c>
      <c r="AU566" s="15">
        <f t="shared" si="374"/>
        <v>1</v>
      </c>
      <c r="AV566" s="15">
        <f t="shared" si="375"/>
        <v>1</v>
      </c>
      <c r="AW566" s="15">
        <f t="shared" si="376"/>
        <v>1</v>
      </c>
      <c r="AX566" s="15">
        <f t="shared" si="377"/>
        <v>1</v>
      </c>
      <c r="AY566" s="15">
        <f t="shared" si="378"/>
        <v>1</v>
      </c>
      <c r="AZ566" s="15">
        <f t="shared" si="379"/>
        <v>1</v>
      </c>
      <c r="BA566" s="15">
        <f t="shared" si="380"/>
        <v>1</v>
      </c>
      <c r="BB566" s="15">
        <f t="shared" si="348"/>
        <v>0</v>
      </c>
      <c r="BC566" s="15" t="str">
        <f t="shared" si="349"/>
        <v/>
      </c>
      <c r="BD566" s="15" t="str">
        <f t="shared" si="350"/>
        <v/>
      </c>
      <c r="BE566" s="11" t="e">
        <f t="shared" si="381"/>
        <v>#VALUE!</v>
      </c>
      <c r="BF566" s="11" t="e">
        <f t="shared" si="382"/>
        <v>#VALUE!</v>
      </c>
      <c r="BG566" s="11" t="e">
        <f t="shared" si="383"/>
        <v>#VALUE!</v>
      </c>
      <c r="BH566" t="str">
        <f t="shared" si="384"/>
        <v/>
      </c>
      <c r="BI566" t="str" cm="1">
        <f t="array" ref="BI566">_xlfn.IFS(
  L566&gt;0,"Critical Fail",
  M566&gt;0,"Important (Coaching)",
  TRUE,"Clean Pass"
)</f>
        <v>Clean Pass</v>
      </c>
      <c r="BJ566" t="str">
        <f t="shared" si="385"/>
        <v>NA</v>
      </c>
    </row>
    <row r="567" spans="1:62" x14ac:dyDescent="0.3">
      <c r="A567">
        <v>671837</v>
      </c>
      <c r="K567" t="str">
        <f t="shared" si="347"/>
        <v>Pass</v>
      </c>
      <c r="L567" s="15">
        <f t="shared" si="351"/>
        <v>0</v>
      </c>
      <c r="M567" s="15">
        <f t="shared" si="352"/>
        <v>0</v>
      </c>
      <c r="Z567" s="15">
        <f t="shared" si="353"/>
        <v>1</v>
      </c>
      <c r="AA567" s="15">
        <f t="shared" si="354"/>
        <v>1</v>
      </c>
      <c r="AB567" s="15">
        <f t="shared" si="355"/>
        <v>1</v>
      </c>
      <c r="AC567" s="15">
        <f t="shared" si="356"/>
        <v>1</v>
      </c>
      <c r="AD567" s="15">
        <f t="shared" si="357"/>
        <v>1</v>
      </c>
      <c r="AE567" s="15">
        <f t="shared" si="358"/>
        <v>1</v>
      </c>
      <c r="AF567" s="15">
        <f t="shared" si="359"/>
        <v>1</v>
      </c>
      <c r="AG567" s="15">
        <f t="shared" si="360"/>
        <v>1</v>
      </c>
      <c r="AH567" s="15">
        <f t="shared" si="361"/>
        <v>1</v>
      </c>
      <c r="AI567" s="15">
        <f t="shared" si="362"/>
        <v>1</v>
      </c>
      <c r="AJ567" s="15">
        <f t="shared" si="363"/>
        <v>1</v>
      </c>
      <c r="AK567" s="15">
        <f t="shared" si="364"/>
        <v>1</v>
      </c>
      <c r="AL567" s="15">
        <f t="shared" si="365"/>
        <v>1</v>
      </c>
      <c r="AM567" s="15">
        <f t="shared" si="366"/>
        <v>1</v>
      </c>
      <c r="AN567" s="15">
        <f t="shared" si="367"/>
        <v>1</v>
      </c>
      <c r="AO567" s="15">
        <f t="shared" si="368"/>
        <v>1</v>
      </c>
      <c r="AP567" s="15">
        <f t="shared" si="369"/>
        <v>1</v>
      </c>
      <c r="AQ567" s="15">
        <f t="shared" si="370"/>
        <v>1</v>
      </c>
      <c r="AR567" s="15">
        <f t="shared" si="371"/>
        <v>1</v>
      </c>
      <c r="AS567" s="15">
        <f t="shared" si="372"/>
        <v>1</v>
      </c>
      <c r="AT567" s="15">
        <f t="shared" si="373"/>
        <v>1</v>
      </c>
      <c r="AU567" s="15">
        <f t="shared" si="374"/>
        <v>1</v>
      </c>
      <c r="AV567" s="15">
        <f t="shared" si="375"/>
        <v>1</v>
      </c>
      <c r="AW567" s="15">
        <f t="shared" si="376"/>
        <v>1</v>
      </c>
      <c r="AX567" s="15">
        <f t="shared" si="377"/>
        <v>1</v>
      </c>
      <c r="AY567" s="15">
        <f t="shared" si="378"/>
        <v>1</v>
      </c>
      <c r="AZ567" s="15">
        <f t="shared" si="379"/>
        <v>1</v>
      </c>
      <c r="BA567" s="15">
        <f t="shared" si="380"/>
        <v>1</v>
      </c>
      <c r="BB567" s="15">
        <f t="shared" si="348"/>
        <v>0</v>
      </c>
      <c r="BC567" s="15" t="str">
        <f t="shared" si="349"/>
        <v/>
      </c>
      <c r="BD567" s="15" t="str">
        <f t="shared" si="350"/>
        <v/>
      </c>
      <c r="BE567" s="11" t="e">
        <f t="shared" si="381"/>
        <v>#VALUE!</v>
      </c>
      <c r="BF567" s="11" t="e">
        <f t="shared" si="382"/>
        <v>#VALUE!</v>
      </c>
      <c r="BG567" s="11" t="e">
        <f t="shared" si="383"/>
        <v>#VALUE!</v>
      </c>
      <c r="BH567" t="str">
        <f t="shared" si="384"/>
        <v/>
      </c>
      <c r="BI567" t="str" cm="1">
        <f t="array" ref="BI567">_xlfn.IFS(
  L567&gt;0,"Critical Fail",
  M567&gt;0,"Important (Coaching)",
  TRUE,"Clean Pass"
)</f>
        <v>Clean Pass</v>
      </c>
      <c r="BJ567" t="str">
        <f t="shared" si="385"/>
        <v>NA</v>
      </c>
    </row>
    <row r="568" spans="1:62" x14ac:dyDescent="0.3">
      <c r="A568">
        <v>995282</v>
      </c>
      <c r="K568" t="str">
        <f t="shared" si="347"/>
        <v>Pass</v>
      </c>
      <c r="L568" s="15">
        <f t="shared" si="351"/>
        <v>0</v>
      </c>
      <c r="M568" s="15">
        <f t="shared" si="352"/>
        <v>0</v>
      </c>
      <c r="Z568" s="15">
        <f t="shared" si="353"/>
        <v>1</v>
      </c>
      <c r="AA568" s="15">
        <f t="shared" si="354"/>
        <v>1</v>
      </c>
      <c r="AB568" s="15">
        <f t="shared" si="355"/>
        <v>1</v>
      </c>
      <c r="AC568" s="15">
        <f t="shared" si="356"/>
        <v>1</v>
      </c>
      <c r="AD568" s="15">
        <f t="shared" si="357"/>
        <v>1</v>
      </c>
      <c r="AE568" s="15">
        <f t="shared" si="358"/>
        <v>1</v>
      </c>
      <c r="AF568" s="15">
        <f t="shared" si="359"/>
        <v>1</v>
      </c>
      <c r="AG568" s="15">
        <f t="shared" si="360"/>
        <v>1</v>
      </c>
      <c r="AH568" s="15">
        <f t="shared" si="361"/>
        <v>1</v>
      </c>
      <c r="AI568" s="15">
        <f t="shared" si="362"/>
        <v>1</v>
      </c>
      <c r="AJ568" s="15">
        <f t="shared" si="363"/>
        <v>1</v>
      </c>
      <c r="AK568" s="15">
        <f t="shared" si="364"/>
        <v>1</v>
      </c>
      <c r="AL568" s="15">
        <f t="shared" si="365"/>
        <v>1</v>
      </c>
      <c r="AM568" s="15">
        <f t="shared" si="366"/>
        <v>1</v>
      </c>
      <c r="AN568" s="15">
        <f t="shared" si="367"/>
        <v>1</v>
      </c>
      <c r="AO568" s="15">
        <f t="shared" si="368"/>
        <v>1</v>
      </c>
      <c r="AP568" s="15">
        <f t="shared" si="369"/>
        <v>1</v>
      </c>
      <c r="AQ568" s="15">
        <f t="shared" si="370"/>
        <v>1</v>
      </c>
      <c r="AR568" s="15">
        <f t="shared" si="371"/>
        <v>1</v>
      </c>
      <c r="AS568" s="15">
        <f t="shared" si="372"/>
        <v>1</v>
      </c>
      <c r="AT568" s="15">
        <f t="shared" si="373"/>
        <v>1</v>
      </c>
      <c r="AU568" s="15">
        <f t="shared" si="374"/>
        <v>1</v>
      </c>
      <c r="AV568" s="15">
        <f t="shared" si="375"/>
        <v>1</v>
      </c>
      <c r="AW568" s="15">
        <f t="shared" si="376"/>
        <v>1</v>
      </c>
      <c r="AX568" s="15">
        <f t="shared" si="377"/>
        <v>1</v>
      </c>
      <c r="AY568" s="15">
        <f t="shared" si="378"/>
        <v>1</v>
      </c>
      <c r="AZ568" s="15">
        <f t="shared" si="379"/>
        <v>1</v>
      </c>
      <c r="BA568" s="15">
        <f t="shared" si="380"/>
        <v>1</v>
      </c>
      <c r="BB568" s="15">
        <f t="shared" si="348"/>
        <v>0</v>
      </c>
      <c r="BC568" s="15" t="str">
        <f t="shared" si="349"/>
        <v/>
      </c>
      <c r="BD568" s="15" t="str">
        <f t="shared" si="350"/>
        <v/>
      </c>
      <c r="BE568" s="11" t="e">
        <f t="shared" si="381"/>
        <v>#VALUE!</v>
      </c>
      <c r="BF568" s="11" t="e">
        <f t="shared" si="382"/>
        <v>#VALUE!</v>
      </c>
      <c r="BG568" s="11" t="e">
        <f t="shared" si="383"/>
        <v>#VALUE!</v>
      </c>
      <c r="BH568" t="str">
        <f t="shared" si="384"/>
        <v/>
      </c>
      <c r="BI568" t="str" cm="1">
        <f t="array" ref="BI568">_xlfn.IFS(
  L568&gt;0,"Critical Fail",
  M568&gt;0,"Important (Coaching)",
  TRUE,"Clean Pass"
)</f>
        <v>Clean Pass</v>
      </c>
      <c r="BJ568" t="str">
        <f t="shared" si="385"/>
        <v>NA</v>
      </c>
    </row>
    <row r="569" spans="1:62" x14ac:dyDescent="0.3">
      <c r="A569">
        <v>936184</v>
      </c>
      <c r="K569" t="str">
        <f t="shared" si="347"/>
        <v>Pass</v>
      </c>
      <c r="L569" s="15">
        <f t="shared" si="351"/>
        <v>0</v>
      </c>
      <c r="M569" s="15">
        <f t="shared" si="352"/>
        <v>0</v>
      </c>
      <c r="Z569" s="15">
        <f t="shared" si="353"/>
        <v>1</v>
      </c>
      <c r="AA569" s="15">
        <f t="shared" si="354"/>
        <v>1</v>
      </c>
      <c r="AB569" s="15">
        <f t="shared" si="355"/>
        <v>1</v>
      </c>
      <c r="AC569" s="15">
        <f t="shared" si="356"/>
        <v>1</v>
      </c>
      <c r="AD569" s="15">
        <f t="shared" si="357"/>
        <v>1</v>
      </c>
      <c r="AE569" s="15">
        <f t="shared" si="358"/>
        <v>1</v>
      </c>
      <c r="AF569" s="15">
        <f t="shared" si="359"/>
        <v>1</v>
      </c>
      <c r="AG569" s="15">
        <f t="shared" si="360"/>
        <v>1</v>
      </c>
      <c r="AH569" s="15">
        <f t="shared" si="361"/>
        <v>1</v>
      </c>
      <c r="AI569" s="15">
        <f t="shared" si="362"/>
        <v>1</v>
      </c>
      <c r="AJ569" s="15">
        <f t="shared" si="363"/>
        <v>1</v>
      </c>
      <c r="AK569" s="15">
        <f t="shared" si="364"/>
        <v>1</v>
      </c>
      <c r="AL569" s="15">
        <f t="shared" si="365"/>
        <v>1</v>
      </c>
      <c r="AM569" s="15">
        <f t="shared" si="366"/>
        <v>1</v>
      </c>
      <c r="AN569" s="15">
        <f t="shared" si="367"/>
        <v>1</v>
      </c>
      <c r="AO569" s="15">
        <f t="shared" si="368"/>
        <v>1</v>
      </c>
      <c r="AP569" s="15">
        <f t="shared" si="369"/>
        <v>1</v>
      </c>
      <c r="AQ569" s="15">
        <f t="shared" si="370"/>
        <v>1</v>
      </c>
      <c r="AR569" s="15">
        <f t="shared" si="371"/>
        <v>1</v>
      </c>
      <c r="AS569" s="15">
        <f t="shared" si="372"/>
        <v>1</v>
      </c>
      <c r="AT569" s="15">
        <f t="shared" si="373"/>
        <v>1</v>
      </c>
      <c r="AU569" s="15">
        <f t="shared" si="374"/>
        <v>1</v>
      </c>
      <c r="AV569" s="15">
        <f t="shared" si="375"/>
        <v>1</v>
      </c>
      <c r="AW569" s="15">
        <f t="shared" si="376"/>
        <v>1</v>
      </c>
      <c r="AX569" s="15">
        <f t="shared" si="377"/>
        <v>1</v>
      </c>
      <c r="AY569" s="15">
        <f t="shared" si="378"/>
        <v>1</v>
      </c>
      <c r="AZ569" s="15">
        <f t="shared" si="379"/>
        <v>1</v>
      </c>
      <c r="BA569" s="15">
        <f t="shared" si="380"/>
        <v>1</v>
      </c>
      <c r="BB569" s="15">
        <f t="shared" si="348"/>
        <v>0</v>
      </c>
      <c r="BC569" s="15" t="str">
        <f t="shared" si="349"/>
        <v/>
      </c>
      <c r="BD569" s="15" t="str">
        <f t="shared" si="350"/>
        <v/>
      </c>
      <c r="BE569" s="11" t="e">
        <f t="shared" si="381"/>
        <v>#VALUE!</v>
      </c>
      <c r="BF569" s="11" t="e">
        <f t="shared" si="382"/>
        <v>#VALUE!</v>
      </c>
      <c r="BG569" s="11" t="e">
        <f t="shared" si="383"/>
        <v>#VALUE!</v>
      </c>
      <c r="BH569" t="str">
        <f t="shared" si="384"/>
        <v/>
      </c>
      <c r="BI569" t="str" cm="1">
        <f t="array" ref="BI569">_xlfn.IFS(
  L569&gt;0,"Critical Fail",
  M569&gt;0,"Important (Coaching)",
  TRUE,"Clean Pass"
)</f>
        <v>Clean Pass</v>
      </c>
      <c r="BJ569" t="str">
        <f t="shared" si="385"/>
        <v>NA</v>
      </c>
    </row>
    <row r="570" spans="1:62" x14ac:dyDescent="0.3">
      <c r="A570">
        <v>196006</v>
      </c>
      <c r="K570" t="str">
        <f t="shared" si="347"/>
        <v>Pass</v>
      </c>
      <c r="L570" s="15">
        <f t="shared" si="351"/>
        <v>0</v>
      </c>
      <c r="M570" s="15">
        <f t="shared" si="352"/>
        <v>0</v>
      </c>
      <c r="Z570" s="15">
        <f t="shared" si="353"/>
        <v>1</v>
      </c>
      <c r="AA570" s="15">
        <f t="shared" si="354"/>
        <v>1</v>
      </c>
      <c r="AB570" s="15">
        <f t="shared" si="355"/>
        <v>1</v>
      </c>
      <c r="AC570" s="15">
        <f t="shared" si="356"/>
        <v>1</v>
      </c>
      <c r="AD570" s="15">
        <f t="shared" si="357"/>
        <v>1</v>
      </c>
      <c r="AE570" s="15">
        <f t="shared" si="358"/>
        <v>1</v>
      </c>
      <c r="AF570" s="15">
        <f t="shared" si="359"/>
        <v>1</v>
      </c>
      <c r="AG570" s="15">
        <f t="shared" si="360"/>
        <v>1</v>
      </c>
      <c r="AH570" s="15">
        <f t="shared" si="361"/>
        <v>1</v>
      </c>
      <c r="AI570" s="15">
        <f t="shared" si="362"/>
        <v>1</v>
      </c>
      <c r="AJ570" s="15">
        <f t="shared" si="363"/>
        <v>1</v>
      </c>
      <c r="AK570" s="15">
        <f t="shared" si="364"/>
        <v>1</v>
      </c>
      <c r="AL570" s="15">
        <f t="shared" si="365"/>
        <v>1</v>
      </c>
      <c r="AM570" s="15">
        <f t="shared" si="366"/>
        <v>1</v>
      </c>
      <c r="AN570" s="15">
        <f t="shared" si="367"/>
        <v>1</v>
      </c>
      <c r="AO570" s="15">
        <f t="shared" si="368"/>
        <v>1</v>
      </c>
      <c r="AP570" s="15">
        <f t="shared" si="369"/>
        <v>1</v>
      </c>
      <c r="AQ570" s="15">
        <f t="shared" si="370"/>
        <v>1</v>
      </c>
      <c r="AR570" s="15">
        <f t="shared" si="371"/>
        <v>1</v>
      </c>
      <c r="AS570" s="15">
        <f t="shared" si="372"/>
        <v>1</v>
      </c>
      <c r="AT570" s="15">
        <f t="shared" si="373"/>
        <v>1</v>
      </c>
      <c r="AU570" s="15">
        <f t="shared" si="374"/>
        <v>1</v>
      </c>
      <c r="AV570" s="15">
        <f t="shared" si="375"/>
        <v>1</v>
      </c>
      <c r="AW570" s="15">
        <f t="shared" si="376"/>
        <v>1</v>
      </c>
      <c r="AX570" s="15">
        <f t="shared" si="377"/>
        <v>1</v>
      </c>
      <c r="AY570" s="15">
        <f t="shared" si="378"/>
        <v>1</v>
      </c>
      <c r="AZ570" s="15">
        <f t="shared" si="379"/>
        <v>1</v>
      </c>
      <c r="BA570" s="15">
        <f t="shared" si="380"/>
        <v>1</v>
      </c>
      <c r="BB570" s="15">
        <f t="shared" si="348"/>
        <v>0</v>
      </c>
      <c r="BC570" s="15" t="str">
        <f t="shared" si="349"/>
        <v/>
      </c>
      <c r="BD570" s="15" t="str">
        <f t="shared" si="350"/>
        <v/>
      </c>
      <c r="BE570" s="11" t="e">
        <f t="shared" si="381"/>
        <v>#VALUE!</v>
      </c>
      <c r="BF570" s="11" t="e">
        <f t="shared" si="382"/>
        <v>#VALUE!</v>
      </c>
      <c r="BG570" s="11" t="e">
        <f t="shared" si="383"/>
        <v>#VALUE!</v>
      </c>
      <c r="BH570" t="str">
        <f t="shared" si="384"/>
        <v/>
      </c>
      <c r="BI570" t="str" cm="1">
        <f t="array" ref="BI570">_xlfn.IFS(
  L570&gt;0,"Critical Fail",
  M570&gt;0,"Important (Coaching)",
  TRUE,"Clean Pass"
)</f>
        <v>Clean Pass</v>
      </c>
      <c r="BJ570" t="str">
        <f t="shared" si="385"/>
        <v>NA</v>
      </c>
    </row>
    <row r="571" spans="1:62" x14ac:dyDescent="0.3">
      <c r="A571">
        <v>232600</v>
      </c>
      <c r="K571" t="str">
        <f t="shared" si="347"/>
        <v>Pass</v>
      </c>
      <c r="L571" s="15">
        <f t="shared" si="351"/>
        <v>0</v>
      </c>
      <c r="M571" s="15">
        <f t="shared" si="352"/>
        <v>0</v>
      </c>
      <c r="Z571" s="15">
        <f t="shared" si="353"/>
        <v>1</v>
      </c>
      <c r="AA571" s="15">
        <f t="shared" si="354"/>
        <v>1</v>
      </c>
      <c r="AB571" s="15">
        <f t="shared" si="355"/>
        <v>1</v>
      </c>
      <c r="AC571" s="15">
        <f t="shared" si="356"/>
        <v>1</v>
      </c>
      <c r="AD571" s="15">
        <f t="shared" si="357"/>
        <v>1</v>
      </c>
      <c r="AE571" s="15">
        <f t="shared" si="358"/>
        <v>1</v>
      </c>
      <c r="AF571" s="15">
        <f t="shared" si="359"/>
        <v>1</v>
      </c>
      <c r="AG571" s="15">
        <f t="shared" si="360"/>
        <v>1</v>
      </c>
      <c r="AH571" s="15">
        <f t="shared" si="361"/>
        <v>1</v>
      </c>
      <c r="AI571" s="15">
        <f t="shared" si="362"/>
        <v>1</v>
      </c>
      <c r="AJ571" s="15">
        <f t="shared" si="363"/>
        <v>1</v>
      </c>
      <c r="AK571" s="15">
        <f t="shared" si="364"/>
        <v>1</v>
      </c>
      <c r="AL571" s="15">
        <f t="shared" si="365"/>
        <v>1</v>
      </c>
      <c r="AM571" s="15">
        <f t="shared" si="366"/>
        <v>1</v>
      </c>
      <c r="AN571" s="15">
        <f t="shared" si="367"/>
        <v>1</v>
      </c>
      <c r="AO571" s="15">
        <f t="shared" si="368"/>
        <v>1</v>
      </c>
      <c r="AP571" s="15">
        <f t="shared" si="369"/>
        <v>1</v>
      </c>
      <c r="AQ571" s="15">
        <f t="shared" si="370"/>
        <v>1</v>
      </c>
      <c r="AR571" s="15">
        <f t="shared" si="371"/>
        <v>1</v>
      </c>
      <c r="AS571" s="15">
        <f t="shared" si="372"/>
        <v>1</v>
      </c>
      <c r="AT571" s="15">
        <f t="shared" si="373"/>
        <v>1</v>
      </c>
      <c r="AU571" s="15">
        <f t="shared" si="374"/>
        <v>1</v>
      </c>
      <c r="AV571" s="15">
        <f t="shared" si="375"/>
        <v>1</v>
      </c>
      <c r="AW571" s="15">
        <f t="shared" si="376"/>
        <v>1</v>
      </c>
      <c r="AX571" s="15">
        <f t="shared" si="377"/>
        <v>1</v>
      </c>
      <c r="AY571" s="15">
        <f t="shared" si="378"/>
        <v>1</v>
      </c>
      <c r="AZ571" s="15">
        <f t="shared" si="379"/>
        <v>1</v>
      </c>
      <c r="BA571" s="15">
        <f t="shared" si="380"/>
        <v>1</v>
      </c>
      <c r="BB571" s="15">
        <f t="shared" si="348"/>
        <v>0</v>
      </c>
      <c r="BC571" s="15" t="str">
        <f t="shared" si="349"/>
        <v/>
      </c>
      <c r="BD571" s="15" t="str">
        <f t="shared" si="350"/>
        <v/>
      </c>
      <c r="BE571" s="11" t="e">
        <f t="shared" si="381"/>
        <v>#VALUE!</v>
      </c>
      <c r="BF571" s="11" t="e">
        <f t="shared" si="382"/>
        <v>#VALUE!</v>
      </c>
      <c r="BG571" s="11" t="e">
        <f t="shared" si="383"/>
        <v>#VALUE!</v>
      </c>
      <c r="BH571" t="str">
        <f t="shared" si="384"/>
        <v/>
      </c>
      <c r="BI571" t="str" cm="1">
        <f t="array" ref="BI571">_xlfn.IFS(
  L571&gt;0,"Critical Fail",
  M571&gt;0,"Important (Coaching)",
  TRUE,"Clean Pass"
)</f>
        <v>Clean Pass</v>
      </c>
      <c r="BJ571" t="str">
        <f t="shared" si="385"/>
        <v>NA</v>
      </c>
    </row>
    <row r="572" spans="1:62" x14ac:dyDescent="0.3">
      <c r="A572">
        <v>622893</v>
      </c>
      <c r="K572" t="str">
        <f t="shared" si="347"/>
        <v>Pass</v>
      </c>
      <c r="L572" s="15">
        <f t="shared" si="351"/>
        <v>0</v>
      </c>
      <c r="M572" s="15">
        <f t="shared" si="352"/>
        <v>0</v>
      </c>
      <c r="Z572" s="15">
        <f t="shared" si="353"/>
        <v>1</v>
      </c>
      <c r="AA572" s="15">
        <f t="shared" si="354"/>
        <v>1</v>
      </c>
      <c r="AB572" s="15">
        <f t="shared" si="355"/>
        <v>1</v>
      </c>
      <c r="AC572" s="15">
        <f t="shared" si="356"/>
        <v>1</v>
      </c>
      <c r="AD572" s="15">
        <f t="shared" si="357"/>
        <v>1</v>
      </c>
      <c r="AE572" s="15">
        <f t="shared" si="358"/>
        <v>1</v>
      </c>
      <c r="AF572" s="15">
        <f t="shared" si="359"/>
        <v>1</v>
      </c>
      <c r="AG572" s="15">
        <f t="shared" si="360"/>
        <v>1</v>
      </c>
      <c r="AH572" s="15">
        <f t="shared" si="361"/>
        <v>1</v>
      </c>
      <c r="AI572" s="15">
        <f t="shared" si="362"/>
        <v>1</v>
      </c>
      <c r="AJ572" s="15">
        <f t="shared" si="363"/>
        <v>1</v>
      </c>
      <c r="AK572" s="15">
        <f t="shared" si="364"/>
        <v>1</v>
      </c>
      <c r="AL572" s="15">
        <f t="shared" si="365"/>
        <v>1</v>
      </c>
      <c r="AM572" s="15">
        <f t="shared" si="366"/>
        <v>1</v>
      </c>
      <c r="AN572" s="15">
        <f t="shared" si="367"/>
        <v>1</v>
      </c>
      <c r="AO572" s="15">
        <f t="shared" si="368"/>
        <v>1</v>
      </c>
      <c r="AP572" s="15">
        <f t="shared" si="369"/>
        <v>1</v>
      </c>
      <c r="AQ572" s="15">
        <f t="shared" si="370"/>
        <v>1</v>
      </c>
      <c r="AR572" s="15">
        <f t="shared" si="371"/>
        <v>1</v>
      </c>
      <c r="AS572" s="15">
        <f t="shared" si="372"/>
        <v>1</v>
      </c>
      <c r="AT572" s="15">
        <f t="shared" si="373"/>
        <v>1</v>
      </c>
      <c r="AU572" s="15">
        <f t="shared" si="374"/>
        <v>1</v>
      </c>
      <c r="AV572" s="15">
        <f t="shared" si="375"/>
        <v>1</v>
      </c>
      <c r="AW572" s="15">
        <f t="shared" si="376"/>
        <v>1</v>
      </c>
      <c r="AX572" s="15">
        <f t="shared" si="377"/>
        <v>1</v>
      </c>
      <c r="AY572" s="15">
        <f t="shared" si="378"/>
        <v>1</v>
      </c>
      <c r="AZ572" s="15">
        <f t="shared" si="379"/>
        <v>1</v>
      </c>
      <c r="BA572" s="15">
        <f t="shared" si="380"/>
        <v>1</v>
      </c>
      <c r="BB572" s="15">
        <f t="shared" si="348"/>
        <v>0</v>
      </c>
      <c r="BC572" s="15" t="str">
        <f t="shared" si="349"/>
        <v/>
      </c>
      <c r="BD572" s="15" t="str">
        <f t="shared" si="350"/>
        <v/>
      </c>
      <c r="BE572" s="11" t="e">
        <f t="shared" si="381"/>
        <v>#VALUE!</v>
      </c>
      <c r="BF572" s="11" t="e">
        <f t="shared" si="382"/>
        <v>#VALUE!</v>
      </c>
      <c r="BG572" s="11" t="e">
        <f t="shared" si="383"/>
        <v>#VALUE!</v>
      </c>
      <c r="BH572" t="str">
        <f t="shared" si="384"/>
        <v/>
      </c>
      <c r="BI572" t="str" cm="1">
        <f t="array" ref="BI572">_xlfn.IFS(
  L572&gt;0,"Critical Fail",
  M572&gt;0,"Important (Coaching)",
  TRUE,"Clean Pass"
)</f>
        <v>Clean Pass</v>
      </c>
      <c r="BJ572" t="str">
        <f t="shared" si="385"/>
        <v>NA</v>
      </c>
    </row>
    <row r="573" spans="1:62" x14ac:dyDescent="0.3">
      <c r="A573">
        <v>359256</v>
      </c>
      <c r="K573" t="str">
        <f t="shared" si="347"/>
        <v>Pass</v>
      </c>
      <c r="L573" s="15">
        <f t="shared" si="351"/>
        <v>0</v>
      </c>
      <c r="M573" s="15">
        <f t="shared" si="352"/>
        <v>0</v>
      </c>
      <c r="Z573" s="15">
        <f t="shared" si="353"/>
        <v>1</v>
      </c>
      <c r="AA573" s="15">
        <f t="shared" si="354"/>
        <v>1</v>
      </c>
      <c r="AB573" s="15">
        <f t="shared" si="355"/>
        <v>1</v>
      </c>
      <c r="AC573" s="15">
        <f t="shared" si="356"/>
        <v>1</v>
      </c>
      <c r="AD573" s="15">
        <f t="shared" si="357"/>
        <v>1</v>
      </c>
      <c r="AE573" s="15">
        <f t="shared" si="358"/>
        <v>1</v>
      </c>
      <c r="AF573" s="15">
        <f t="shared" si="359"/>
        <v>1</v>
      </c>
      <c r="AG573" s="15">
        <f t="shared" si="360"/>
        <v>1</v>
      </c>
      <c r="AH573" s="15">
        <f t="shared" si="361"/>
        <v>1</v>
      </c>
      <c r="AI573" s="15">
        <f t="shared" si="362"/>
        <v>1</v>
      </c>
      <c r="AJ573" s="15">
        <f t="shared" si="363"/>
        <v>1</v>
      </c>
      <c r="AK573" s="15">
        <f t="shared" si="364"/>
        <v>1</v>
      </c>
      <c r="AL573" s="15">
        <f t="shared" si="365"/>
        <v>1</v>
      </c>
      <c r="AM573" s="15">
        <f t="shared" si="366"/>
        <v>1</v>
      </c>
      <c r="AN573" s="15">
        <f t="shared" si="367"/>
        <v>1</v>
      </c>
      <c r="AO573" s="15">
        <f t="shared" si="368"/>
        <v>1</v>
      </c>
      <c r="AP573" s="15">
        <f t="shared" si="369"/>
        <v>1</v>
      </c>
      <c r="AQ573" s="15">
        <f t="shared" si="370"/>
        <v>1</v>
      </c>
      <c r="AR573" s="15">
        <f t="shared" si="371"/>
        <v>1</v>
      </c>
      <c r="AS573" s="15">
        <f t="shared" si="372"/>
        <v>1</v>
      </c>
      <c r="AT573" s="15">
        <f t="shared" si="373"/>
        <v>1</v>
      </c>
      <c r="AU573" s="15">
        <f t="shared" si="374"/>
        <v>1</v>
      </c>
      <c r="AV573" s="15">
        <f t="shared" si="375"/>
        <v>1</v>
      </c>
      <c r="AW573" s="15">
        <f t="shared" si="376"/>
        <v>1</v>
      </c>
      <c r="AX573" s="15">
        <f t="shared" si="377"/>
        <v>1</v>
      </c>
      <c r="AY573" s="15">
        <f t="shared" si="378"/>
        <v>1</v>
      </c>
      <c r="AZ573" s="15">
        <f t="shared" si="379"/>
        <v>1</v>
      </c>
      <c r="BA573" s="15">
        <f t="shared" si="380"/>
        <v>1</v>
      </c>
      <c r="BB573" s="15">
        <f t="shared" si="348"/>
        <v>0</v>
      </c>
      <c r="BC573" s="15" t="str">
        <f t="shared" si="349"/>
        <v/>
      </c>
      <c r="BD573" s="15" t="str">
        <f t="shared" si="350"/>
        <v/>
      </c>
      <c r="BE573" s="11" t="e">
        <f t="shared" si="381"/>
        <v>#VALUE!</v>
      </c>
      <c r="BF573" s="11" t="e">
        <f t="shared" si="382"/>
        <v>#VALUE!</v>
      </c>
      <c r="BG573" s="11" t="e">
        <f t="shared" si="383"/>
        <v>#VALUE!</v>
      </c>
      <c r="BH573" t="str">
        <f t="shared" si="384"/>
        <v/>
      </c>
      <c r="BI573" t="str" cm="1">
        <f t="array" ref="BI573">_xlfn.IFS(
  L573&gt;0,"Critical Fail",
  M573&gt;0,"Important (Coaching)",
  TRUE,"Clean Pass"
)</f>
        <v>Clean Pass</v>
      </c>
      <c r="BJ573" t="str">
        <f t="shared" si="385"/>
        <v>NA</v>
      </c>
    </row>
    <row r="574" spans="1:62" x14ac:dyDescent="0.3">
      <c r="A574">
        <v>827754</v>
      </c>
      <c r="K574" t="str">
        <f t="shared" si="347"/>
        <v>Pass</v>
      </c>
      <c r="L574" s="15">
        <f t="shared" si="351"/>
        <v>0</v>
      </c>
      <c r="M574" s="15">
        <f t="shared" si="352"/>
        <v>0</v>
      </c>
      <c r="Z574" s="15">
        <f t="shared" si="353"/>
        <v>1</v>
      </c>
      <c r="AA574" s="15">
        <f t="shared" si="354"/>
        <v>1</v>
      </c>
      <c r="AB574" s="15">
        <f t="shared" si="355"/>
        <v>1</v>
      </c>
      <c r="AC574" s="15">
        <f t="shared" si="356"/>
        <v>1</v>
      </c>
      <c r="AD574" s="15">
        <f t="shared" si="357"/>
        <v>1</v>
      </c>
      <c r="AE574" s="15">
        <f t="shared" si="358"/>
        <v>1</v>
      </c>
      <c r="AF574" s="15">
        <f t="shared" si="359"/>
        <v>1</v>
      </c>
      <c r="AG574" s="15">
        <f t="shared" si="360"/>
        <v>1</v>
      </c>
      <c r="AH574" s="15">
        <f t="shared" si="361"/>
        <v>1</v>
      </c>
      <c r="AI574" s="15">
        <f t="shared" si="362"/>
        <v>1</v>
      </c>
      <c r="AJ574" s="15">
        <f t="shared" si="363"/>
        <v>1</v>
      </c>
      <c r="AK574" s="15">
        <f t="shared" si="364"/>
        <v>1</v>
      </c>
      <c r="AL574" s="15">
        <f t="shared" si="365"/>
        <v>1</v>
      </c>
      <c r="AM574" s="15">
        <f t="shared" si="366"/>
        <v>1</v>
      </c>
      <c r="AN574" s="15">
        <f t="shared" si="367"/>
        <v>1</v>
      </c>
      <c r="AO574" s="15">
        <f t="shared" si="368"/>
        <v>1</v>
      </c>
      <c r="AP574" s="15">
        <f t="shared" si="369"/>
        <v>1</v>
      </c>
      <c r="AQ574" s="15">
        <f t="shared" si="370"/>
        <v>1</v>
      </c>
      <c r="AR574" s="15">
        <f t="shared" si="371"/>
        <v>1</v>
      </c>
      <c r="AS574" s="15">
        <f t="shared" si="372"/>
        <v>1</v>
      </c>
      <c r="AT574" s="15">
        <f t="shared" si="373"/>
        <v>1</v>
      </c>
      <c r="AU574" s="15">
        <f t="shared" si="374"/>
        <v>1</v>
      </c>
      <c r="AV574" s="15">
        <f t="shared" si="375"/>
        <v>1</v>
      </c>
      <c r="AW574" s="15">
        <f t="shared" si="376"/>
        <v>1</v>
      </c>
      <c r="AX574" s="15">
        <f t="shared" si="377"/>
        <v>1</v>
      </c>
      <c r="AY574" s="15">
        <f t="shared" si="378"/>
        <v>1</v>
      </c>
      <c r="AZ574" s="15">
        <f t="shared" si="379"/>
        <v>1</v>
      </c>
      <c r="BA574" s="15">
        <f t="shared" si="380"/>
        <v>1</v>
      </c>
      <c r="BB574" s="15">
        <f t="shared" si="348"/>
        <v>0</v>
      </c>
      <c r="BC574" s="15" t="str">
        <f t="shared" si="349"/>
        <v/>
      </c>
      <c r="BD574" s="15" t="str">
        <f t="shared" si="350"/>
        <v/>
      </c>
      <c r="BE574" s="11" t="e">
        <f t="shared" si="381"/>
        <v>#VALUE!</v>
      </c>
      <c r="BF574" s="11" t="e">
        <f t="shared" si="382"/>
        <v>#VALUE!</v>
      </c>
      <c r="BG574" s="11" t="e">
        <f t="shared" si="383"/>
        <v>#VALUE!</v>
      </c>
      <c r="BH574" t="str">
        <f t="shared" si="384"/>
        <v/>
      </c>
      <c r="BI574" t="str" cm="1">
        <f t="array" ref="BI574">_xlfn.IFS(
  L574&gt;0,"Critical Fail",
  M574&gt;0,"Important (Coaching)",
  TRUE,"Clean Pass"
)</f>
        <v>Clean Pass</v>
      </c>
      <c r="BJ574" t="str">
        <f t="shared" si="385"/>
        <v>NA</v>
      </c>
    </row>
    <row r="575" spans="1:62" x14ac:dyDescent="0.3">
      <c r="A575">
        <v>501819</v>
      </c>
      <c r="K575" t="str">
        <f t="shared" si="347"/>
        <v>Pass</v>
      </c>
      <c r="L575" s="15">
        <f t="shared" si="351"/>
        <v>0</v>
      </c>
      <c r="M575" s="15">
        <f t="shared" si="352"/>
        <v>0</v>
      </c>
      <c r="Z575" s="15">
        <f t="shared" si="353"/>
        <v>1</v>
      </c>
      <c r="AA575" s="15">
        <f t="shared" si="354"/>
        <v>1</v>
      </c>
      <c r="AB575" s="15">
        <f t="shared" si="355"/>
        <v>1</v>
      </c>
      <c r="AC575" s="15">
        <f t="shared" si="356"/>
        <v>1</v>
      </c>
      <c r="AD575" s="15">
        <f t="shared" si="357"/>
        <v>1</v>
      </c>
      <c r="AE575" s="15">
        <f t="shared" si="358"/>
        <v>1</v>
      </c>
      <c r="AF575" s="15">
        <f t="shared" si="359"/>
        <v>1</v>
      </c>
      <c r="AG575" s="15">
        <f t="shared" si="360"/>
        <v>1</v>
      </c>
      <c r="AH575" s="15">
        <f t="shared" si="361"/>
        <v>1</v>
      </c>
      <c r="AI575" s="15">
        <f t="shared" si="362"/>
        <v>1</v>
      </c>
      <c r="AJ575" s="15">
        <f t="shared" si="363"/>
        <v>1</v>
      </c>
      <c r="AK575" s="15">
        <f t="shared" si="364"/>
        <v>1</v>
      </c>
      <c r="AL575" s="15">
        <f t="shared" si="365"/>
        <v>1</v>
      </c>
      <c r="AM575" s="15">
        <f t="shared" si="366"/>
        <v>1</v>
      </c>
      <c r="AN575" s="15">
        <f t="shared" si="367"/>
        <v>1</v>
      </c>
      <c r="AO575" s="15">
        <f t="shared" si="368"/>
        <v>1</v>
      </c>
      <c r="AP575" s="15">
        <f t="shared" si="369"/>
        <v>1</v>
      </c>
      <c r="AQ575" s="15">
        <f t="shared" si="370"/>
        <v>1</v>
      </c>
      <c r="AR575" s="15">
        <f t="shared" si="371"/>
        <v>1</v>
      </c>
      <c r="AS575" s="15">
        <f t="shared" si="372"/>
        <v>1</v>
      </c>
      <c r="AT575" s="15">
        <f t="shared" si="373"/>
        <v>1</v>
      </c>
      <c r="AU575" s="15">
        <f t="shared" si="374"/>
        <v>1</v>
      </c>
      <c r="AV575" s="15">
        <f t="shared" si="375"/>
        <v>1</v>
      </c>
      <c r="AW575" s="15">
        <f t="shared" si="376"/>
        <v>1</v>
      </c>
      <c r="AX575" s="15">
        <f t="shared" si="377"/>
        <v>1</v>
      </c>
      <c r="AY575" s="15">
        <f t="shared" si="378"/>
        <v>1</v>
      </c>
      <c r="AZ575" s="15">
        <f t="shared" si="379"/>
        <v>1</v>
      </c>
      <c r="BA575" s="15">
        <f t="shared" si="380"/>
        <v>1</v>
      </c>
      <c r="BB575" s="15">
        <f t="shared" si="348"/>
        <v>0</v>
      </c>
      <c r="BC575" s="15" t="str">
        <f t="shared" si="349"/>
        <v/>
      </c>
      <c r="BD575" s="15" t="str">
        <f t="shared" si="350"/>
        <v/>
      </c>
      <c r="BE575" s="11" t="e">
        <f t="shared" si="381"/>
        <v>#VALUE!</v>
      </c>
      <c r="BF575" s="11" t="e">
        <f t="shared" si="382"/>
        <v>#VALUE!</v>
      </c>
      <c r="BG575" s="11" t="e">
        <f t="shared" si="383"/>
        <v>#VALUE!</v>
      </c>
      <c r="BH575" t="str">
        <f t="shared" si="384"/>
        <v/>
      </c>
      <c r="BI575" t="str" cm="1">
        <f t="array" ref="BI575">_xlfn.IFS(
  L575&gt;0,"Critical Fail",
  M575&gt;0,"Important (Coaching)",
  TRUE,"Clean Pass"
)</f>
        <v>Clean Pass</v>
      </c>
      <c r="BJ575" t="str">
        <f t="shared" si="385"/>
        <v>NA</v>
      </c>
    </row>
    <row r="576" spans="1:62" x14ac:dyDescent="0.3">
      <c r="A576">
        <v>147648</v>
      </c>
      <c r="K576" t="str">
        <f t="shared" si="347"/>
        <v>Pass</v>
      </c>
      <c r="L576" s="15">
        <f t="shared" si="351"/>
        <v>0</v>
      </c>
      <c r="M576" s="15">
        <f t="shared" si="352"/>
        <v>0</v>
      </c>
      <c r="Z576" s="15">
        <f t="shared" si="353"/>
        <v>1</v>
      </c>
      <c r="AA576" s="15">
        <f t="shared" si="354"/>
        <v>1</v>
      </c>
      <c r="AB576" s="15">
        <f t="shared" si="355"/>
        <v>1</v>
      </c>
      <c r="AC576" s="15">
        <f t="shared" si="356"/>
        <v>1</v>
      </c>
      <c r="AD576" s="15">
        <f t="shared" si="357"/>
        <v>1</v>
      </c>
      <c r="AE576" s="15">
        <f t="shared" si="358"/>
        <v>1</v>
      </c>
      <c r="AF576" s="15">
        <f t="shared" si="359"/>
        <v>1</v>
      </c>
      <c r="AG576" s="15">
        <f t="shared" si="360"/>
        <v>1</v>
      </c>
      <c r="AH576" s="15">
        <f t="shared" si="361"/>
        <v>1</v>
      </c>
      <c r="AI576" s="15">
        <f t="shared" si="362"/>
        <v>1</v>
      </c>
      <c r="AJ576" s="15">
        <f t="shared" si="363"/>
        <v>1</v>
      </c>
      <c r="AK576" s="15">
        <f t="shared" si="364"/>
        <v>1</v>
      </c>
      <c r="AL576" s="15">
        <f t="shared" si="365"/>
        <v>1</v>
      </c>
      <c r="AM576" s="15">
        <f t="shared" si="366"/>
        <v>1</v>
      </c>
      <c r="AN576" s="15">
        <f t="shared" si="367"/>
        <v>1</v>
      </c>
      <c r="AO576" s="15">
        <f t="shared" si="368"/>
        <v>1</v>
      </c>
      <c r="AP576" s="15">
        <f t="shared" si="369"/>
        <v>1</v>
      </c>
      <c r="AQ576" s="15">
        <f t="shared" si="370"/>
        <v>1</v>
      </c>
      <c r="AR576" s="15">
        <f t="shared" si="371"/>
        <v>1</v>
      </c>
      <c r="AS576" s="15">
        <f t="shared" si="372"/>
        <v>1</v>
      </c>
      <c r="AT576" s="15">
        <f t="shared" si="373"/>
        <v>1</v>
      </c>
      <c r="AU576" s="15">
        <f t="shared" si="374"/>
        <v>1</v>
      </c>
      <c r="AV576" s="15">
        <f t="shared" si="375"/>
        <v>1</v>
      </c>
      <c r="AW576" s="15">
        <f t="shared" si="376"/>
        <v>1</v>
      </c>
      <c r="AX576" s="15">
        <f t="shared" si="377"/>
        <v>1</v>
      </c>
      <c r="AY576" s="15">
        <f t="shared" si="378"/>
        <v>1</v>
      </c>
      <c r="AZ576" s="15">
        <f t="shared" si="379"/>
        <v>1</v>
      </c>
      <c r="BA576" s="15">
        <f t="shared" si="380"/>
        <v>1</v>
      </c>
      <c r="BB576" s="15">
        <f t="shared" si="348"/>
        <v>0</v>
      </c>
      <c r="BC576" s="15" t="str">
        <f t="shared" si="349"/>
        <v/>
      </c>
      <c r="BD576" s="15" t="str">
        <f t="shared" si="350"/>
        <v/>
      </c>
      <c r="BE576" s="11" t="e">
        <f t="shared" si="381"/>
        <v>#VALUE!</v>
      </c>
      <c r="BF576" s="11" t="e">
        <f t="shared" si="382"/>
        <v>#VALUE!</v>
      </c>
      <c r="BG576" s="11" t="e">
        <f t="shared" si="383"/>
        <v>#VALUE!</v>
      </c>
      <c r="BH576" t="str">
        <f t="shared" si="384"/>
        <v/>
      </c>
      <c r="BI576" t="str" cm="1">
        <f t="array" ref="BI576">_xlfn.IFS(
  L576&gt;0,"Critical Fail",
  M576&gt;0,"Important (Coaching)",
  TRUE,"Clean Pass"
)</f>
        <v>Clean Pass</v>
      </c>
      <c r="BJ576" t="str">
        <f t="shared" si="385"/>
        <v>NA</v>
      </c>
    </row>
    <row r="577" spans="1:62" x14ac:dyDescent="0.3">
      <c r="A577">
        <v>406969</v>
      </c>
      <c r="K577" t="str">
        <f t="shared" si="347"/>
        <v>Pass</v>
      </c>
      <c r="L577" s="15">
        <f t="shared" si="351"/>
        <v>0</v>
      </c>
      <c r="M577" s="15">
        <f t="shared" si="352"/>
        <v>0</v>
      </c>
      <c r="Z577" s="15">
        <f t="shared" si="353"/>
        <v>1</v>
      </c>
      <c r="AA577" s="15">
        <f t="shared" si="354"/>
        <v>1</v>
      </c>
      <c r="AB577" s="15">
        <f t="shared" si="355"/>
        <v>1</v>
      </c>
      <c r="AC577" s="15">
        <f t="shared" si="356"/>
        <v>1</v>
      </c>
      <c r="AD577" s="15">
        <f t="shared" si="357"/>
        <v>1</v>
      </c>
      <c r="AE577" s="15">
        <f t="shared" si="358"/>
        <v>1</v>
      </c>
      <c r="AF577" s="15">
        <f t="shared" si="359"/>
        <v>1</v>
      </c>
      <c r="AG577" s="15">
        <f t="shared" si="360"/>
        <v>1</v>
      </c>
      <c r="AH577" s="15">
        <f t="shared" si="361"/>
        <v>1</v>
      </c>
      <c r="AI577" s="15">
        <f t="shared" si="362"/>
        <v>1</v>
      </c>
      <c r="AJ577" s="15">
        <f t="shared" si="363"/>
        <v>1</v>
      </c>
      <c r="AK577" s="15">
        <f t="shared" si="364"/>
        <v>1</v>
      </c>
      <c r="AL577" s="15">
        <f t="shared" si="365"/>
        <v>1</v>
      </c>
      <c r="AM577" s="15">
        <f t="shared" si="366"/>
        <v>1</v>
      </c>
      <c r="AN577" s="15">
        <f t="shared" si="367"/>
        <v>1</v>
      </c>
      <c r="AO577" s="15">
        <f t="shared" si="368"/>
        <v>1</v>
      </c>
      <c r="AP577" s="15">
        <f t="shared" si="369"/>
        <v>1</v>
      </c>
      <c r="AQ577" s="15">
        <f t="shared" si="370"/>
        <v>1</v>
      </c>
      <c r="AR577" s="15">
        <f t="shared" si="371"/>
        <v>1</v>
      </c>
      <c r="AS577" s="15">
        <f t="shared" si="372"/>
        <v>1</v>
      </c>
      <c r="AT577" s="15">
        <f t="shared" si="373"/>
        <v>1</v>
      </c>
      <c r="AU577" s="15">
        <f t="shared" si="374"/>
        <v>1</v>
      </c>
      <c r="AV577" s="15">
        <f t="shared" si="375"/>
        <v>1</v>
      </c>
      <c r="AW577" s="15">
        <f t="shared" si="376"/>
        <v>1</v>
      </c>
      <c r="AX577" s="15">
        <f t="shared" si="377"/>
        <v>1</v>
      </c>
      <c r="AY577" s="15">
        <f t="shared" si="378"/>
        <v>1</v>
      </c>
      <c r="AZ577" s="15">
        <f t="shared" si="379"/>
        <v>1</v>
      </c>
      <c r="BA577" s="15">
        <f t="shared" si="380"/>
        <v>1</v>
      </c>
      <c r="BB577" s="15">
        <f t="shared" si="348"/>
        <v>0</v>
      </c>
      <c r="BC577" s="15" t="str">
        <f t="shared" si="349"/>
        <v/>
      </c>
      <c r="BD577" s="15" t="str">
        <f t="shared" si="350"/>
        <v/>
      </c>
      <c r="BE577" s="11" t="e">
        <f t="shared" si="381"/>
        <v>#VALUE!</v>
      </c>
      <c r="BF577" s="11" t="e">
        <f t="shared" si="382"/>
        <v>#VALUE!</v>
      </c>
      <c r="BG577" s="11" t="e">
        <f t="shared" si="383"/>
        <v>#VALUE!</v>
      </c>
      <c r="BH577" t="str">
        <f t="shared" si="384"/>
        <v/>
      </c>
      <c r="BI577" t="str" cm="1">
        <f t="array" ref="BI577">_xlfn.IFS(
  L577&gt;0,"Critical Fail",
  M577&gt;0,"Important (Coaching)",
  TRUE,"Clean Pass"
)</f>
        <v>Clean Pass</v>
      </c>
      <c r="BJ577" t="str">
        <f t="shared" si="385"/>
        <v>NA</v>
      </c>
    </row>
    <row r="578" spans="1:62" x14ac:dyDescent="0.3">
      <c r="A578">
        <v>888643</v>
      </c>
      <c r="K578" t="str">
        <f t="shared" ref="K578:K641" si="386">IF(L578="","",IF(L578&gt;0,"Fail","Pass"))</f>
        <v>Pass</v>
      </c>
      <c r="L578" s="15">
        <f t="shared" si="351"/>
        <v>0</v>
      </c>
      <c r="M578" s="15">
        <f t="shared" si="352"/>
        <v>0</v>
      </c>
      <c r="Z578" s="15">
        <f t="shared" si="353"/>
        <v>1</v>
      </c>
      <c r="AA578" s="15">
        <f t="shared" si="354"/>
        <v>1</v>
      </c>
      <c r="AB578" s="15">
        <f t="shared" si="355"/>
        <v>1</v>
      </c>
      <c r="AC578" s="15">
        <f t="shared" si="356"/>
        <v>1</v>
      </c>
      <c r="AD578" s="15">
        <f t="shared" si="357"/>
        <v>1</v>
      </c>
      <c r="AE578" s="15">
        <f t="shared" si="358"/>
        <v>1</v>
      </c>
      <c r="AF578" s="15">
        <f t="shared" si="359"/>
        <v>1</v>
      </c>
      <c r="AG578" s="15">
        <f t="shared" si="360"/>
        <v>1</v>
      </c>
      <c r="AH578" s="15">
        <f t="shared" si="361"/>
        <v>1</v>
      </c>
      <c r="AI578" s="15">
        <f t="shared" si="362"/>
        <v>1</v>
      </c>
      <c r="AJ578" s="15">
        <f t="shared" si="363"/>
        <v>1</v>
      </c>
      <c r="AK578" s="15">
        <f t="shared" si="364"/>
        <v>1</v>
      </c>
      <c r="AL578" s="15">
        <f t="shared" si="365"/>
        <v>1</v>
      </c>
      <c r="AM578" s="15">
        <f t="shared" si="366"/>
        <v>1</v>
      </c>
      <c r="AN578" s="15">
        <f t="shared" si="367"/>
        <v>1</v>
      </c>
      <c r="AO578" s="15">
        <f t="shared" si="368"/>
        <v>1</v>
      </c>
      <c r="AP578" s="15">
        <f t="shared" si="369"/>
        <v>1</v>
      </c>
      <c r="AQ578" s="15">
        <f t="shared" si="370"/>
        <v>1</v>
      </c>
      <c r="AR578" s="15">
        <f t="shared" si="371"/>
        <v>1</v>
      </c>
      <c r="AS578" s="15">
        <f t="shared" si="372"/>
        <v>1</v>
      </c>
      <c r="AT578" s="15">
        <f t="shared" si="373"/>
        <v>1</v>
      </c>
      <c r="AU578" s="15">
        <f t="shared" si="374"/>
        <v>1</v>
      </c>
      <c r="AV578" s="15">
        <f t="shared" si="375"/>
        <v>1</v>
      </c>
      <c r="AW578" s="15">
        <f t="shared" si="376"/>
        <v>1</v>
      </c>
      <c r="AX578" s="15">
        <f t="shared" si="377"/>
        <v>1</v>
      </c>
      <c r="AY578" s="15">
        <f t="shared" si="378"/>
        <v>1</v>
      </c>
      <c r="AZ578" s="15">
        <f t="shared" si="379"/>
        <v>1</v>
      </c>
      <c r="BA578" s="15">
        <f t="shared" si="380"/>
        <v>1</v>
      </c>
      <c r="BB578" s="15">
        <f t="shared" ref="BB578:BB641" si="387">IF(L578&gt;0,1,0)</f>
        <v>0</v>
      </c>
      <c r="BC578" s="15" t="str">
        <f t="shared" ref="BC578:BC641" si="388">IF(G578="DV",9,IF(G578="AL",13,""))</f>
        <v/>
      </c>
      <c r="BD578" s="15" t="str">
        <f t="shared" ref="BD578:BD641" si="389">IF(G578="DV",3,IF(G578="AL",3,""))</f>
        <v/>
      </c>
      <c r="BE578" s="11" t="e">
        <f t="shared" si="381"/>
        <v>#VALUE!</v>
      </c>
      <c r="BF578" s="11" t="e">
        <f t="shared" si="382"/>
        <v>#VALUE!</v>
      </c>
      <c r="BG578" s="11" t="e">
        <f t="shared" si="383"/>
        <v>#VALUE!</v>
      </c>
      <c r="BH578" t="str">
        <f t="shared" si="384"/>
        <v/>
      </c>
      <c r="BI578" t="str" cm="1">
        <f t="array" ref="BI578">_xlfn.IFS(
  L578&gt;0,"Critical Fail",
  M578&gt;0,"Important (Coaching)",
  TRUE,"Clean Pass"
)</f>
        <v>Clean Pass</v>
      </c>
      <c r="BJ578" t="str">
        <f t="shared" si="385"/>
        <v>NA</v>
      </c>
    </row>
    <row r="579" spans="1:62" x14ac:dyDescent="0.3">
      <c r="A579">
        <v>849099</v>
      </c>
      <c r="K579" t="str">
        <f t="shared" si="386"/>
        <v>Pass</v>
      </c>
      <c r="L579" s="15">
        <f t="shared" si="351"/>
        <v>0</v>
      </c>
      <c r="M579" s="15">
        <f t="shared" si="352"/>
        <v>0</v>
      </c>
      <c r="Z579" s="15">
        <f t="shared" si="353"/>
        <v>1</v>
      </c>
      <c r="AA579" s="15">
        <f t="shared" si="354"/>
        <v>1</v>
      </c>
      <c r="AB579" s="15">
        <f t="shared" si="355"/>
        <v>1</v>
      </c>
      <c r="AC579" s="15">
        <f t="shared" si="356"/>
        <v>1</v>
      </c>
      <c r="AD579" s="15">
        <f t="shared" si="357"/>
        <v>1</v>
      </c>
      <c r="AE579" s="15">
        <f t="shared" si="358"/>
        <v>1</v>
      </c>
      <c r="AF579" s="15">
        <f t="shared" si="359"/>
        <v>1</v>
      </c>
      <c r="AG579" s="15">
        <f t="shared" si="360"/>
        <v>1</v>
      </c>
      <c r="AH579" s="15">
        <f t="shared" si="361"/>
        <v>1</v>
      </c>
      <c r="AI579" s="15">
        <f t="shared" si="362"/>
        <v>1</v>
      </c>
      <c r="AJ579" s="15">
        <f t="shared" si="363"/>
        <v>1</v>
      </c>
      <c r="AK579" s="15">
        <f t="shared" si="364"/>
        <v>1</v>
      </c>
      <c r="AL579" s="15">
        <f t="shared" si="365"/>
        <v>1</v>
      </c>
      <c r="AM579" s="15">
        <f t="shared" si="366"/>
        <v>1</v>
      </c>
      <c r="AN579" s="15">
        <f t="shared" si="367"/>
        <v>1</v>
      </c>
      <c r="AO579" s="15">
        <f t="shared" si="368"/>
        <v>1</v>
      </c>
      <c r="AP579" s="15">
        <f t="shared" si="369"/>
        <v>1</v>
      </c>
      <c r="AQ579" s="15">
        <f t="shared" si="370"/>
        <v>1</v>
      </c>
      <c r="AR579" s="15">
        <f t="shared" si="371"/>
        <v>1</v>
      </c>
      <c r="AS579" s="15">
        <f t="shared" si="372"/>
        <v>1</v>
      </c>
      <c r="AT579" s="15">
        <f t="shared" si="373"/>
        <v>1</v>
      </c>
      <c r="AU579" s="15">
        <f t="shared" si="374"/>
        <v>1</v>
      </c>
      <c r="AV579" s="15">
        <f t="shared" si="375"/>
        <v>1</v>
      </c>
      <c r="AW579" s="15">
        <f t="shared" si="376"/>
        <v>1</v>
      </c>
      <c r="AX579" s="15">
        <f t="shared" si="377"/>
        <v>1</v>
      </c>
      <c r="AY579" s="15">
        <f t="shared" si="378"/>
        <v>1</v>
      </c>
      <c r="AZ579" s="15">
        <f t="shared" si="379"/>
        <v>1</v>
      </c>
      <c r="BA579" s="15">
        <f t="shared" si="380"/>
        <v>1</v>
      </c>
      <c r="BB579" s="15">
        <f t="shared" si="387"/>
        <v>0</v>
      </c>
      <c r="BC579" s="15" t="str">
        <f t="shared" si="388"/>
        <v/>
      </c>
      <c r="BD579" s="15" t="str">
        <f t="shared" si="389"/>
        <v/>
      </c>
      <c r="BE579" s="11" t="e">
        <f t="shared" si="381"/>
        <v>#VALUE!</v>
      </c>
      <c r="BF579" s="11" t="e">
        <f t="shared" si="382"/>
        <v>#VALUE!</v>
      </c>
      <c r="BG579" s="11" t="e">
        <f t="shared" si="383"/>
        <v>#VALUE!</v>
      </c>
      <c r="BH579" t="str">
        <f t="shared" si="384"/>
        <v/>
      </c>
      <c r="BI579" t="str" cm="1">
        <f t="array" ref="BI579">_xlfn.IFS(
  L579&gt;0,"Critical Fail",
  M579&gt;0,"Important (Coaching)",
  TRUE,"Clean Pass"
)</f>
        <v>Clean Pass</v>
      </c>
      <c r="BJ579" t="str">
        <f t="shared" si="385"/>
        <v>NA</v>
      </c>
    </row>
    <row r="580" spans="1:62" x14ac:dyDescent="0.3">
      <c r="A580">
        <v>880764</v>
      </c>
      <c r="K580" t="str">
        <f t="shared" si="386"/>
        <v>Pass</v>
      </c>
      <c r="L580" s="15">
        <f t="shared" si="351"/>
        <v>0</v>
      </c>
      <c r="M580" s="15">
        <f t="shared" si="352"/>
        <v>0</v>
      </c>
      <c r="Z580" s="15">
        <f t="shared" si="353"/>
        <v>1</v>
      </c>
      <c r="AA580" s="15">
        <f t="shared" si="354"/>
        <v>1</v>
      </c>
      <c r="AB580" s="15">
        <f t="shared" si="355"/>
        <v>1</v>
      </c>
      <c r="AC580" s="15">
        <f t="shared" si="356"/>
        <v>1</v>
      </c>
      <c r="AD580" s="15">
        <f t="shared" si="357"/>
        <v>1</v>
      </c>
      <c r="AE580" s="15">
        <f t="shared" si="358"/>
        <v>1</v>
      </c>
      <c r="AF580" s="15">
        <f t="shared" si="359"/>
        <v>1</v>
      </c>
      <c r="AG580" s="15">
        <f t="shared" si="360"/>
        <v>1</v>
      </c>
      <c r="AH580" s="15">
        <f t="shared" si="361"/>
        <v>1</v>
      </c>
      <c r="AI580" s="15">
        <f t="shared" si="362"/>
        <v>1</v>
      </c>
      <c r="AJ580" s="15">
        <f t="shared" si="363"/>
        <v>1</v>
      </c>
      <c r="AK580" s="15">
        <f t="shared" si="364"/>
        <v>1</v>
      </c>
      <c r="AL580" s="15">
        <f t="shared" si="365"/>
        <v>1</v>
      </c>
      <c r="AM580" s="15">
        <f t="shared" si="366"/>
        <v>1</v>
      </c>
      <c r="AN580" s="15">
        <f t="shared" si="367"/>
        <v>1</v>
      </c>
      <c r="AO580" s="15">
        <f t="shared" si="368"/>
        <v>1</v>
      </c>
      <c r="AP580" s="15">
        <f t="shared" si="369"/>
        <v>1</v>
      </c>
      <c r="AQ580" s="15">
        <f t="shared" si="370"/>
        <v>1</v>
      </c>
      <c r="AR580" s="15">
        <f t="shared" si="371"/>
        <v>1</v>
      </c>
      <c r="AS580" s="15">
        <f t="shared" si="372"/>
        <v>1</v>
      </c>
      <c r="AT580" s="15">
        <f t="shared" si="373"/>
        <v>1</v>
      </c>
      <c r="AU580" s="15">
        <f t="shared" si="374"/>
        <v>1</v>
      </c>
      <c r="AV580" s="15">
        <f t="shared" si="375"/>
        <v>1</v>
      </c>
      <c r="AW580" s="15">
        <f t="shared" si="376"/>
        <v>1</v>
      </c>
      <c r="AX580" s="15">
        <f t="shared" si="377"/>
        <v>1</v>
      </c>
      <c r="AY580" s="15">
        <f t="shared" si="378"/>
        <v>1</v>
      </c>
      <c r="AZ580" s="15">
        <f t="shared" si="379"/>
        <v>1</v>
      </c>
      <c r="BA580" s="15">
        <f t="shared" si="380"/>
        <v>1</v>
      </c>
      <c r="BB580" s="15">
        <f t="shared" si="387"/>
        <v>0</v>
      </c>
      <c r="BC580" s="15" t="str">
        <f t="shared" si="388"/>
        <v/>
      </c>
      <c r="BD580" s="15" t="str">
        <f t="shared" si="389"/>
        <v/>
      </c>
      <c r="BE580" s="11" t="e">
        <f t="shared" si="381"/>
        <v>#VALUE!</v>
      </c>
      <c r="BF580" s="11" t="e">
        <f t="shared" si="382"/>
        <v>#VALUE!</v>
      </c>
      <c r="BG580" s="11" t="e">
        <f t="shared" si="383"/>
        <v>#VALUE!</v>
      </c>
      <c r="BH580" t="str">
        <f t="shared" si="384"/>
        <v/>
      </c>
      <c r="BI580" t="str" cm="1">
        <f t="array" ref="BI580">_xlfn.IFS(
  L580&gt;0,"Critical Fail",
  M580&gt;0,"Important (Coaching)",
  TRUE,"Clean Pass"
)</f>
        <v>Clean Pass</v>
      </c>
      <c r="BJ580" t="str">
        <f t="shared" si="385"/>
        <v>NA</v>
      </c>
    </row>
    <row r="581" spans="1:62" x14ac:dyDescent="0.3">
      <c r="A581">
        <v>790005</v>
      </c>
      <c r="K581" t="str">
        <f t="shared" si="386"/>
        <v>Pass</v>
      </c>
      <c r="L581" s="15">
        <f t="shared" si="351"/>
        <v>0</v>
      </c>
      <c r="M581" s="15">
        <f t="shared" si="352"/>
        <v>0</v>
      </c>
      <c r="Z581" s="15">
        <f t="shared" si="353"/>
        <v>1</v>
      </c>
      <c r="AA581" s="15">
        <f t="shared" si="354"/>
        <v>1</v>
      </c>
      <c r="AB581" s="15">
        <f t="shared" si="355"/>
        <v>1</v>
      </c>
      <c r="AC581" s="15">
        <f t="shared" si="356"/>
        <v>1</v>
      </c>
      <c r="AD581" s="15">
        <f t="shared" si="357"/>
        <v>1</v>
      </c>
      <c r="AE581" s="15">
        <f t="shared" si="358"/>
        <v>1</v>
      </c>
      <c r="AF581" s="15">
        <f t="shared" si="359"/>
        <v>1</v>
      </c>
      <c r="AG581" s="15">
        <f t="shared" si="360"/>
        <v>1</v>
      </c>
      <c r="AH581" s="15">
        <f t="shared" si="361"/>
        <v>1</v>
      </c>
      <c r="AI581" s="15">
        <f t="shared" si="362"/>
        <v>1</v>
      </c>
      <c r="AJ581" s="15">
        <f t="shared" si="363"/>
        <v>1</v>
      </c>
      <c r="AK581" s="15">
        <f t="shared" si="364"/>
        <v>1</v>
      </c>
      <c r="AL581" s="15">
        <f t="shared" si="365"/>
        <v>1</v>
      </c>
      <c r="AM581" s="15">
        <f t="shared" si="366"/>
        <v>1</v>
      </c>
      <c r="AN581" s="15">
        <f t="shared" si="367"/>
        <v>1</v>
      </c>
      <c r="AO581" s="15">
        <f t="shared" si="368"/>
        <v>1</v>
      </c>
      <c r="AP581" s="15">
        <f t="shared" si="369"/>
        <v>1</v>
      </c>
      <c r="AQ581" s="15">
        <f t="shared" si="370"/>
        <v>1</v>
      </c>
      <c r="AR581" s="15">
        <f t="shared" si="371"/>
        <v>1</v>
      </c>
      <c r="AS581" s="15">
        <f t="shared" si="372"/>
        <v>1</v>
      </c>
      <c r="AT581" s="15">
        <f t="shared" si="373"/>
        <v>1</v>
      </c>
      <c r="AU581" s="15">
        <f t="shared" si="374"/>
        <v>1</v>
      </c>
      <c r="AV581" s="15">
        <f t="shared" si="375"/>
        <v>1</v>
      </c>
      <c r="AW581" s="15">
        <f t="shared" si="376"/>
        <v>1</v>
      </c>
      <c r="AX581" s="15">
        <f t="shared" si="377"/>
        <v>1</v>
      </c>
      <c r="AY581" s="15">
        <f t="shared" si="378"/>
        <v>1</v>
      </c>
      <c r="AZ581" s="15">
        <f t="shared" si="379"/>
        <v>1</v>
      </c>
      <c r="BA581" s="15">
        <f t="shared" si="380"/>
        <v>1</v>
      </c>
      <c r="BB581" s="15">
        <f t="shared" si="387"/>
        <v>0</v>
      </c>
      <c r="BC581" s="15" t="str">
        <f t="shared" si="388"/>
        <v/>
      </c>
      <c r="BD581" s="15" t="str">
        <f t="shared" si="389"/>
        <v/>
      </c>
      <c r="BE581" s="11" t="e">
        <f t="shared" si="381"/>
        <v>#VALUE!</v>
      </c>
      <c r="BF581" s="11" t="e">
        <f t="shared" si="382"/>
        <v>#VALUE!</v>
      </c>
      <c r="BG581" s="11" t="e">
        <f t="shared" si="383"/>
        <v>#VALUE!</v>
      </c>
      <c r="BH581" t="str">
        <f t="shared" si="384"/>
        <v/>
      </c>
      <c r="BI581" t="str" cm="1">
        <f t="array" ref="BI581">_xlfn.IFS(
  L581&gt;0,"Critical Fail",
  M581&gt;0,"Important (Coaching)",
  TRUE,"Clean Pass"
)</f>
        <v>Clean Pass</v>
      </c>
      <c r="BJ581" t="str">
        <f t="shared" si="385"/>
        <v>NA</v>
      </c>
    </row>
    <row r="582" spans="1:62" x14ac:dyDescent="0.3">
      <c r="A582">
        <v>386203</v>
      </c>
      <c r="K582" t="str">
        <f t="shared" si="386"/>
        <v>Pass</v>
      </c>
      <c r="L582" s="15">
        <f t="shared" si="351"/>
        <v>0</v>
      </c>
      <c r="M582" s="15">
        <f t="shared" si="352"/>
        <v>0</v>
      </c>
      <c r="Z582" s="15">
        <f t="shared" si="353"/>
        <v>1</v>
      </c>
      <c r="AA582" s="15">
        <f t="shared" si="354"/>
        <v>1</v>
      </c>
      <c r="AB582" s="15">
        <f t="shared" si="355"/>
        <v>1</v>
      </c>
      <c r="AC582" s="15">
        <f t="shared" si="356"/>
        <v>1</v>
      </c>
      <c r="AD582" s="15">
        <f t="shared" si="357"/>
        <v>1</v>
      </c>
      <c r="AE582" s="15">
        <f t="shared" si="358"/>
        <v>1</v>
      </c>
      <c r="AF582" s="15">
        <f t="shared" si="359"/>
        <v>1</v>
      </c>
      <c r="AG582" s="15">
        <f t="shared" si="360"/>
        <v>1</v>
      </c>
      <c r="AH582" s="15">
        <f t="shared" si="361"/>
        <v>1</v>
      </c>
      <c r="AI582" s="15">
        <f t="shared" si="362"/>
        <v>1</v>
      </c>
      <c r="AJ582" s="15">
        <f t="shared" si="363"/>
        <v>1</v>
      </c>
      <c r="AK582" s="15">
        <f t="shared" si="364"/>
        <v>1</v>
      </c>
      <c r="AL582" s="15">
        <f t="shared" si="365"/>
        <v>1</v>
      </c>
      <c r="AM582" s="15">
        <f t="shared" si="366"/>
        <v>1</v>
      </c>
      <c r="AN582" s="15">
        <f t="shared" si="367"/>
        <v>1</v>
      </c>
      <c r="AO582" s="15">
        <f t="shared" si="368"/>
        <v>1</v>
      </c>
      <c r="AP582" s="15">
        <f t="shared" si="369"/>
        <v>1</v>
      </c>
      <c r="AQ582" s="15">
        <f t="shared" si="370"/>
        <v>1</v>
      </c>
      <c r="AR582" s="15">
        <f t="shared" si="371"/>
        <v>1</v>
      </c>
      <c r="AS582" s="15">
        <f t="shared" si="372"/>
        <v>1</v>
      </c>
      <c r="AT582" s="15">
        <f t="shared" si="373"/>
        <v>1</v>
      </c>
      <c r="AU582" s="15">
        <f t="shared" si="374"/>
        <v>1</v>
      </c>
      <c r="AV582" s="15">
        <f t="shared" si="375"/>
        <v>1</v>
      </c>
      <c r="AW582" s="15">
        <f t="shared" si="376"/>
        <v>1</v>
      </c>
      <c r="AX582" s="15">
        <f t="shared" si="377"/>
        <v>1</v>
      </c>
      <c r="AY582" s="15">
        <f t="shared" si="378"/>
        <v>1</v>
      </c>
      <c r="AZ582" s="15">
        <f t="shared" si="379"/>
        <v>1</v>
      </c>
      <c r="BA582" s="15">
        <f t="shared" si="380"/>
        <v>1</v>
      </c>
      <c r="BB582" s="15">
        <f t="shared" si="387"/>
        <v>0</v>
      </c>
      <c r="BC582" s="15" t="str">
        <f t="shared" si="388"/>
        <v/>
      </c>
      <c r="BD582" s="15" t="str">
        <f t="shared" si="389"/>
        <v/>
      </c>
      <c r="BE582" s="11" t="e">
        <f t="shared" si="381"/>
        <v>#VALUE!</v>
      </c>
      <c r="BF582" s="11" t="e">
        <f t="shared" si="382"/>
        <v>#VALUE!</v>
      </c>
      <c r="BG582" s="11" t="e">
        <f t="shared" si="383"/>
        <v>#VALUE!</v>
      </c>
      <c r="BH582" t="str">
        <f t="shared" si="384"/>
        <v/>
      </c>
      <c r="BI582" t="str" cm="1">
        <f t="array" ref="BI582">_xlfn.IFS(
  L582&gt;0,"Critical Fail",
  M582&gt;0,"Important (Coaching)",
  TRUE,"Clean Pass"
)</f>
        <v>Clean Pass</v>
      </c>
      <c r="BJ582" t="str">
        <f t="shared" si="385"/>
        <v>NA</v>
      </c>
    </row>
    <row r="583" spans="1:62" x14ac:dyDescent="0.3">
      <c r="A583">
        <v>955097</v>
      </c>
      <c r="K583" t="str">
        <f t="shared" si="386"/>
        <v>Pass</v>
      </c>
      <c r="L583" s="15">
        <f t="shared" si="351"/>
        <v>0</v>
      </c>
      <c r="M583" s="15">
        <f t="shared" si="352"/>
        <v>0</v>
      </c>
      <c r="Z583" s="15">
        <f t="shared" si="353"/>
        <v>1</v>
      </c>
      <c r="AA583" s="15">
        <f t="shared" si="354"/>
        <v>1</v>
      </c>
      <c r="AB583" s="15">
        <f t="shared" si="355"/>
        <v>1</v>
      </c>
      <c r="AC583" s="15">
        <f t="shared" si="356"/>
        <v>1</v>
      </c>
      <c r="AD583" s="15">
        <f t="shared" si="357"/>
        <v>1</v>
      </c>
      <c r="AE583" s="15">
        <f t="shared" si="358"/>
        <v>1</v>
      </c>
      <c r="AF583" s="15">
        <f t="shared" si="359"/>
        <v>1</v>
      </c>
      <c r="AG583" s="15">
        <f t="shared" si="360"/>
        <v>1</v>
      </c>
      <c r="AH583" s="15">
        <f t="shared" si="361"/>
        <v>1</v>
      </c>
      <c r="AI583" s="15">
        <f t="shared" si="362"/>
        <v>1</v>
      </c>
      <c r="AJ583" s="15">
        <f t="shared" si="363"/>
        <v>1</v>
      </c>
      <c r="AK583" s="15">
        <f t="shared" si="364"/>
        <v>1</v>
      </c>
      <c r="AL583" s="15">
        <f t="shared" si="365"/>
        <v>1</v>
      </c>
      <c r="AM583" s="15">
        <f t="shared" si="366"/>
        <v>1</v>
      </c>
      <c r="AN583" s="15">
        <f t="shared" si="367"/>
        <v>1</v>
      </c>
      <c r="AO583" s="15">
        <f t="shared" si="368"/>
        <v>1</v>
      </c>
      <c r="AP583" s="15">
        <f t="shared" si="369"/>
        <v>1</v>
      </c>
      <c r="AQ583" s="15">
        <f t="shared" si="370"/>
        <v>1</v>
      </c>
      <c r="AR583" s="15">
        <f t="shared" si="371"/>
        <v>1</v>
      </c>
      <c r="AS583" s="15">
        <f t="shared" si="372"/>
        <v>1</v>
      </c>
      <c r="AT583" s="15">
        <f t="shared" si="373"/>
        <v>1</v>
      </c>
      <c r="AU583" s="15">
        <f t="shared" si="374"/>
        <v>1</v>
      </c>
      <c r="AV583" s="15">
        <f t="shared" si="375"/>
        <v>1</v>
      </c>
      <c r="AW583" s="15">
        <f t="shared" si="376"/>
        <v>1</v>
      </c>
      <c r="AX583" s="15">
        <f t="shared" si="377"/>
        <v>1</v>
      </c>
      <c r="AY583" s="15">
        <f t="shared" si="378"/>
        <v>1</v>
      </c>
      <c r="AZ583" s="15">
        <f t="shared" si="379"/>
        <v>1</v>
      </c>
      <c r="BA583" s="15">
        <f t="shared" si="380"/>
        <v>1</v>
      </c>
      <c r="BB583" s="15">
        <f t="shared" si="387"/>
        <v>0</v>
      </c>
      <c r="BC583" s="15" t="str">
        <f t="shared" si="388"/>
        <v/>
      </c>
      <c r="BD583" s="15" t="str">
        <f t="shared" si="389"/>
        <v/>
      </c>
      <c r="BE583" s="11" t="e">
        <f t="shared" si="381"/>
        <v>#VALUE!</v>
      </c>
      <c r="BF583" s="11" t="e">
        <f t="shared" si="382"/>
        <v>#VALUE!</v>
      </c>
      <c r="BG583" s="11" t="e">
        <f t="shared" si="383"/>
        <v>#VALUE!</v>
      </c>
      <c r="BH583" t="str">
        <f t="shared" si="384"/>
        <v/>
      </c>
      <c r="BI583" t="str" cm="1">
        <f t="array" ref="BI583">_xlfn.IFS(
  L583&gt;0,"Critical Fail",
  M583&gt;0,"Important (Coaching)",
  TRUE,"Clean Pass"
)</f>
        <v>Clean Pass</v>
      </c>
      <c r="BJ583" t="str">
        <f t="shared" si="385"/>
        <v>NA</v>
      </c>
    </row>
    <row r="584" spans="1:62" x14ac:dyDescent="0.3">
      <c r="A584">
        <v>426299</v>
      </c>
      <c r="K584" t="str">
        <f t="shared" si="386"/>
        <v>Pass</v>
      </c>
      <c r="L584" s="15">
        <f t="shared" si="351"/>
        <v>0</v>
      </c>
      <c r="M584" s="15">
        <f t="shared" si="352"/>
        <v>0</v>
      </c>
      <c r="Z584" s="15">
        <f t="shared" si="353"/>
        <v>1</v>
      </c>
      <c r="AA584" s="15">
        <f t="shared" si="354"/>
        <v>1</v>
      </c>
      <c r="AB584" s="15">
        <f t="shared" si="355"/>
        <v>1</v>
      </c>
      <c r="AC584" s="15">
        <f t="shared" si="356"/>
        <v>1</v>
      </c>
      <c r="AD584" s="15">
        <f t="shared" si="357"/>
        <v>1</v>
      </c>
      <c r="AE584" s="15">
        <f t="shared" si="358"/>
        <v>1</v>
      </c>
      <c r="AF584" s="15">
        <f t="shared" si="359"/>
        <v>1</v>
      </c>
      <c r="AG584" s="15">
        <f t="shared" si="360"/>
        <v>1</v>
      </c>
      <c r="AH584" s="15">
        <f t="shared" si="361"/>
        <v>1</v>
      </c>
      <c r="AI584" s="15">
        <f t="shared" si="362"/>
        <v>1</v>
      </c>
      <c r="AJ584" s="15">
        <f t="shared" si="363"/>
        <v>1</v>
      </c>
      <c r="AK584" s="15">
        <f t="shared" si="364"/>
        <v>1</v>
      </c>
      <c r="AL584" s="15">
        <f t="shared" si="365"/>
        <v>1</v>
      </c>
      <c r="AM584" s="15">
        <f t="shared" si="366"/>
        <v>1</v>
      </c>
      <c r="AN584" s="15">
        <f t="shared" si="367"/>
        <v>1</v>
      </c>
      <c r="AO584" s="15">
        <f t="shared" si="368"/>
        <v>1</v>
      </c>
      <c r="AP584" s="15">
        <f t="shared" si="369"/>
        <v>1</v>
      </c>
      <c r="AQ584" s="15">
        <f t="shared" si="370"/>
        <v>1</v>
      </c>
      <c r="AR584" s="15">
        <f t="shared" si="371"/>
        <v>1</v>
      </c>
      <c r="AS584" s="15">
        <f t="shared" si="372"/>
        <v>1</v>
      </c>
      <c r="AT584" s="15">
        <f t="shared" si="373"/>
        <v>1</v>
      </c>
      <c r="AU584" s="15">
        <f t="shared" si="374"/>
        <v>1</v>
      </c>
      <c r="AV584" s="15">
        <f t="shared" si="375"/>
        <v>1</v>
      </c>
      <c r="AW584" s="15">
        <f t="shared" si="376"/>
        <v>1</v>
      </c>
      <c r="AX584" s="15">
        <f t="shared" si="377"/>
        <v>1</v>
      </c>
      <c r="AY584" s="15">
        <f t="shared" si="378"/>
        <v>1</v>
      </c>
      <c r="AZ584" s="15">
        <f t="shared" si="379"/>
        <v>1</v>
      </c>
      <c r="BA584" s="15">
        <f t="shared" si="380"/>
        <v>1</v>
      </c>
      <c r="BB584" s="15">
        <f t="shared" si="387"/>
        <v>0</v>
      </c>
      <c r="BC584" s="15" t="str">
        <f t="shared" si="388"/>
        <v/>
      </c>
      <c r="BD584" s="15" t="str">
        <f t="shared" si="389"/>
        <v/>
      </c>
      <c r="BE584" s="11" t="e">
        <f t="shared" si="381"/>
        <v>#VALUE!</v>
      </c>
      <c r="BF584" s="11" t="e">
        <f t="shared" si="382"/>
        <v>#VALUE!</v>
      </c>
      <c r="BG584" s="11" t="e">
        <f t="shared" si="383"/>
        <v>#VALUE!</v>
      </c>
      <c r="BH584" t="str">
        <f t="shared" si="384"/>
        <v/>
      </c>
      <c r="BI584" t="str" cm="1">
        <f t="array" ref="BI584">_xlfn.IFS(
  L584&gt;0,"Critical Fail",
  M584&gt;0,"Important (Coaching)",
  TRUE,"Clean Pass"
)</f>
        <v>Clean Pass</v>
      </c>
      <c r="BJ584" t="str">
        <f t="shared" si="385"/>
        <v>NA</v>
      </c>
    </row>
    <row r="585" spans="1:62" x14ac:dyDescent="0.3">
      <c r="A585">
        <v>267109</v>
      </c>
      <c r="K585" t="str">
        <f t="shared" si="386"/>
        <v>Pass</v>
      </c>
      <c r="L585" s="15">
        <f t="shared" si="351"/>
        <v>0</v>
      </c>
      <c r="M585" s="15">
        <f t="shared" si="352"/>
        <v>0</v>
      </c>
      <c r="Z585" s="15">
        <f t="shared" si="353"/>
        <v>1</v>
      </c>
      <c r="AA585" s="15">
        <f t="shared" si="354"/>
        <v>1</v>
      </c>
      <c r="AB585" s="15">
        <f t="shared" si="355"/>
        <v>1</v>
      </c>
      <c r="AC585" s="15">
        <f t="shared" si="356"/>
        <v>1</v>
      </c>
      <c r="AD585" s="15">
        <f t="shared" si="357"/>
        <v>1</v>
      </c>
      <c r="AE585" s="15">
        <f t="shared" si="358"/>
        <v>1</v>
      </c>
      <c r="AF585" s="15">
        <f t="shared" si="359"/>
        <v>1</v>
      </c>
      <c r="AG585" s="15">
        <f t="shared" si="360"/>
        <v>1</v>
      </c>
      <c r="AH585" s="15">
        <f t="shared" si="361"/>
        <v>1</v>
      </c>
      <c r="AI585" s="15">
        <f t="shared" si="362"/>
        <v>1</v>
      </c>
      <c r="AJ585" s="15">
        <f t="shared" si="363"/>
        <v>1</v>
      </c>
      <c r="AK585" s="15">
        <f t="shared" si="364"/>
        <v>1</v>
      </c>
      <c r="AL585" s="15">
        <f t="shared" si="365"/>
        <v>1</v>
      </c>
      <c r="AM585" s="15">
        <f t="shared" si="366"/>
        <v>1</v>
      </c>
      <c r="AN585" s="15">
        <f t="shared" si="367"/>
        <v>1</v>
      </c>
      <c r="AO585" s="15">
        <f t="shared" si="368"/>
        <v>1</v>
      </c>
      <c r="AP585" s="15">
        <f t="shared" si="369"/>
        <v>1</v>
      </c>
      <c r="AQ585" s="15">
        <f t="shared" si="370"/>
        <v>1</v>
      </c>
      <c r="AR585" s="15">
        <f t="shared" si="371"/>
        <v>1</v>
      </c>
      <c r="AS585" s="15">
        <f t="shared" si="372"/>
        <v>1</v>
      </c>
      <c r="AT585" s="15">
        <f t="shared" si="373"/>
        <v>1</v>
      </c>
      <c r="AU585" s="15">
        <f t="shared" si="374"/>
        <v>1</v>
      </c>
      <c r="AV585" s="15">
        <f t="shared" si="375"/>
        <v>1</v>
      </c>
      <c r="AW585" s="15">
        <f t="shared" si="376"/>
        <v>1</v>
      </c>
      <c r="AX585" s="15">
        <f t="shared" si="377"/>
        <v>1</v>
      </c>
      <c r="AY585" s="15">
        <f t="shared" si="378"/>
        <v>1</v>
      </c>
      <c r="AZ585" s="15">
        <f t="shared" si="379"/>
        <v>1</v>
      </c>
      <c r="BA585" s="15">
        <f t="shared" si="380"/>
        <v>1</v>
      </c>
      <c r="BB585" s="15">
        <f t="shared" si="387"/>
        <v>0</v>
      </c>
      <c r="BC585" s="15" t="str">
        <f t="shared" si="388"/>
        <v/>
      </c>
      <c r="BD585" s="15" t="str">
        <f t="shared" si="389"/>
        <v/>
      </c>
      <c r="BE585" s="11" t="e">
        <f t="shared" si="381"/>
        <v>#VALUE!</v>
      </c>
      <c r="BF585" s="11" t="e">
        <f t="shared" si="382"/>
        <v>#VALUE!</v>
      </c>
      <c r="BG585" s="11" t="e">
        <f t="shared" si="383"/>
        <v>#VALUE!</v>
      </c>
      <c r="BH585" t="str">
        <f t="shared" si="384"/>
        <v/>
      </c>
      <c r="BI585" t="str" cm="1">
        <f t="array" ref="BI585">_xlfn.IFS(
  L585&gt;0,"Critical Fail",
  M585&gt;0,"Important (Coaching)",
  TRUE,"Clean Pass"
)</f>
        <v>Clean Pass</v>
      </c>
      <c r="BJ585" t="str">
        <f t="shared" si="385"/>
        <v>NA</v>
      </c>
    </row>
    <row r="586" spans="1:62" x14ac:dyDescent="0.3">
      <c r="A586">
        <v>121437</v>
      </c>
      <c r="K586" t="str">
        <f t="shared" si="386"/>
        <v>Pass</v>
      </c>
      <c r="L586" s="15">
        <f t="shared" si="351"/>
        <v>0</v>
      </c>
      <c r="M586" s="15">
        <f t="shared" si="352"/>
        <v>0</v>
      </c>
      <c r="Z586" s="15">
        <f t="shared" si="353"/>
        <v>1</v>
      </c>
      <c r="AA586" s="15">
        <f t="shared" si="354"/>
        <v>1</v>
      </c>
      <c r="AB586" s="15">
        <f t="shared" si="355"/>
        <v>1</v>
      </c>
      <c r="AC586" s="15">
        <f t="shared" si="356"/>
        <v>1</v>
      </c>
      <c r="AD586" s="15">
        <f t="shared" si="357"/>
        <v>1</v>
      </c>
      <c r="AE586" s="15">
        <f t="shared" si="358"/>
        <v>1</v>
      </c>
      <c r="AF586" s="15">
        <f t="shared" si="359"/>
        <v>1</v>
      </c>
      <c r="AG586" s="15">
        <f t="shared" si="360"/>
        <v>1</v>
      </c>
      <c r="AH586" s="15">
        <f t="shared" si="361"/>
        <v>1</v>
      </c>
      <c r="AI586" s="15">
        <f t="shared" si="362"/>
        <v>1</v>
      </c>
      <c r="AJ586" s="15">
        <f t="shared" si="363"/>
        <v>1</v>
      </c>
      <c r="AK586" s="15">
        <f t="shared" si="364"/>
        <v>1</v>
      </c>
      <c r="AL586" s="15">
        <f t="shared" si="365"/>
        <v>1</v>
      </c>
      <c r="AM586" s="15">
        <f t="shared" si="366"/>
        <v>1</v>
      </c>
      <c r="AN586" s="15">
        <f t="shared" si="367"/>
        <v>1</v>
      </c>
      <c r="AO586" s="15">
        <f t="shared" si="368"/>
        <v>1</v>
      </c>
      <c r="AP586" s="15">
        <f t="shared" si="369"/>
        <v>1</v>
      </c>
      <c r="AQ586" s="15">
        <f t="shared" si="370"/>
        <v>1</v>
      </c>
      <c r="AR586" s="15">
        <f t="shared" si="371"/>
        <v>1</v>
      </c>
      <c r="AS586" s="15">
        <f t="shared" si="372"/>
        <v>1</v>
      </c>
      <c r="AT586" s="15">
        <f t="shared" si="373"/>
        <v>1</v>
      </c>
      <c r="AU586" s="15">
        <f t="shared" si="374"/>
        <v>1</v>
      </c>
      <c r="AV586" s="15">
        <f t="shared" si="375"/>
        <v>1</v>
      </c>
      <c r="AW586" s="15">
        <f t="shared" si="376"/>
        <v>1</v>
      </c>
      <c r="AX586" s="15">
        <f t="shared" si="377"/>
        <v>1</v>
      </c>
      <c r="AY586" s="15">
        <f t="shared" si="378"/>
        <v>1</v>
      </c>
      <c r="AZ586" s="15">
        <f t="shared" si="379"/>
        <v>1</v>
      </c>
      <c r="BA586" s="15">
        <f t="shared" si="380"/>
        <v>1</v>
      </c>
      <c r="BB586" s="15">
        <f t="shared" si="387"/>
        <v>0</v>
      </c>
      <c r="BC586" s="15" t="str">
        <f t="shared" si="388"/>
        <v/>
      </c>
      <c r="BD586" s="15" t="str">
        <f t="shared" si="389"/>
        <v/>
      </c>
      <c r="BE586" s="11" t="e">
        <f t="shared" si="381"/>
        <v>#VALUE!</v>
      </c>
      <c r="BF586" s="11" t="e">
        <f t="shared" si="382"/>
        <v>#VALUE!</v>
      </c>
      <c r="BG586" s="11" t="e">
        <f t="shared" si="383"/>
        <v>#VALUE!</v>
      </c>
      <c r="BH586" t="str">
        <f t="shared" si="384"/>
        <v/>
      </c>
      <c r="BI586" t="str" cm="1">
        <f t="array" ref="BI586">_xlfn.IFS(
  L586&gt;0,"Critical Fail",
  M586&gt;0,"Important (Coaching)",
  TRUE,"Clean Pass"
)</f>
        <v>Clean Pass</v>
      </c>
      <c r="BJ586" t="str">
        <f t="shared" si="385"/>
        <v>NA</v>
      </c>
    </row>
    <row r="587" spans="1:62" x14ac:dyDescent="0.3">
      <c r="A587">
        <v>364620</v>
      </c>
      <c r="K587" t="str">
        <f t="shared" si="386"/>
        <v>Pass</v>
      </c>
      <c r="L587" s="15">
        <f t="shared" si="351"/>
        <v>0</v>
      </c>
      <c r="M587" s="15">
        <f t="shared" si="352"/>
        <v>0</v>
      </c>
      <c r="Z587" s="15">
        <f t="shared" si="353"/>
        <v>1</v>
      </c>
      <c r="AA587" s="15">
        <f t="shared" si="354"/>
        <v>1</v>
      </c>
      <c r="AB587" s="15">
        <f t="shared" si="355"/>
        <v>1</v>
      </c>
      <c r="AC587" s="15">
        <f t="shared" si="356"/>
        <v>1</v>
      </c>
      <c r="AD587" s="15">
        <f t="shared" si="357"/>
        <v>1</v>
      </c>
      <c r="AE587" s="15">
        <f t="shared" si="358"/>
        <v>1</v>
      </c>
      <c r="AF587" s="15">
        <f t="shared" si="359"/>
        <v>1</v>
      </c>
      <c r="AG587" s="15">
        <f t="shared" si="360"/>
        <v>1</v>
      </c>
      <c r="AH587" s="15">
        <f t="shared" si="361"/>
        <v>1</v>
      </c>
      <c r="AI587" s="15">
        <f t="shared" si="362"/>
        <v>1</v>
      </c>
      <c r="AJ587" s="15">
        <f t="shared" si="363"/>
        <v>1</v>
      </c>
      <c r="AK587" s="15">
        <f t="shared" si="364"/>
        <v>1</v>
      </c>
      <c r="AL587" s="15">
        <f t="shared" si="365"/>
        <v>1</v>
      </c>
      <c r="AM587" s="15">
        <f t="shared" si="366"/>
        <v>1</v>
      </c>
      <c r="AN587" s="15">
        <f t="shared" si="367"/>
        <v>1</v>
      </c>
      <c r="AO587" s="15">
        <f t="shared" si="368"/>
        <v>1</v>
      </c>
      <c r="AP587" s="15">
        <f t="shared" si="369"/>
        <v>1</v>
      </c>
      <c r="AQ587" s="15">
        <f t="shared" si="370"/>
        <v>1</v>
      </c>
      <c r="AR587" s="15">
        <f t="shared" si="371"/>
        <v>1</v>
      </c>
      <c r="AS587" s="15">
        <f t="shared" si="372"/>
        <v>1</v>
      </c>
      <c r="AT587" s="15">
        <f t="shared" si="373"/>
        <v>1</v>
      </c>
      <c r="AU587" s="15">
        <f t="shared" si="374"/>
        <v>1</v>
      </c>
      <c r="AV587" s="15">
        <f t="shared" si="375"/>
        <v>1</v>
      </c>
      <c r="AW587" s="15">
        <f t="shared" si="376"/>
        <v>1</v>
      </c>
      <c r="AX587" s="15">
        <f t="shared" si="377"/>
        <v>1</v>
      </c>
      <c r="AY587" s="15">
        <f t="shared" si="378"/>
        <v>1</v>
      </c>
      <c r="AZ587" s="15">
        <f t="shared" si="379"/>
        <v>1</v>
      </c>
      <c r="BA587" s="15">
        <f t="shared" si="380"/>
        <v>1</v>
      </c>
      <c r="BB587" s="15">
        <f t="shared" si="387"/>
        <v>0</v>
      </c>
      <c r="BC587" s="15" t="str">
        <f t="shared" si="388"/>
        <v/>
      </c>
      <c r="BD587" s="15" t="str">
        <f t="shared" si="389"/>
        <v/>
      </c>
      <c r="BE587" s="11" t="e">
        <f t="shared" si="381"/>
        <v>#VALUE!</v>
      </c>
      <c r="BF587" s="11" t="e">
        <f t="shared" si="382"/>
        <v>#VALUE!</v>
      </c>
      <c r="BG587" s="11" t="e">
        <f t="shared" si="383"/>
        <v>#VALUE!</v>
      </c>
      <c r="BH587" t="str">
        <f t="shared" si="384"/>
        <v/>
      </c>
      <c r="BI587" t="str" cm="1">
        <f t="array" ref="BI587">_xlfn.IFS(
  L587&gt;0,"Critical Fail",
  M587&gt;0,"Important (Coaching)",
  TRUE,"Clean Pass"
)</f>
        <v>Clean Pass</v>
      </c>
      <c r="BJ587" t="str">
        <f t="shared" si="385"/>
        <v>NA</v>
      </c>
    </row>
    <row r="588" spans="1:62" x14ac:dyDescent="0.3">
      <c r="A588">
        <v>232919</v>
      </c>
      <c r="K588" t="str">
        <f t="shared" si="386"/>
        <v>Pass</v>
      </c>
      <c r="L588" s="15">
        <f t="shared" si="351"/>
        <v>0</v>
      </c>
      <c r="M588" s="15">
        <f t="shared" si="352"/>
        <v>0</v>
      </c>
      <c r="Z588" s="15">
        <f t="shared" si="353"/>
        <v>1</v>
      </c>
      <c r="AA588" s="15">
        <f t="shared" si="354"/>
        <v>1</v>
      </c>
      <c r="AB588" s="15">
        <f t="shared" si="355"/>
        <v>1</v>
      </c>
      <c r="AC588" s="15">
        <f t="shared" si="356"/>
        <v>1</v>
      </c>
      <c r="AD588" s="15">
        <f t="shared" si="357"/>
        <v>1</v>
      </c>
      <c r="AE588" s="15">
        <f t="shared" si="358"/>
        <v>1</v>
      </c>
      <c r="AF588" s="15">
        <f t="shared" si="359"/>
        <v>1</v>
      </c>
      <c r="AG588" s="15">
        <f t="shared" si="360"/>
        <v>1</v>
      </c>
      <c r="AH588" s="15">
        <f t="shared" si="361"/>
        <v>1</v>
      </c>
      <c r="AI588" s="15">
        <f t="shared" si="362"/>
        <v>1</v>
      </c>
      <c r="AJ588" s="15">
        <f t="shared" si="363"/>
        <v>1</v>
      </c>
      <c r="AK588" s="15">
        <f t="shared" si="364"/>
        <v>1</v>
      </c>
      <c r="AL588" s="15">
        <f t="shared" si="365"/>
        <v>1</v>
      </c>
      <c r="AM588" s="15">
        <f t="shared" si="366"/>
        <v>1</v>
      </c>
      <c r="AN588" s="15">
        <f t="shared" si="367"/>
        <v>1</v>
      </c>
      <c r="AO588" s="15">
        <f t="shared" si="368"/>
        <v>1</v>
      </c>
      <c r="AP588" s="15">
        <f t="shared" si="369"/>
        <v>1</v>
      </c>
      <c r="AQ588" s="15">
        <f t="shared" si="370"/>
        <v>1</v>
      </c>
      <c r="AR588" s="15">
        <f t="shared" si="371"/>
        <v>1</v>
      </c>
      <c r="AS588" s="15">
        <f t="shared" si="372"/>
        <v>1</v>
      </c>
      <c r="AT588" s="15">
        <f t="shared" si="373"/>
        <v>1</v>
      </c>
      <c r="AU588" s="15">
        <f t="shared" si="374"/>
        <v>1</v>
      </c>
      <c r="AV588" s="15">
        <f t="shared" si="375"/>
        <v>1</v>
      </c>
      <c r="AW588" s="15">
        <f t="shared" si="376"/>
        <v>1</v>
      </c>
      <c r="AX588" s="15">
        <f t="shared" si="377"/>
        <v>1</v>
      </c>
      <c r="AY588" s="15">
        <f t="shared" si="378"/>
        <v>1</v>
      </c>
      <c r="AZ588" s="15">
        <f t="shared" si="379"/>
        <v>1</v>
      </c>
      <c r="BA588" s="15">
        <f t="shared" si="380"/>
        <v>1</v>
      </c>
      <c r="BB588" s="15">
        <f t="shared" si="387"/>
        <v>0</v>
      </c>
      <c r="BC588" s="15" t="str">
        <f t="shared" si="388"/>
        <v/>
      </c>
      <c r="BD588" s="15" t="str">
        <f t="shared" si="389"/>
        <v/>
      </c>
      <c r="BE588" s="11" t="e">
        <f t="shared" si="381"/>
        <v>#VALUE!</v>
      </c>
      <c r="BF588" s="11" t="e">
        <f t="shared" si="382"/>
        <v>#VALUE!</v>
      </c>
      <c r="BG588" s="11" t="e">
        <f t="shared" si="383"/>
        <v>#VALUE!</v>
      </c>
      <c r="BH588" t="str">
        <f t="shared" si="384"/>
        <v/>
      </c>
      <c r="BI588" t="str" cm="1">
        <f t="array" ref="BI588">_xlfn.IFS(
  L588&gt;0,"Critical Fail",
  M588&gt;0,"Important (Coaching)",
  TRUE,"Clean Pass"
)</f>
        <v>Clean Pass</v>
      </c>
      <c r="BJ588" t="str">
        <f t="shared" si="385"/>
        <v>NA</v>
      </c>
    </row>
    <row r="589" spans="1:62" x14ac:dyDescent="0.3">
      <c r="A589">
        <v>398233</v>
      </c>
      <c r="K589" t="str">
        <f t="shared" si="386"/>
        <v>Pass</v>
      </c>
      <c r="L589" s="15">
        <f t="shared" si="351"/>
        <v>0</v>
      </c>
      <c r="M589" s="15">
        <f t="shared" si="352"/>
        <v>0</v>
      </c>
      <c r="Z589" s="15">
        <f t="shared" si="353"/>
        <v>1</v>
      </c>
      <c r="AA589" s="15">
        <f t="shared" si="354"/>
        <v>1</v>
      </c>
      <c r="AB589" s="15">
        <f t="shared" si="355"/>
        <v>1</v>
      </c>
      <c r="AC589" s="15">
        <f t="shared" si="356"/>
        <v>1</v>
      </c>
      <c r="AD589" s="15">
        <f t="shared" si="357"/>
        <v>1</v>
      </c>
      <c r="AE589" s="15">
        <f t="shared" si="358"/>
        <v>1</v>
      </c>
      <c r="AF589" s="15">
        <f t="shared" si="359"/>
        <v>1</v>
      </c>
      <c r="AG589" s="15">
        <f t="shared" si="360"/>
        <v>1</v>
      </c>
      <c r="AH589" s="15">
        <f t="shared" si="361"/>
        <v>1</v>
      </c>
      <c r="AI589" s="15">
        <f t="shared" si="362"/>
        <v>1</v>
      </c>
      <c r="AJ589" s="15">
        <f t="shared" si="363"/>
        <v>1</v>
      </c>
      <c r="AK589" s="15">
        <f t="shared" si="364"/>
        <v>1</v>
      </c>
      <c r="AL589" s="15">
        <f t="shared" si="365"/>
        <v>1</v>
      </c>
      <c r="AM589" s="15">
        <f t="shared" si="366"/>
        <v>1</v>
      </c>
      <c r="AN589" s="15">
        <f t="shared" si="367"/>
        <v>1</v>
      </c>
      <c r="AO589" s="15">
        <f t="shared" si="368"/>
        <v>1</v>
      </c>
      <c r="AP589" s="15">
        <f t="shared" si="369"/>
        <v>1</v>
      </c>
      <c r="AQ589" s="15">
        <f t="shared" si="370"/>
        <v>1</v>
      </c>
      <c r="AR589" s="15">
        <f t="shared" si="371"/>
        <v>1</v>
      </c>
      <c r="AS589" s="15">
        <f t="shared" si="372"/>
        <v>1</v>
      </c>
      <c r="AT589" s="15">
        <f t="shared" si="373"/>
        <v>1</v>
      </c>
      <c r="AU589" s="15">
        <f t="shared" si="374"/>
        <v>1</v>
      </c>
      <c r="AV589" s="15">
        <f t="shared" si="375"/>
        <v>1</v>
      </c>
      <c r="AW589" s="15">
        <f t="shared" si="376"/>
        <v>1</v>
      </c>
      <c r="AX589" s="15">
        <f t="shared" si="377"/>
        <v>1</v>
      </c>
      <c r="AY589" s="15">
        <f t="shared" si="378"/>
        <v>1</v>
      </c>
      <c r="AZ589" s="15">
        <f t="shared" si="379"/>
        <v>1</v>
      </c>
      <c r="BA589" s="15">
        <f t="shared" si="380"/>
        <v>1</v>
      </c>
      <c r="BB589" s="15">
        <f t="shared" si="387"/>
        <v>0</v>
      </c>
      <c r="BC589" s="15" t="str">
        <f t="shared" si="388"/>
        <v/>
      </c>
      <c r="BD589" s="15" t="str">
        <f t="shared" si="389"/>
        <v/>
      </c>
      <c r="BE589" s="11" t="e">
        <f t="shared" si="381"/>
        <v>#VALUE!</v>
      </c>
      <c r="BF589" s="11" t="e">
        <f t="shared" si="382"/>
        <v>#VALUE!</v>
      </c>
      <c r="BG589" s="11" t="e">
        <f t="shared" si="383"/>
        <v>#VALUE!</v>
      </c>
      <c r="BH589" t="str">
        <f t="shared" si="384"/>
        <v/>
      </c>
      <c r="BI589" t="str" cm="1">
        <f t="array" ref="BI589">_xlfn.IFS(
  L589&gt;0,"Critical Fail",
  M589&gt;0,"Important (Coaching)",
  TRUE,"Clean Pass"
)</f>
        <v>Clean Pass</v>
      </c>
      <c r="BJ589" t="str">
        <f t="shared" si="385"/>
        <v>NA</v>
      </c>
    </row>
    <row r="590" spans="1:62" x14ac:dyDescent="0.3">
      <c r="A590">
        <v>663947</v>
      </c>
      <c r="K590" t="str">
        <f t="shared" si="386"/>
        <v>Pass</v>
      </c>
      <c r="L590" s="15">
        <f t="shared" si="351"/>
        <v>0</v>
      </c>
      <c r="M590" s="15">
        <f t="shared" si="352"/>
        <v>0</v>
      </c>
      <c r="Z590" s="15">
        <f t="shared" si="353"/>
        <v>1</v>
      </c>
      <c r="AA590" s="15">
        <f t="shared" si="354"/>
        <v>1</v>
      </c>
      <c r="AB590" s="15">
        <f t="shared" si="355"/>
        <v>1</v>
      </c>
      <c r="AC590" s="15">
        <f t="shared" si="356"/>
        <v>1</v>
      </c>
      <c r="AD590" s="15">
        <f t="shared" si="357"/>
        <v>1</v>
      </c>
      <c r="AE590" s="15">
        <f t="shared" si="358"/>
        <v>1</v>
      </c>
      <c r="AF590" s="15">
        <f t="shared" si="359"/>
        <v>1</v>
      </c>
      <c r="AG590" s="15">
        <f t="shared" si="360"/>
        <v>1</v>
      </c>
      <c r="AH590" s="15">
        <f t="shared" si="361"/>
        <v>1</v>
      </c>
      <c r="AI590" s="15">
        <f t="shared" si="362"/>
        <v>1</v>
      </c>
      <c r="AJ590" s="15">
        <f t="shared" si="363"/>
        <v>1</v>
      </c>
      <c r="AK590" s="15">
        <f t="shared" si="364"/>
        <v>1</v>
      </c>
      <c r="AL590" s="15">
        <f t="shared" si="365"/>
        <v>1</v>
      </c>
      <c r="AM590" s="15">
        <f t="shared" si="366"/>
        <v>1</v>
      </c>
      <c r="AN590" s="15">
        <f t="shared" si="367"/>
        <v>1</v>
      </c>
      <c r="AO590" s="15">
        <f t="shared" si="368"/>
        <v>1</v>
      </c>
      <c r="AP590" s="15">
        <f t="shared" si="369"/>
        <v>1</v>
      </c>
      <c r="AQ590" s="15">
        <f t="shared" si="370"/>
        <v>1</v>
      </c>
      <c r="AR590" s="15">
        <f t="shared" si="371"/>
        <v>1</v>
      </c>
      <c r="AS590" s="15">
        <f t="shared" si="372"/>
        <v>1</v>
      </c>
      <c r="AT590" s="15">
        <f t="shared" si="373"/>
        <v>1</v>
      </c>
      <c r="AU590" s="15">
        <f t="shared" si="374"/>
        <v>1</v>
      </c>
      <c r="AV590" s="15">
        <f t="shared" si="375"/>
        <v>1</v>
      </c>
      <c r="AW590" s="15">
        <f t="shared" si="376"/>
        <v>1</v>
      </c>
      <c r="AX590" s="15">
        <f t="shared" si="377"/>
        <v>1</v>
      </c>
      <c r="AY590" s="15">
        <f t="shared" si="378"/>
        <v>1</v>
      </c>
      <c r="AZ590" s="15">
        <f t="shared" si="379"/>
        <v>1</v>
      </c>
      <c r="BA590" s="15">
        <f t="shared" si="380"/>
        <v>1</v>
      </c>
      <c r="BB590" s="15">
        <f t="shared" si="387"/>
        <v>0</v>
      </c>
      <c r="BC590" s="15" t="str">
        <f t="shared" si="388"/>
        <v/>
      </c>
      <c r="BD590" s="15" t="str">
        <f t="shared" si="389"/>
        <v/>
      </c>
      <c r="BE590" s="11" t="e">
        <f t="shared" si="381"/>
        <v>#VALUE!</v>
      </c>
      <c r="BF590" s="11" t="e">
        <f t="shared" si="382"/>
        <v>#VALUE!</v>
      </c>
      <c r="BG590" s="11" t="e">
        <f t="shared" si="383"/>
        <v>#VALUE!</v>
      </c>
      <c r="BH590" t="str">
        <f t="shared" si="384"/>
        <v/>
      </c>
      <c r="BI590" t="str" cm="1">
        <f t="array" ref="BI590">_xlfn.IFS(
  L590&gt;0,"Critical Fail",
  M590&gt;0,"Important (Coaching)",
  TRUE,"Clean Pass"
)</f>
        <v>Clean Pass</v>
      </c>
      <c r="BJ590" t="str">
        <f t="shared" si="385"/>
        <v>NA</v>
      </c>
    </row>
    <row r="591" spans="1:62" x14ac:dyDescent="0.3">
      <c r="A591">
        <v>348179</v>
      </c>
      <c r="K591" t="str">
        <f t="shared" si="386"/>
        <v>Pass</v>
      </c>
      <c r="L591" s="15">
        <f t="shared" si="351"/>
        <v>0</v>
      </c>
      <c r="M591" s="15">
        <f t="shared" si="352"/>
        <v>0</v>
      </c>
      <c r="Z591" s="15">
        <f t="shared" si="353"/>
        <v>1</v>
      </c>
      <c r="AA591" s="15">
        <f t="shared" si="354"/>
        <v>1</v>
      </c>
      <c r="AB591" s="15">
        <f t="shared" si="355"/>
        <v>1</v>
      </c>
      <c r="AC591" s="15">
        <f t="shared" si="356"/>
        <v>1</v>
      </c>
      <c r="AD591" s="15">
        <f t="shared" si="357"/>
        <v>1</v>
      </c>
      <c r="AE591" s="15">
        <f t="shared" si="358"/>
        <v>1</v>
      </c>
      <c r="AF591" s="15">
        <f t="shared" si="359"/>
        <v>1</v>
      </c>
      <c r="AG591" s="15">
        <f t="shared" si="360"/>
        <v>1</v>
      </c>
      <c r="AH591" s="15">
        <f t="shared" si="361"/>
        <v>1</v>
      </c>
      <c r="AI591" s="15">
        <f t="shared" si="362"/>
        <v>1</v>
      </c>
      <c r="AJ591" s="15">
        <f t="shared" si="363"/>
        <v>1</v>
      </c>
      <c r="AK591" s="15">
        <f t="shared" si="364"/>
        <v>1</v>
      </c>
      <c r="AL591" s="15">
        <f t="shared" si="365"/>
        <v>1</v>
      </c>
      <c r="AM591" s="15">
        <f t="shared" si="366"/>
        <v>1</v>
      </c>
      <c r="AN591" s="15">
        <f t="shared" si="367"/>
        <v>1</v>
      </c>
      <c r="AO591" s="15">
        <f t="shared" si="368"/>
        <v>1</v>
      </c>
      <c r="AP591" s="15">
        <f t="shared" si="369"/>
        <v>1</v>
      </c>
      <c r="AQ591" s="15">
        <f t="shared" si="370"/>
        <v>1</v>
      </c>
      <c r="AR591" s="15">
        <f t="shared" si="371"/>
        <v>1</v>
      </c>
      <c r="AS591" s="15">
        <f t="shared" si="372"/>
        <v>1</v>
      </c>
      <c r="AT591" s="15">
        <f t="shared" si="373"/>
        <v>1</v>
      </c>
      <c r="AU591" s="15">
        <f t="shared" si="374"/>
        <v>1</v>
      </c>
      <c r="AV591" s="15">
        <f t="shared" si="375"/>
        <v>1</v>
      </c>
      <c r="AW591" s="15">
        <f t="shared" si="376"/>
        <v>1</v>
      </c>
      <c r="AX591" s="15">
        <f t="shared" si="377"/>
        <v>1</v>
      </c>
      <c r="AY591" s="15">
        <f t="shared" si="378"/>
        <v>1</v>
      </c>
      <c r="AZ591" s="15">
        <f t="shared" si="379"/>
        <v>1</v>
      </c>
      <c r="BA591" s="15">
        <f t="shared" si="380"/>
        <v>1</v>
      </c>
      <c r="BB591" s="15">
        <f t="shared" si="387"/>
        <v>0</v>
      </c>
      <c r="BC591" s="15" t="str">
        <f t="shared" si="388"/>
        <v/>
      </c>
      <c r="BD591" s="15" t="str">
        <f t="shared" si="389"/>
        <v/>
      </c>
      <c r="BE591" s="11" t="e">
        <f t="shared" si="381"/>
        <v>#VALUE!</v>
      </c>
      <c r="BF591" s="11" t="e">
        <f t="shared" si="382"/>
        <v>#VALUE!</v>
      </c>
      <c r="BG591" s="11" t="e">
        <f t="shared" si="383"/>
        <v>#VALUE!</v>
      </c>
      <c r="BH591" t="str">
        <f t="shared" si="384"/>
        <v/>
      </c>
      <c r="BI591" t="str" cm="1">
        <f t="array" ref="BI591">_xlfn.IFS(
  L591&gt;0,"Critical Fail",
  M591&gt;0,"Important (Coaching)",
  TRUE,"Clean Pass"
)</f>
        <v>Clean Pass</v>
      </c>
      <c r="BJ591" t="str">
        <f t="shared" si="385"/>
        <v>NA</v>
      </c>
    </row>
    <row r="592" spans="1:62" x14ac:dyDescent="0.3">
      <c r="A592">
        <v>393132</v>
      </c>
      <c r="K592" t="str">
        <f t="shared" si="386"/>
        <v>Pass</v>
      </c>
      <c r="L592" s="15">
        <f t="shared" si="351"/>
        <v>0</v>
      </c>
      <c r="M592" s="15">
        <f t="shared" si="352"/>
        <v>0</v>
      </c>
      <c r="Z592" s="15">
        <f t="shared" si="353"/>
        <v>1</v>
      </c>
      <c r="AA592" s="15">
        <f t="shared" si="354"/>
        <v>1</v>
      </c>
      <c r="AB592" s="15">
        <f t="shared" si="355"/>
        <v>1</v>
      </c>
      <c r="AC592" s="15">
        <f t="shared" si="356"/>
        <v>1</v>
      </c>
      <c r="AD592" s="15">
        <f t="shared" si="357"/>
        <v>1</v>
      </c>
      <c r="AE592" s="15">
        <f t="shared" si="358"/>
        <v>1</v>
      </c>
      <c r="AF592" s="15">
        <f t="shared" si="359"/>
        <v>1</v>
      </c>
      <c r="AG592" s="15">
        <f t="shared" si="360"/>
        <v>1</v>
      </c>
      <c r="AH592" s="15">
        <f t="shared" si="361"/>
        <v>1</v>
      </c>
      <c r="AI592" s="15">
        <f t="shared" si="362"/>
        <v>1</v>
      </c>
      <c r="AJ592" s="15">
        <f t="shared" si="363"/>
        <v>1</v>
      </c>
      <c r="AK592" s="15">
        <f t="shared" si="364"/>
        <v>1</v>
      </c>
      <c r="AL592" s="15">
        <f t="shared" si="365"/>
        <v>1</v>
      </c>
      <c r="AM592" s="15">
        <f t="shared" si="366"/>
        <v>1</v>
      </c>
      <c r="AN592" s="15">
        <f t="shared" si="367"/>
        <v>1</v>
      </c>
      <c r="AO592" s="15">
        <f t="shared" si="368"/>
        <v>1</v>
      </c>
      <c r="AP592" s="15">
        <f t="shared" si="369"/>
        <v>1</v>
      </c>
      <c r="AQ592" s="15">
        <f t="shared" si="370"/>
        <v>1</v>
      </c>
      <c r="AR592" s="15">
        <f t="shared" si="371"/>
        <v>1</v>
      </c>
      <c r="AS592" s="15">
        <f t="shared" si="372"/>
        <v>1</v>
      </c>
      <c r="AT592" s="15">
        <f t="shared" si="373"/>
        <v>1</v>
      </c>
      <c r="AU592" s="15">
        <f t="shared" si="374"/>
        <v>1</v>
      </c>
      <c r="AV592" s="15">
        <f t="shared" si="375"/>
        <v>1</v>
      </c>
      <c r="AW592" s="15">
        <f t="shared" si="376"/>
        <v>1</v>
      </c>
      <c r="AX592" s="15">
        <f t="shared" si="377"/>
        <v>1</v>
      </c>
      <c r="AY592" s="15">
        <f t="shared" si="378"/>
        <v>1</v>
      </c>
      <c r="AZ592" s="15">
        <f t="shared" si="379"/>
        <v>1</v>
      </c>
      <c r="BA592" s="15">
        <f t="shared" si="380"/>
        <v>1</v>
      </c>
      <c r="BB592" s="15">
        <f t="shared" si="387"/>
        <v>0</v>
      </c>
      <c r="BC592" s="15" t="str">
        <f t="shared" si="388"/>
        <v/>
      </c>
      <c r="BD592" s="15" t="str">
        <f t="shared" si="389"/>
        <v/>
      </c>
      <c r="BE592" s="11" t="e">
        <f t="shared" si="381"/>
        <v>#VALUE!</v>
      </c>
      <c r="BF592" s="11" t="e">
        <f t="shared" si="382"/>
        <v>#VALUE!</v>
      </c>
      <c r="BG592" s="11" t="e">
        <f t="shared" si="383"/>
        <v>#VALUE!</v>
      </c>
      <c r="BH592" t="str">
        <f t="shared" si="384"/>
        <v/>
      </c>
      <c r="BI592" t="str" cm="1">
        <f t="array" ref="BI592">_xlfn.IFS(
  L592&gt;0,"Critical Fail",
  M592&gt;0,"Important (Coaching)",
  TRUE,"Clean Pass"
)</f>
        <v>Clean Pass</v>
      </c>
      <c r="BJ592" t="str">
        <f t="shared" si="385"/>
        <v>NA</v>
      </c>
    </row>
    <row r="593" spans="1:62" x14ac:dyDescent="0.3">
      <c r="A593">
        <v>631315</v>
      </c>
      <c r="K593" t="str">
        <f t="shared" si="386"/>
        <v>Pass</v>
      </c>
      <c r="L593" s="15">
        <f t="shared" si="351"/>
        <v>0</v>
      </c>
      <c r="M593" s="15">
        <f t="shared" si="352"/>
        <v>0</v>
      </c>
      <c r="Z593" s="15">
        <f t="shared" si="353"/>
        <v>1</v>
      </c>
      <c r="AA593" s="15">
        <f t="shared" si="354"/>
        <v>1</v>
      </c>
      <c r="AB593" s="15">
        <f t="shared" si="355"/>
        <v>1</v>
      </c>
      <c r="AC593" s="15">
        <f t="shared" si="356"/>
        <v>1</v>
      </c>
      <c r="AD593" s="15">
        <f t="shared" si="357"/>
        <v>1</v>
      </c>
      <c r="AE593" s="15">
        <f t="shared" si="358"/>
        <v>1</v>
      </c>
      <c r="AF593" s="15">
        <f t="shared" si="359"/>
        <v>1</v>
      </c>
      <c r="AG593" s="15">
        <f t="shared" si="360"/>
        <v>1</v>
      </c>
      <c r="AH593" s="15">
        <f t="shared" si="361"/>
        <v>1</v>
      </c>
      <c r="AI593" s="15">
        <f t="shared" si="362"/>
        <v>1</v>
      </c>
      <c r="AJ593" s="15">
        <f t="shared" si="363"/>
        <v>1</v>
      </c>
      <c r="AK593" s="15">
        <f t="shared" si="364"/>
        <v>1</v>
      </c>
      <c r="AL593" s="15">
        <f t="shared" si="365"/>
        <v>1</v>
      </c>
      <c r="AM593" s="15">
        <f t="shared" si="366"/>
        <v>1</v>
      </c>
      <c r="AN593" s="15">
        <f t="shared" si="367"/>
        <v>1</v>
      </c>
      <c r="AO593" s="15">
        <f t="shared" si="368"/>
        <v>1</v>
      </c>
      <c r="AP593" s="15">
        <f t="shared" si="369"/>
        <v>1</v>
      </c>
      <c r="AQ593" s="15">
        <f t="shared" si="370"/>
        <v>1</v>
      </c>
      <c r="AR593" s="15">
        <f t="shared" si="371"/>
        <v>1</v>
      </c>
      <c r="AS593" s="15">
        <f t="shared" si="372"/>
        <v>1</v>
      </c>
      <c r="AT593" s="15">
        <f t="shared" si="373"/>
        <v>1</v>
      </c>
      <c r="AU593" s="15">
        <f t="shared" si="374"/>
        <v>1</v>
      </c>
      <c r="AV593" s="15">
        <f t="shared" si="375"/>
        <v>1</v>
      </c>
      <c r="AW593" s="15">
        <f t="shared" si="376"/>
        <v>1</v>
      </c>
      <c r="AX593" s="15">
        <f t="shared" si="377"/>
        <v>1</v>
      </c>
      <c r="AY593" s="15">
        <f t="shared" si="378"/>
        <v>1</v>
      </c>
      <c r="AZ593" s="15">
        <f t="shared" si="379"/>
        <v>1</v>
      </c>
      <c r="BA593" s="15">
        <f t="shared" si="380"/>
        <v>1</v>
      </c>
      <c r="BB593" s="15">
        <f t="shared" si="387"/>
        <v>0</v>
      </c>
      <c r="BC593" s="15" t="str">
        <f t="shared" si="388"/>
        <v/>
      </c>
      <c r="BD593" s="15" t="str">
        <f t="shared" si="389"/>
        <v/>
      </c>
      <c r="BE593" s="11" t="e">
        <f t="shared" si="381"/>
        <v>#VALUE!</v>
      </c>
      <c r="BF593" s="11" t="e">
        <f t="shared" si="382"/>
        <v>#VALUE!</v>
      </c>
      <c r="BG593" s="11" t="e">
        <f t="shared" si="383"/>
        <v>#VALUE!</v>
      </c>
      <c r="BH593" t="str">
        <f t="shared" si="384"/>
        <v/>
      </c>
      <c r="BI593" t="str" cm="1">
        <f t="array" ref="BI593">_xlfn.IFS(
  L593&gt;0,"Critical Fail",
  M593&gt;0,"Important (Coaching)",
  TRUE,"Clean Pass"
)</f>
        <v>Clean Pass</v>
      </c>
      <c r="BJ593" t="str">
        <f t="shared" si="385"/>
        <v>NA</v>
      </c>
    </row>
    <row r="594" spans="1:62" x14ac:dyDescent="0.3">
      <c r="A594">
        <v>470245</v>
      </c>
      <c r="K594" t="str">
        <f t="shared" si="386"/>
        <v>Pass</v>
      </c>
      <c r="L594" s="15">
        <f t="shared" si="351"/>
        <v>0</v>
      </c>
      <c r="M594" s="15">
        <f t="shared" si="352"/>
        <v>0</v>
      </c>
      <c r="Z594" s="15">
        <f t="shared" si="353"/>
        <v>1</v>
      </c>
      <c r="AA594" s="15">
        <f t="shared" si="354"/>
        <v>1</v>
      </c>
      <c r="AB594" s="15">
        <f t="shared" si="355"/>
        <v>1</v>
      </c>
      <c r="AC594" s="15">
        <f t="shared" si="356"/>
        <v>1</v>
      </c>
      <c r="AD594" s="15">
        <f t="shared" si="357"/>
        <v>1</v>
      </c>
      <c r="AE594" s="15">
        <f t="shared" si="358"/>
        <v>1</v>
      </c>
      <c r="AF594" s="15">
        <f t="shared" si="359"/>
        <v>1</v>
      </c>
      <c r="AG594" s="15">
        <f t="shared" si="360"/>
        <v>1</v>
      </c>
      <c r="AH594" s="15">
        <f t="shared" si="361"/>
        <v>1</v>
      </c>
      <c r="AI594" s="15">
        <f t="shared" si="362"/>
        <v>1</v>
      </c>
      <c r="AJ594" s="15">
        <f t="shared" si="363"/>
        <v>1</v>
      </c>
      <c r="AK594" s="15">
        <f t="shared" si="364"/>
        <v>1</v>
      </c>
      <c r="AL594" s="15">
        <f t="shared" si="365"/>
        <v>1</v>
      </c>
      <c r="AM594" s="15">
        <f t="shared" si="366"/>
        <v>1</v>
      </c>
      <c r="AN594" s="15">
        <f t="shared" si="367"/>
        <v>1</v>
      </c>
      <c r="AO594" s="15">
        <f t="shared" si="368"/>
        <v>1</v>
      </c>
      <c r="AP594" s="15">
        <f t="shared" si="369"/>
        <v>1</v>
      </c>
      <c r="AQ594" s="15">
        <f t="shared" si="370"/>
        <v>1</v>
      </c>
      <c r="AR594" s="15">
        <f t="shared" si="371"/>
        <v>1</v>
      </c>
      <c r="AS594" s="15">
        <f t="shared" si="372"/>
        <v>1</v>
      </c>
      <c r="AT594" s="15">
        <f t="shared" si="373"/>
        <v>1</v>
      </c>
      <c r="AU594" s="15">
        <f t="shared" si="374"/>
        <v>1</v>
      </c>
      <c r="AV594" s="15">
        <f t="shared" si="375"/>
        <v>1</v>
      </c>
      <c r="AW594" s="15">
        <f t="shared" si="376"/>
        <v>1</v>
      </c>
      <c r="AX594" s="15">
        <f t="shared" si="377"/>
        <v>1</v>
      </c>
      <c r="AY594" s="15">
        <f t="shared" si="378"/>
        <v>1</v>
      </c>
      <c r="AZ594" s="15">
        <f t="shared" si="379"/>
        <v>1</v>
      </c>
      <c r="BA594" s="15">
        <f t="shared" si="380"/>
        <v>1</v>
      </c>
      <c r="BB594" s="15">
        <f t="shared" si="387"/>
        <v>0</v>
      </c>
      <c r="BC594" s="15" t="str">
        <f t="shared" si="388"/>
        <v/>
      </c>
      <c r="BD594" s="15" t="str">
        <f t="shared" si="389"/>
        <v/>
      </c>
      <c r="BE594" s="11" t="e">
        <f t="shared" si="381"/>
        <v>#VALUE!</v>
      </c>
      <c r="BF594" s="11" t="e">
        <f t="shared" si="382"/>
        <v>#VALUE!</v>
      </c>
      <c r="BG594" s="11" t="e">
        <f t="shared" si="383"/>
        <v>#VALUE!</v>
      </c>
      <c r="BH594" t="str">
        <f t="shared" si="384"/>
        <v/>
      </c>
      <c r="BI594" t="str" cm="1">
        <f t="array" ref="BI594">_xlfn.IFS(
  L594&gt;0,"Critical Fail",
  M594&gt;0,"Important (Coaching)",
  TRUE,"Clean Pass"
)</f>
        <v>Clean Pass</v>
      </c>
      <c r="BJ594" t="str">
        <f t="shared" si="385"/>
        <v>NA</v>
      </c>
    </row>
    <row r="595" spans="1:62" x14ac:dyDescent="0.3">
      <c r="A595">
        <v>435428</v>
      </c>
      <c r="K595" t="str">
        <f t="shared" si="386"/>
        <v>Pass</v>
      </c>
      <c r="L595" s="15">
        <f t="shared" si="351"/>
        <v>0</v>
      </c>
      <c r="M595" s="15">
        <f t="shared" si="352"/>
        <v>0</v>
      </c>
      <c r="Z595" s="15">
        <f t="shared" si="353"/>
        <v>1</v>
      </c>
      <c r="AA595" s="15">
        <f t="shared" si="354"/>
        <v>1</v>
      </c>
      <c r="AB595" s="15">
        <f t="shared" si="355"/>
        <v>1</v>
      </c>
      <c r="AC595" s="15">
        <f t="shared" si="356"/>
        <v>1</v>
      </c>
      <c r="AD595" s="15">
        <f t="shared" si="357"/>
        <v>1</v>
      </c>
      <c r="AE595" s="15">
        <f t="shared" si="358"/>
        <v>1</v>
      </c>
      <c r="AF595" s="15">
        <f t="shared" si="359"/>
        <v>1</v>
      </c>
      <c r="AG595" s="15">
        <f t="shared" si="360"/>
        <v>1</v>
      </c>
      <c r="AH595" s="15">
        <f t="shared" si="361"/>
        <v>1</v>
      </c>
      <c r="AI595" s="15">
        <f t="shared" si="362"/>
        <v>1</v>
      </c>
      <c r="AJ595" s="15">
        <f t="shared" si="363"/>
        <v>1</v>
      </c>
      <c r="AK595" s="15">
        <f t="shared" si="364"/>
        <v>1</v>
      </c>
      <c r="AL595" s="15">
        <f t="shared" si="365"/>
        <v>1</v>
      </c>
      <c r="AM595" s="15">
        <f t="shared" si="366"/>
        <v>1</v>
      </c>
      <c r="AN595" s="15">
        <f t="shared" si="367"/>
        <v>1</v>
      </c>
      <c r="AO595" s="15">
        <f t="shared" si="368"/>
        <v>1</v>
      </c>
      <c r="AP595" s="15">
        <f t="shared" si="369"/>
        <v>1</v>
      </c>
      <c r="AQ595" s="15">
        <f t="shared" si="370"/>
        <v>1</v>
      </c>
      <c r="AR595" s="15">
        <f t="shared" si="371"/>
        <v>1</v>
      </c>
      <c r="AS595" s="15">
        <f t="shared" si="372"/>
        <v>1</v>
      </c>
      <c r="AT595" s="15">
        <f t="shared" si="373"/>
        <v>1</v>
      </c>
      <c r="AU595" s="15">
        <f t="shared" si="374"/>
        <v>1</v>
      </c>
      <c r="AV595" s="15">
        <f t="shared" si="375"/>
        <v>1</v>
      </c>
      <c r="AW595" s="15">
        <f t="shared" si="376"/>
        <v>1</v>
      </c>
      <c r="AX595" s="15">
        <f t="shared" si="377"/>
        <v>1</v>
      </c>
      <c r="AY595" s="15">
        <f t="shared" si="378"/>
        <v>1</v>
      </c>
      <c r="AZ595" s="15">
        <f t="shared" si="379"/>
        <v>1</v>
      </c>
      <c r="BA595" s="15">
        <f t="shared" si="380"/>
        <v>1</v>
      </c>
      <c r="BB595" s="15">
        <f t="shared" si="387"/>
        <v>0</v>
      </c>
      <c r="BC595" s="15" t="str">
        <f t="shared" si="388"/>
        <v/>
      </c>
      <c r="BD595" s="15" t="str">
        <f t="shared" si="389"/>
        <v/>
      </c>
      <c r="BE595" s="11" t="e">
        <f t="shared" si="381"/>
        <v>#VALUE!</v>
      </c>
      <c r="BF595" s="11" t="e">
        <f t="shared" si="382"/>
        <v>#VALUE!</v>
      </c>
      <c r="BG595" s="11" t="e">
        <f t="shared" si="383"/>
        <v>#VALUE!</v>
      </c>
      <c r="BH595" t="str">
        <f t="shared" si="384"/>
        <v/>
      </c>
      <c r="BI595" t="str" cm="1">
        <f t="array" ref="BI595">_xlfn.IFS(
  L595&gt;0,"Critical Fail",
  M595&gt;0,"Important (Coaching)",
  TRUE,"Clean Pass"
)</f>
        <v>Clean Pass</v>
      </c>
      <c r="BJ595" t="str">
        <f t="shared" si="385"/>
        <v>NA</v>
      </c>
    </row>
    <row r="596" spans="1:62" x14ac:dyDescent="0.3">
      <c r="A596">
        <v>252523</v>
      </c>
      <c r="K596" t="str">
        <f t="shared" si="386"/>
        <v>Pass</v>
      </c>
      <c r="L596" s="15">
        <f t="shared" si="351"/>
        <v>0</v>
      </c>
      <c r="M596" s="15">
        <f t="shared" si="352"/>
        <v>0</v>
      </c>
      <c r="Z596" s="15">
        <f t="shared" si="353"/>
        <v>1</v>
      </c>
      <c r="AA596" s="15">
        <f t="shared" si="354"/>
        <v>1</v>
      </c>
      <c r="AB596" s="15">
        <f t="shared" si="355"/>
        <v>1</v>
      </c>
      <c r="AC596" s="15">
        <f t="shared" si="356"/>
        <v>1</v>
      </c>
      <c r="AD596" s="15">
        <f t="shared" si="357"/>
        <v>1</v>
      </c>
      <c r="AE596" s="15">
        <f t="shared" si="358"/>
        <v>1</v>
      </c>
      <c r="AF596" s="15">
        <f t="shared" si="359"/>
        <v>1</v>
      </c>
      <c r="AG596" s="15">
        <f t="shared" si="360"/>
        <v>1</v>
      </c>
      <c r="AH596" s="15">
        <f t="shared" si="361"/>
        <v>1</v>
      </c>
      <c r="AI596" s="15">
        <f t="shared" si="362"/>
        <v>1</v>
      </c>
      <c r="AJ596" s="15">
        <f t="shared" si="363"/>
        <v>1</v>
      </c>
      <c r="AK596" s="15">
        <f t="shared" si="364"/>
        <v>1</v>
      </c>
      <c r="AL596" s="15">
        <f t="shared" si="365"/>
        <v>1</v>
      </c>
      <c r="AM596" s="15">
        <f t="shared" si="366"/>
        <v>1</v>
      </c>
      <c r="AN596" s="15">
        <f t="shared" si="367"/>
        <v>1</v>
      </c>
      <c r="AO596" s="15">
        <f t="shared" si="368"/>
        <v>1</v>
      </c>
      <c r="AP596" s="15">
        <f t="shared" si="369"/>
        <v>1</v>
      </c>
      <c r="AQ596" s="15">
        <f t="shared" si="370"/>
        <v>1</v>
      </c>
      <c r="AR596" s="15">
        <f t="shared" si="371"/>
        <v>1</v>
      </c>
      <c r="AS596" s="15">
        <f t="shared" si="372"/>
        <v>1</v>
      </c>
      <c r="AT596" s="15">
        <f t="shared" si="373"/>
        <v>1</v>
      </c>
      <c r="AU596" s="15">
        <f t="shared" si="374"/>
        <v>1</v>
      </c>
      <c r="AV596" s="15">
        <f t="shared" si="375"/>
        <v>1</v>
      </c>
      <c r="AW596" s="15">
        <f t="shared" si="376"/>
        <v>1</v>
      </c>
      <c r="AX596" s="15">
        <f t="shared" si="377"/>
        <v>1</v>
      </c>
      <c r="AY596" s="15">
        <f t="shared" si="378"/>
        <v>1</v>
      </c>
      <c r="AZ596" s="15">
        <f t="shared" si="379"/>
        <v>1</v>
      </c>
      <c r="BA596" s="15">
        <f t="shared" si="380"/>
        <v>1</v>
      </c>
      <c r="BB596" s="15">
        <f t="shared" si="387"/>
        <v>0</v>
      </c>
      <c r="BC596" s="15" t="str">
        <f t="shared" si="388"/>
        <v/>
      </c>
      <c r="BD596" s="15" t="str">
        <f t="shared" si="389"/>
        <v/>
      </c>
      <c r="BE596" s="11" t="e">
        <f t="shared" si="381"/>
        <v>#VALUE!</v>
      </c>
      <c r="BF596" s="11" t="e">
        <f t="shared" si="382"/>
        <v>#VALUE!</v>
      </c>
      <c r="BG596" s="11" t="e">
        <f t="shared" si="383"/>
        <v>#VALUE!</v>
      </c>
      <c r="BH596" t="str">
        <f t="shared" si="384"/>
        <v/>
      </c>
      <c r="BI596" t="str" cm="1">
        <f t="array" ref="BI596">_xlfn.IFS(
  L596&gt;0,"Critical Fail",
  M596&gt;0,"Important (Coaching)",
  TRUE,"Clean Pass"
)</f>
        <v>Clean Pass</v>
      </c>
      <c r="BJ596" t="str">
        <f t="shared" si="385"/>
        <v>NA</v>
      </c>
    </row>
    <row r="597" spans="1:62" x14ac:dyDescent="0.3">
      <c r="A597">
        <v>316476</v>
      </c>
      <c r="K597" t="str">
        <f t="shared" si="386"/>
        <v>Pass</v>
      </c>
      <c r="L597" s="15">
        <f t="shared" si="351"/>
        <v>0</v>
      </c>
      <c r="M597" s="15">
        <f t="shared" si="352"/>
        <v>0</v>
      </c>
      <c r="Z597" s="15">
        <f t="shared" si="353"/>
        <v>1</v>
      </c>
      <c r="AA597" s="15">
        <f t="shared" si="354"/>
        <v>1</v>
      </c>
      <c r="AB597" s="15">
        <f t="shared" si="355"/>
        <v>1</v>
      </c>
      <c r="AC597" s="15">
        <f t="shared" si="356"/>
        <v>1</v>
      </c>
      <c r="AD597" s="15">
        <f t="shared" si="357"/>
        <v>1</v>
      </c>
      <c r="AE597" s="15">
        <f t="shared" si="358"/>
        <v>1</v>
      </c>
      <c r="AF597" s="15">
        <f t="shared" si="359"/>
        <v>1</v>
      </c>
      <c r="AG597" s="15">
        <f t="shared" si="360"/>
        <v>1</v>
      </c>
      <c r="AH597" s="15">
        <f t="shared" si="361"/>
        <v>1</v>
      </c>
      <c r="AI597" s="15">
        <f t="shared" si="362"/>
        <v>1</v>
      </c>
      <c r="AJ597" s="15">
        <f t="shared" si="363"/>
        <v>1</v>
      </c>
      <c r="AK597" s="15">
        <f t="shared" si="364"/>
        <v>1</v>
      </c>
      <c r="AL597" s="15">
        <f t="shared" si="365"/>
        <v>1</v>
      </c>
      <c r="AM597" s="15">
        <f t="shared" si="366"/>
        <v>1</v>
      </c>
      <c r="AN597" s="15">
        <f t="shared" si="367"/>
        <v>1</v>
      </c>
      <c r="AO597" s="15">
        <f t="shared" si="368"/>
        <v>1</v>
      </c>
      <c r="AP597" s="15">
        <f t="shared" si="369"/>
        <v>1</v>
      </c>
      <c r="AQ597" s="15">
        <f t="shared" si="370"/>
        <v>1</v>
      </c>
      <c r="AR597" s="15">
        <f t="shared" si="371"/>
        <v>1</v>
      </c>
      <c r="AS597" s="15">
        <f t="shared" si="372"/>
        <v>1</v>
      </c>
      <c r="AT597" s="15">
        <f t="shared" si="373"/>
        <v>1</v>
      </c>
      <c r="AU597" s="15">
        <f t="shared" si="374"/>
        <v>1</v>
      </c>
      <c r="AV597" s="15">
        <f t="shared" si="375"/>
        <v>1</v>
      </c>
      <c r="AW597" s="15">
        <f t="shared" si="376"/>
        <v>1</v>
      </c>
      <c r="AX597" s="15">
        <f t="shared" si="377"/>
        <v>1</v>
      </c>
      <c r="AY597" s="15">
        <f t="shared" si="378"/>
        <v>1</v>
      </c>
      <c r="AZ597" s="15">
        <f t="shared" si="379"/>
        <v>1</v>
      </c>
      <c r="BA597" s="15">
        <f t="shared" si="380"/>
        <v>1</v>
      </c>
      <c r="BB597" s="15">
        <f t="shared" si="387"/>
        <v>0</v>
      </c>
      <c r="BC597" s="15" t="str">
        <f t="shared" si="388"/>
        <v/>
      </c>
      <c r="BD597" s="15" t="str">
        <f t="shared" si="389"/>
        <v/>
      </c>
      <c r="BE597" s="11" t="e">
        <f t="shared" si="381"/>
        <v>#VALUE!</v>
      </c>
      <c r="BF597" s="11" t="e">
        <f t="shared" si="382"/>
        <v>#VALUE!</v>
      </c>
      <c r="BG597" s="11" t="e">
        <f t="shared" si="383"/>
        <v>#VALUE!</v>
      </c>
      <c r="BH597" t="str">
        <f t="shared" si="384"/>
        <v/>
      </c>
      <c r="BI597" t="str" cm="1">
        <f t="array" ref="BI597">_xlfn.IFS(
  L597&gt;0,"Critical Fail",
  M597&gt;0,"Important (Coaching)",
  TRUE,"Clean Pass"
)</f>
        <v>Clean Pass</v>
      </c>
      <c r="BJ597" t="str">
        <f t="shared" si="385"/>
        <v>NA</v>
      </c>
    </row>
    <row r="598" spans="1:62" x14ac:dyDescent="0.3">
      <c r="A598">
        <v>472748</v>
      </c>
      <c r="K598" t="str">
        <f t="shared" si="386"/>
        <v>Pass</v>
      </c>
      <c r="L598" s="15">
        <f t="shared" si="351"/>
        <v>0</v>
      </c>
      <c r="M598" s="15">
        <f t="shared" si="352"/>
        <v>0</v>
      </c>
      <c r="Z598" s="15">
        <f t="shared" si="353"/>
        <v>1</v>
      </c>
      <c r="AA598" s="15">
        <f t="shared" si="354"/>
        <v>1</v>
      </c>
      <c r="AB598" s="15">
        <f t="shared" si="355"/>
        <v>1</v>
      </c>
      <c r="AC598" s="15">
        <f t="shared" si="356"/>
        <v>1</v>
      </c>
      <c r="AD598" s="15">
        <f t="shared" si="357"/>
        <v>1</v>
      </c>
      <c r="AE598" s="15">
        <f t="shared" si="358"/>
        <v>1</v>
      </c>
      <c r="AF598" s="15">
        <f t="shared" si="359"/>
        <v>1</v>
      </c>
      <c r="AG598" s="15">
        <f t="shared" si="360"/>
        <v>1</v>
      </c>
      <c r="AH598" s="15">
        <f t="shared" si="361"/>
        <v>1</v>
      </c>
      <c r="AI598" s="15">
        <f t="shared" si="362"/>
        <v>1</v>
      </c>
      <c r="AJ598" s="15">
        <f t="shared" si="363"/>
        <v>1</v>
      </c>
      <c r="AK598" s="15">
        <f t="shared" si="364"/>
        <v>1</v>
      </c>
      <c r="AL598" s="15">
        <f t="shared" si="365"/>
        <v>1</v>
      </c>
      <c r="AM598" s="15">
        <f t="shared" si="366"/>
        <v>1</v>
      </c>
      <c r="AN598" s="15">
        <f t="shared" si="367"/>
        <v>1</v>
      </c>
      <c r="AO598" s="15">
        <f t="shared" si="368"/>
        <v>1</v>
      </c>
      <c r="AP598" s="15">
        <f t="shared" si="369"/>
        <v>1</v>
      </c>
      <c r="AQ598" s="15">
        <f t="shared" si="370"/>
        <v>1</v>
      </c>
      <c r="AR598" s="15">
        <f t="shared" si="371"/>
        <v>1</v>
      </c>
      <c r="AS598" s="15">
        <f t="shared" si="372"/>
        <v>1</v>
      </c>
      <c r="AT598" s="15">
        <f t="shared" si="373"/>
        <v>1</v>
      </c>
      <c r="AU598" s="15">
        <f t="shared" si="374"/>
        <v>1</v>
      </c>
      <c r="AV598" s="15">
        <f t="shared" si="375"/>
        <v>1</v>
      </c>
      <c r="AW598" s="15">
        <f t="shared" si="376"/>
        <v>1</v>
      </c>
      <c r="AX598" s="15">
        <f t="shared" si="377"/>
        <v>1</v>
      </c>
      <c r="AY598" s="15">
        <f t="shared" si="378"/>
        <v>1</v>
      </c>
      <c r="AZ598" s="15">
        <f t="shared" si="379"/>
        <v>1</v>
      </c>
      <c r="BA598" s="15">
        <f t="shared" si="380"/>
        <v>1</v>
      </c>
      <c r="BB598" s="15">
        <f t="shared" si="387"/>
        <v>0</v>
      </c>
      <c r="BC598" s="15" t="str">
        <f t="shared" si="388"/>
        <v/>
      </c>
      <c r="BD598" s="15" t="str">
        <f t="shared" si="389"/>
        <v/>
      </c>
      <c r="BE598" s="11" t="e">
        <f t="shared" si="381"/>
        <v>#VALUE!</v>
      </c>
      <c r="BF598" s="11" t="e">
        <f t="shared" si="382"/>
        <v>#VALUE!</v>
      </c>
      <c r="BG598" s="11" t="e">
        <f t="shared" si="383"/>
        <v>#VALUE!</v>
      </c>
      <c r="BH598" t="str">
        <f t="shared" si="384"/>
        <v/>
      </c>
      <c r="BI598" t="str" cm="1">
        <f t="array" ref="BI598">_xlfn.IFS(
  L598&gt;0,"Critical Fail",
  M598&gt;0,"Important (Coaching)",
  TRUE,"Clean Pass"
)</f>
        <v>Clean Pass</v>
      </c>
      <c r="BJ598" t="str">
        <f t="shared" si="385"/>
        <v>NA</v>
      </c>
    </row>
    <row r="599" spans="1:62" x14ac:dyDescent="0.3">
      <c r="A599">
        <v>564785</v>
      </c>
      <c r="K599" t="str">
        <f t="shared" si="386"/>
        <v>Pass</v>
      </c>
      <c r="L599" s="15">
        <f t="shared" si="351"/>
        <v>0</v>
      </c>
      <c r="M599" s="15">
        <f t="shared" si="352"/>
        <v>0</v>
      </c>
      <c r="Z599" s="15">
        <f t="shared" si="353"/>
        <v>1</v>
      </c>
      <c r="AA599" s="15">
        <f t="shared" si="354"/>
        <v>1</v>
      </c>
      <c r="AB599" s="15">
        <f t="shared" si="355"/>
        <v>1</v>
      </c>
      <c r="AC599" s="15">
        <f t="shared" si="356"/>
        <v>1</v>
      </c>
      <c r="AD599" s="15">
        <f t="shared" si="357"/>
        <v>1</v>
      </c>
      <c r="AE599" s="15">
        <f t="shared" si="358"/>
        <v>1</v>
      </c>
      <c r="AF599" s="15">
        <f t="shared" si="359"/>
        <v>1</v>
      </c>
      <c r="AG599" s="15">
        <f t="shared" si="360"/>
        <v>1</v>
      </c>
      <c r="AH599" s="15">
        <f t="shared" si="361"/>
        <v>1</v>
      </c>
      <c r="AI599" s="15">
        <f t="shared" si="362"/>
        <v>1</v>
      </c>
      <c r="AJ599" s="15">
        <f t="shared" si="363"/>
        <v>1</v>
      </c>
      <c r="AK599" s="15">
        <f t="shared" si="364"/>
        <v>1</v>
      </c>
      <c r="AL599" s="15">
        <f t="shared" si="365"/>
        <v>1</v>
      </c>
      <c r="AM599" s="15">
        <f t="shared" si="366"/>
        <v>1</v>
      </c>
      <c r="AN599" s="15">
        <f t="shared" si="367"/>
        <v>1</v>
      </c>
      <c r="AO599" s="15">
        <f t="shared" si="368"/>
        <v>1</v>
      </c>
      <c r="AP599" s="15">
        <f t="shared" si="369"/>
        <v>1</v>
      </c>
      <c r="AQ599" s="15">
        <f t="shared" si="370"/>
        <v>1</v>
      </c>
      <c r="AR599" s="15">
        <f t="shared" si="371"/>
        <v>1</v>
      </c>
      <c r="AS599" s="15">
        <f t="shared" si="372"/>
        <v>1</v>
      </c>
      <c r="AT599" s="15">
        <f t="shared" si="373"/>
        <v>1</v>
      </c>
      <c r="AU599" s="15">
        <f t="shared" si="374"/>
        <v>1</v>
      </c>
      <c r="AV599" s="15">
        <f t="shared" si="375"/>
        <v>1</v>
      </c>
      <c r="AW599" s="15">
        <f t="shared" si="376"/>
        <v>1</v>
      </c>
      <c r="AX599" s="15">
        <f t="shared" si="377"/>
        <v>1</v>
      </c>
      <c r="AY599" s="15">
        <f t="shared" si="378"/>
        <v>1</v>
      </c>
      <c r="AZ599" s="15">
        <f t="shared" si="379"/>
        <v>1</v>
      </c>
      <c r="BA599" s="15">
        <f t="shared" si="380"/>
        <v>1</v>
      </c>
      <c r="BB599" s="15">
        <f t="shared" si="387"/>
        <v>0</v>
      </c>
      <c r="BC599" s="15" t="str">
        <f t="shared" si="388"/>
        <v/>
      </c>
      <c r="BD599" s="15" t="str">
        <f t="shared" si="389"/>
        <v/>
      </c>
      <c r="BE599" s="11" t="e">
        <f t="shared" si="381"/>
        <v>#VALUE!</v>
      </c>
      <c r="BF599" s="11" t="e">
        <f t="shared" si="382"/>
        <v>#VALUE!</v>
      </c>
      <c r="BG599" s="11" t="e">
        <f t="shared" si="383"/>
        <v>#VALUE!</v>
      </c>
      <c r="BH599" t="str">
        <f t="shared" si="384"/>
        <v/>
      </c>
      <c r="BI599" t="str" cm="1">
        <f t="array" ref="BI599">_xlfn.IFS(
  L599&gt;0,"Critical Fail",
  M599&gt;0,"Important (Coaching)",
  TRUE,"Clean Pass"
)</f>
        <v>Clean Pass</v>
      </c>
      <c r="BJ599" t="str">
        <f t="shared" si="385"/>
        <v>NA</v>
      </c>
    </row>
    <row r="600" spans="1:62" x14ac:dyDescent="0.3">
      <c r="A600">
        <v>115839</v>
      </c>
      <c r="K600" t="str">
        <f t="shared" si="386"/>
        <v>Pass</v>
      </c>
      <c r="L600" s="15">
        <f t="shared" si="351"/>
        <v>0</v>
      </c>
      <c r="M600" s="15">
        <f t="shared" si="352"/>
        <v>0</v>
      </c>
      <c r="Z600" s="15">
        <f t="shared" si="353"/>
        <v>1</v>
      </c>
      <c r="AA600" s="15">
        <f t="shared" si="354"/>
        <v>1</v>
      </c>
      <c r="AB600" s="15">
        <f t="shared" si="355"/>
        <v>1</v>
      </c>
      <c r="AC600" s="15">
        <f t="shared" si="356"/>
        <v>1</v>
      </c>
      <c r="AD600" s="15">
        <f t="shared" si="357"/>
        <v>1</v>
      </c>
      <c r="AE600" s="15">
        <f t="shared" si="358"/>
        <v>1</v>
      </c>
      <c r="AF600" s="15">
        <f t="shared" si="359"/>
        <v>1</v>
      </c>
      <c r="AG600" s="15">
        <f t="shared" si="360"/>
        <v>1</v>
      </c>
      <c r="AH600" s="15">
        <f t="shared" si="361"/>
        <v>1</v>
      </c>
      <c r="AI600" s="15">
        <f t="shared" si="362"/>
        <v>1</v>
      </c>
      <c r="AJ600" s="15">
        <f t="shared" si="363"/>
        <v>1</v>
      </c>
      <c r="AK600" s="15">
        <f t="shared" si="364"/>
        <v>1</v>
      </c>
      <c r="AL600" s="15">
        <f t="shared" si="365"/>
        <v>1</v>
      </c>
      <c r="AM600" s="15">
        <f t="shared" si="366"/>
        <v>1</v>
      </c>
      <c r="AN600" s="15">
        <f t="shared" si="367"/>
        <v>1</v>
      </c>
      <c r="AO600" s="15">
        <f t="shared" si="368"/>
        <v>1</v>
      </c>
      <c r="AP600" s="15">
        <f t="shared" si="369"/>
        <v>1</v>
      </c>
      <c r="AQ600" s="15">
        <f t="shared" si="370"/>
        <v>1</v>
      </c>
      <c r="AR600" s="15">
        <f t="shared" si="371"/>
        <v>1</v>
      </c>
      <c r="AS600" s="15">
        <f t="shared" si="372"/>
        <v>1</v>
      </c>
      <c r="AT600" s="15">
        <f t="shared" si="373"/>
        <v>1</v>
      </c>
      <c r="AU600" s="15">
        <f t="shared" si="374"/>
        <v>1</v>
      </c>
      <c r="AV600" s="15">
        <f t="shared" si="375"/>
        <v>1</v>
      </c>
      <c r="AW600" s="15">
        <f t="shared" si="376"/>
        <v>1</v>
      </c>
      <c r="AX600" s="15">
        <f t="shared" si="377"/>
        <v>1</v>
      </c>
      <c r="AY600" s="15">
        <f t="shared" si="378"/>
        <v>1</v>
      </c>
      <c r="AZ600" s="15">
        <f t="shared" si="379"/>
        <v>1</v>
      </c>
      <c r="BA600" s="15">
        <f t="shared" si="380"/>
        <v>1</v>
      </c>
      <c r="BB600" s="15">
        <f t="shared" si="387"/>
        <v>0</v>
      </c>
      <c r="BC600" s="15" t="str">
        <f t="shared" si="388"/>
        <v/>
      </c>
      <c r="BD600" s="15" t="str">
        <f t="shared" si="389"/>
        <v/>
      </c>
      <c r="BE600" s="11" t="e">
        <f t="shared" si="381"/>
        <v>#VALUE!</v>
      </c>
      <c r="BF600" s="11" t="e">
        <f t="shared" si="382"/>
        <v>#VALUE!</v>
      </c>
      <c r="BG600" s="11" t="e">
        <f t="shared" si="383"/>
        <v>#VALUE!</v>
      </c>
      <c r="BH600" t="str">
        <f t="shared" si="384"/>
        <v/>
      </c>
      <c r="BI600" t="str" cm="1">
        <f t="array" ref="BI600">_xlfn.IFS(
  L600&gt;0,"Critical Fail",
  M600&gt;0,"Important (Coaching)",
  TRUE,"Clean Pass"
)</f>
        <v>Clean Pass</v>
      </c>
      <c r="BJ600" t="str">
        <f t="shared" si="385"/>
        <v>NA</v>
      </c>
    </row>
    <row r="601" spans="1:62" x14ac:dyDescent="0.3">
      <c r="A601">
        <v>598973</v>
      </c>
      <c r="K601" t="str">
        <f t="shared" si="386"/>
        <v>Pass</v>
      </c>
      <c r="L601" s="15">
        <f t="shared" si="351"/>
        <v>0</v>
      </c>
      <c r="M601" s="15">
        <f t="shared" si="352"/>
        <v>0</v>
      </c>
      <c r="Z601" s="15">
        <f t="shared" si="353"/>
        <v>1</v>
      </c>
      <c r="AA601" s="15">
        <f t="shared" si="354"/>
        <v>1</v>
      </c>
      <c r="AB601" s="15">
        <f t="shared" si="355"/>
        <v>1</v>
      </c>
      <c r="AC601" s="15">
        <f t="shared" si="356"/>
        <v>1</v>
      </c>
      <c r="AD601" s="15">
        <f t="shared" si="357"/>
        <v>1</v>
      </c>
      <c r="AE601" s="15">
        <f t="shared" si="358"/>
        <v>1</v>
      </c>
      <c r="AF601" s="15">
        <f t="shared" si="359"/>
        <v>1</v>
      </c>
      <c r="AG601" s="15">
        <f t="shared" si="360"/>
        <v>1</v>
      </c>
      <c r="AH601" s="15">
        <f t="shared" si="361"/>
        <v>1</v>
      </c>
      <c r="AI601" s="15">
        <f t="shared" si="362"/>
        <v>1</v>
      </c>
      <c r="AJ601" s="15">
        <f t="shared" si="363"/>
        <v>1</v>
      </c>
      <c r="AK601" s="15">
        <f t="shared" si="364"/>
        <v>1</v>
      </c>
      <c r="AL601" s="15">
        <f t="shared" si="365"/>
        <v>1</v>
      </c>
      <c r="AM601" s="15">
        <f t="shared" si="366"/>
        <v>1</v>
      </c>
      <c r="AN601" s="15">
        <f t="shared" si="367"/>
        <v>1</v>
      </c>
      <c r="AO601" s="15">
        <f t="shared" si="368"/>
        <v>1</v>
      </c>
      <c r="AP601" s="15">
        <f t="shared" si="369"/>
        <v>1</v>
      </c>
      <c r="AQ601" s="15">
        <f t="shared" si="370"/>
        <v>1</v>
      </c>
      <c r="AR601" s="15">
        <f t="shared" si="371"/>
        <v>1</v>
      </c>
      <c r="AS601" s="15">
        <f t="shared" si="372"/>
        <v>1</v>
      </c>
      <c r="AT601" s="15">
        <f t="shared" si="373"/>
        <v>1</v>
      </c>
      <c r="AU601" s="15">
        <f t="shared" si="374"/>
        <v>1</v>
      </c>
      <c r="AV601" s="15">
        <f t="shared" si="375"/>
        <v>1</v>
      </c>
      <c r="AW601" s="15">
        <f t="shared" si="376"/>
        <v>1</v>
      </c>
      <c r="AX601" s="15">
        <f t="shared" si="377"/>
        <v>1</v>
      </c>
      <c r="AY601" s="15">
        <f t="shared" si="378"/>
        <v>1</v>
      </c>
      <c r="AZ601" s="15">
        <f t="shared" si="379"/>
        <v>1</v>
      </c>
      <c r="BA601" s="15">
        <f t="shared" si="380"/>
        <v>1</v>
      </c>
      <c r="BB601" s="15">
        <f t="shared" si="387"/>
        <v>0</v>
      </c>
      <c r="BC601" s="15" t="str">
        <f t="shared" si="388"/>
        <v/>
      </c>
      <c r="BD601" s="15" t="str">
        <f t="shared" si="389"/>
        <v/>
      </c>
      <c r="BE601" s="11" t="e">
        <f t="shared" si="381"/>
        <v>#VALUE!</v>
      </c>
      <c r="BF601" s="11" t="e">
        <f t="shared" si="382"/>
        <v>#VALUE!</v>
      </c>
      <c r="BG601" s="11" t="e">
        <f t="shared" si="383"/>
        <v>#VALUE!</v>
      </c>
      <c r="BH601" t="str">
        <f t="shared" si="384"/>
        <v/>
      </c>
      <c r="BI601" t="str" cm="1">
        <f t="array" ref="BI601">_xlfn.IFS(
  L601&gt;0,"Critical Fail",
  M601&gt;0,"Important (Coaching)",
  TRUE,"Clean Pass"
)</f>
        <v>Clean Pass</v>
      </c>
      <c r="BJ601" t="str">
        <f t="shared" si="385"/>
        <v>NA</v>
      </c>
    </row>
    <row r="602" spans="1:62" x14ac:dyDescent="0.3">
      <c r="A602">
        <v>678374</v>
      </c>
      <c r="K602" t="str">
        <f t="shared" si="386"/>
        <v>Pass</v>
      </c>
      <c r="L602" s="15">
        <f t="shared" ref="L602:L665" si="390">COUNTA(N602,P602,R602)</f>
        <v>0</v>
      </c>
      <c r="M602" s="15">
        <f t="shared" ref="M602:M665" si="391">COUNTA(T602,V602,X602)</f>
        <v>0</v>
      </c>
      <c r="Z602" s="15">
        <f t="shared" ref="Z602:Z665" si="392">IF(AND(G602="DV",ISNUMBER(SEARCH("C1",N602&amp;P602&amp;R602&amp;T602&amp;V602&amp;X602))),0,1)</f>
        <v>1</v>
      </c>
      <c r="AA602" s="15">
        <f t="shared" ref="AA602:AA665" si="393">IF(AND(G602="DV",ISNUMBER(SEARCH("C2",N602&amp;P602&amp;R602&amp;T602&amp;V602&amp;X602))),0,1)</f>
        <v>1</v>
      </c>
      <c r="AB602" s="15">
        <f t="shared" ref="AB602:AB665" si="394">IF(AND(G602="DV",ISNUMBER(SEARCH("C3",N602&amp;P602&amp;R602&amp;T602&amp;V602&amp;X602))),0,1)</f>
        <v>1</v>
      </c>
      <c r="AC602" s="15">
        <f t="shared" ref="AC602:AC665" si="395">IF(AND(G602="DV",ISNUMBER(SEARCH("C4",N602&amp;P602&amp;R602&amp;T602&amp;V602&amp;X602))),0,1)</f>
        <v>1</v>
      </c>
      <c r="AD602" s="15">
        <f t="shared" ref="AD602:AD665" si="396">IF(AND(G602="DV",ISNUMBER(SEARCH("C5",N602&amp;P602&amp;R602&amp;T602&amp;V602&amp;X602))),0,1)</f>
        <v>1</v>
      </c>
      <c r="AE602" s="15">
        <f t="shared" ref="AE602:AE665" si="397">IF(AND(G602="DV",ISNUMBER(SEARCH("C6",N602&amp;P602&amp;R602&amp;T602&amp;V602&amp;X602))),0,1)</f>
        <v>1</v>
      </c>
      <c r="AF602" s="15">
        <f t="shared" ref="AF602:AF665" si="398">IF(AND(G602="DV",ISNUMBER(SEARCH("C7",N602&amp;P602&amp;R602&amp;T602&amp;V602&amp;X602))),0,1)</f>
        <v>1</v>
      </c>
      <c r="AG602" s="15">
        <f t="shared" ref="AG602:AG665" si="399">IF(AND(G602="DV",ISNUMBER(SEARCH("C8",N602&amp;P602&amp;R602&amp;T602&amp;V602&amp;X602))),0,1)</f>
        <v>1</v>
      </c>
      <c r="AH602" s="15">
        <f t="shared" ref="AH602:AH665" si="400">IF(AND(G602="DV",ISNUMBER(SEARCH("C9",N602&amp;P602&amp;R602&amp;T602&amp;V602&amp;X602))),0,1)</f>
        <v>1</v>
      </c>
      <c r="AI602" s="15">
        <f t="shared" ref="AI602:AI665" si="401">IF(AND(G602="DV",ISNUMBER(SEARCH("I1",N602&amp;P602&amp;R602&amp;T602&amp;V602&amp;X602))),0,1)</f>
        <v>1</v>
      </c>
      <c r="AJ602" s="15">
        <f t="shared" ref="AJ602:AJ665" si="402">IF(AND(G602="DV",ISNUMBER(SEARCH("I2",N602&amp;P602&amp;R602&amp;T602&amp;V602&amp;X602))),0,1)</f>
        <v>1</v>
      </c>
      <c r="AK602" s="15">
        <f t="shared" ref="AK602:AK665" si="403">IF(AND(G602="DV",ISNUMBER(SEARCH("I3",N602&amp;P602&amp;R602&amp;T602&amp;V602&amp;X602))),0,1)</f>
        <v>1</v>
      </c>
      <c r="AL602" s="15">
        <f t="shared" ref="AL602:AL665" si="404">IF(AND(G602="AL",ISNUMBER(SEARCH("C1",N602&amp;P602&amp;R602&amp;T602&amp;V602&amp;X602))),0,1)</f>
        <v>1</v>
      </c>
      <c r="AM602" s="15">
        <f t="shared" ref="AM602:AM665" si="405">IF(AND(G602="AL",ISNUMBER(SEARCH("C2",N602&amp;P602&amp;R602&amp;T602&amp;V602&amp;X602))),0,1)</f>
        <v>1</v>
      </c>
      <c r="AN602" s="15">
        <f t="shared" ref="AN602:AN665" si="406">IF(AND(G602="AL",ISNUMBER(SEARCH("C3",N602&amp;P602&amp;R602&amp;T602&amp;V602&amp;X602))),0,1)</f>
        <v>1</v>
      </c>
      <c r="AO602" s="15">
        <f t="shared" ref="AO602:AO665" si="407">IF(AND(G602="AL",ISNUMBER(SEARCH("C4",N602&amp;P602&amp;R602&amp;T602&amp;V602&amp;X602))),0,1)</f>
        <v>1</v>
      </c>
      <c r="AP602" s="15">
        <f t="shared" ref="AP602:AP665" si="408">IF(AND(G602="AL",ISNUMBER(SEARCH("C5",N602&amp;P602&amp;R602&amp;T602&amp;V602&amp;X602))),0,1)</f>
        <v>1</v>
      </c>
      <c r="AQ602" s="15">
        <f t="shared" ref="AQ602:AQ665" si="409">IF(AND(G602="AL",ISNUMBER(SEARCH("C6",N602&amp;P602&amp;R602&amp;T602&amp;V602&amp;X602))),0,1)</f>
        <v>1</v>
      </c>
      <c r="AR602" s="15">
        <f t="shared" ref="AR602:AR665" si="410">IF(AND(G602="AL",ISNUMBER(SEARCH("C7",N602&amp;P602&amp;R602&amp;T602&amp;V602&amp;X602))),0,1)</f>
        <v>1</v>
      </c>
      <c r="AS602" s="15">
        <f t="shared" ref="AS602:AS665" si="411">IF(AND(G602="AL",ISNUMBER(SEARCH("C8",N602&amp;P602&amp;R602&amp;T602&amp;V602&amp;X602))),0,1)</f>
        <v>1</v>
      </c>
      <c r="AT602" s="15">
        <f t="shared" ref="AT602:AT665" si="412">IF(AND(G602="AL",ISNUMBER(SEARCH("C9",N602&amp;P602&amp;R602&amp;T602&amp;V602&amp;X602))),0,1)</f>
        <v>1</v>
      </c>
      <c r="AU602" s="15">
        <f t="shared" ref="AU602:AU665" si="413">IF(AND(G602="AL",ISNUMBER(SEARCH("C10",N602&amp;P602&amp;R602&amp;T602&amp;V602&amp;X602))),0,1)</f>
        <v>1</v>
      </c>
      <c r="AV602" s="15">
        <f t="shared" ref="AV602:AV665" si="414">IF(AND(G602="AL",ISNUMBER(SEARCH("C11",N602&amp;P602&amp;R602&amp;T602&amp;V602&amp;X602))),0,1)</f>
        <v>1</v>
      </c>
      <c r="AW602" s="15">
        <f t="shared" ref="AW602:AW665" si="415">IF(AND(G602="AL",ISNUMBER(SEARCH("C12",N602&amp;P602&amp;R602&amp;T602&amp;V602&amp;X602))),0,1)</f>
        <v>1</v>
      </c>
      <c r="AX602" s="15">
        <f t="shared" ref="AX602:AX665" si="416">IF(AND(G602="AL",ISNUMBER(SEARCH("C13",N602&amp;P602&amp;R602&amp;T602&amp;V602&amp;X602))),0,1)</f>
        <v>1</v>
      </c>
      <c r="AY602" s="15">
        <f t="shared" ref="AY602:AY665" si="417">IF(AND(G602="AL",ISNUMBER(SEARCH("I1",N602&amp;P602&amp;R602&amp;T602&amp;V602&amp;X602))),0,1)</f>
        <v>1</v>
      </c>
      <c r="AZ602" s="15">
        <f t="shared" ref="AZ602:AZ665" si="418">IF(AND(G602="AL",ISNUMBER(SEARCH("I2",N602&amp;P602&amp;R602&amp;T602&amp;V602&amp;X602))),0,1)</f>
        <v>1</v>
      </c>
      <c r="BA602" s="15">
        <f t="shared" ref="BA602:BA665" si="419">IF(AND(G602="AL",ISNUMBER(SEARCH("I3",N602&amp;P602&amp;R602&amp;T602&amp;V602&amp;X602))),0,1)</f>
        <v>1</v>
      </c>
      <c r="BB602" s="15">
        <f t="shared" si="387"/>
        <v>0</v>
      </c>
      <c r="BC602" s="15" t="str">
        <f t="shared" si="388"/>
        <v/>
      </c>
      <c r="BD602" s="15" t="str">
        <f t="shared" si="389"/>
        <v/>
      </c>
      <c r="BE602" s="11" t="e">
        <f t="shared" ref="BE602:BE665" si="420">IF(BC602=0,1,(BC602-L602)/BC602)</f>
        <v>#VALUE!</v>
      </c>
      <c r="BF602" s="11" t="e">
        <f t="shared" ref="BF602:BF665" si="421">IF(BD602=0,1,(BD602-M602)/BD602)</f>
        <v>#VALUE!</v>
      </c>
      <c r="BG602" s="11" t="e">
        <f t="shared" ref="BG602:BG665" si="422">(BE602*0.7)+(BF602*0.3)</f>
        <v>#VALUE!</v>
      </c>
      <c r="BH602" t="str">
        <f t="shared" ref="BH602:BH665" si="423">_xlfn.TEXTJOIN(",",TRUE,N602,P602,R602)</f>
        <v/>
      </c>
      <c r="BI602" t="str" cm="1">
        <f t="array" ref="BI602">_xlfn.IFS(
  L602&gt;0,"Critical Fail",
  M602&gt;0,"Important (Coaching)",
  TRUE,"Clean Pass"
)</f>
        <v>Clean Pass</v>
      </c>
      <c r="BJ602" t="str">
        <f t="shared" ref="BJ602:BJ665" si="424">IF(COUNTA(N602:Y602)=0,"NA",_xlfn.TEXTJOIN(",",TRUE,N602:Y602))</f>
        <v>NA</v>
      </c>
    </row>
    <row r="603" spans="1:62" x14ac:dyDescent="0.3">
      <c r="A603">
        <v>611724</v>
      </c>
      <c r="K603" t="str">
        <f t="shared" si="386"/>
        <v>Pass</v>
      </c>
      <c r="L603" s="15">
        <f t="shared" si="390"/>
        <v>0</v>
      </c>
      <c r="M603" s="15">
        <f t="shared" si="391"/>
        <v>0</v>
      </c>
      <c r="Z603" s="15">
        <f t="shared" si="392"/>
        <v>1</v>
      </c>
      <c r="AA603" s="15">
        <f t="shared" si="393"/>
        <v>1</v>
      </c>
      <c r="AB603" s="15">
        <f t="shared" si="394"/>
        <v>1</v>
      </c>
      <c r="AC603" s="15">
        <f t="shared" si="395"/>
        <v>1</v>
      </c>
      <c r="AD603" s="15">
        <f t="shared" si="396"/>
        <v>1</v>
      </c>
      <c r="AE603" s="15">
        <f t="shared" si="397"/>
        <v>1</v>
      </c>
      <c r="AF603" s="15">
        <f t="shared" si="398"/>
        <v>1</v>
      </c>
      <c r="AG603" s="15">
        <f t="shared" si="399"/>
        <v>1</v>
      </c>
      <c r="AH603" s="15">
        <f t="shared" si="400"/>
        <v>1</v>
      </c>
      <c r="AI603" s="15">
        <f t="shared" si="401"/>
        <v>1</v>
      </c>
      <c r="AJ603" s="15">
        <f t="shared" si="402"/>
        <v>1</v>
      </c>
      <c r="AK603" s="15">
        <f t="shared" si="403"/>
        <v>1</v>
      </c>
      <c r="AL603" s="15">
        <f t="shared" si="404"/>
        <v>1</v>
      </c>
      <c r="AM603" s="15">
        <f t="shared" si="405"/>
        <v>1</v>
      </c>
      <c r="AN603" s="15">
        <f t="shared" si="406"/>
        <v>1</v>
      </c>
      <c r="AO603" s="15">
        <f t="shared" si="407"/>
        <v>1</v>
      </c>
      <c r="AP603" s="15">
        <f t="shared" si="408"/>
        <v>1</v>
      </c>
      <c r="AQ603" s="15">
        <f t="shared" si="409"/>
        <v>1</v>
      </c>
      <c r="AR603" s="15">
        <f t="shared" si="410"/>
        <v>1</v>
      </c>
      <c r="AS603" s="15">
        <f t="shared" si="411"/>
        <v>1</v>
      </c>
      <c r="AT603" s="15">
        <f t="shared" si="412"/>
        <v>1</v>
      </c>
      <c r="AU603" s="15">
        <f t="shared" si="413"/>
        <v>1</v>
      </c>
      <c r="AV603" s="15">
        <f t="shared" si="414"/>
        <v>1</v>
      </c>
      <c r="AW603" s="15">
        <f t="shared" si="415"/>
        <v>1</v>
      </c>
      <c r="AX603" s="15">
        <f t="shared" si="416"/>
        <v>1</v>
      </c>
      <c r="AY603" s="15">
        <f t="shared" si="417"/>
        <v>1</v>
      </c>
      <c r="AZ603" s="15">
        <f t="shared" si="418"/>
        <v>1</v>
      </c>
      <c r="BA603" s="15">
        <f t="shared" si="419"/>
        <v>1</v>
      </c>
      <c r="BB603" s="15">
        <f t="shared" si="387"/>
        <v>0</v>
      </c>
      <c r="BC603" s="15" t="str">
        <f t="shared" si="388"/>
        <v/>
      </c>
      <c r="BD603" s="15" t="str">
        <f t="shared" si="389"/>
        <v/>
      </c>
      <c r="BE603" s="11" t="e">
        <f t="shared" si="420"/>
        <v>#VALUE!</v>
      </c>
      <c r="BF603" s="11" t="e">
        <f t="shared" si="421"/>
        <v>#VALUE!</v>
      </c>
      <c r="BG603" s="11" t="e">
        <f t="shared" si="422"/>
        <v>#VALUE!</v>
      </c>
      <c r="BH603" t="str">
        <f t="shared" si="423"/>
        <v/>
      </c>
      <c r="BI603" t="str" cm="1">
        <f t="array" ref="BI603">_xlfn.IFS(
  L603&gt;0,"Critical Fail",
  M603&gt;0,"Important (Coaching)",
  TRUE,"Clean Pass"
)</f>
        <v>Clean Pass</v>
      </c>
      <c r="BJ603" t="str">
        <f t="shared" si="424"/>
        <v>NA</v>
      </c>
    </row>
    <row r="604" spans="1:62" x14ac:dyDescent="0.3">
      <c r="A604">
        <v>529418</v>
      </c>
      <c r="K604" t="str">
        <f t="shared" si="386"/>
        <v>Pass</v>
      </c>
      <c r="L604" s="15">
        <f t="shared" si="390"/>
        <v>0</v>
      </c>
      <c r="M604" s="15">
        <f t="shared" si="391"/>
        <v>0</v>
      </c>
      <c r="Z604" s="15">
        <f t="shared" si="392"/>
        <v>1</v>
      </c>
      <c r="AA604" s="15">
        <f t="shared" si="393"/>
        <v>1</v>
      </c>
      <c r="AB604" s="15">
        <f t="shared" si="394"/>
        <v>1</v>
      </c>
      <c r="AC604" s="15">
        <f t="shared" si="395"/>
        <v>1</v>
      </c>
      <c r="AD604" s="15">
        <f t="shared" si="396"/>
        <v>1</v>
      </c>
      <c r="AE604" s="15">
        <f t="shared" si="397"/>
        <v>1</v>
      </c>
      <c r="AF604" s="15">
        <f t="shared" si="398"/>
        <v>1</v>
      </c>
      <c r="AG604" s="15">
        <f t="shared" si="399"/>
        <v>1</v>
      </c>
      <c r="AH604" s="15">
        <f t="shared" si="400"/>
        <v>1</v>
      </c>
      <c r="AI604" s="15">
        <f t="shared" si="401"/>
        <v>1</v>
      </c>
      <c r="AJ604" s="15">
        <f t="shared" si="402"/>
        <v>1</v>
      </c>
      <c r="AK604" s="15">
        <f t="shared" si="403"/>
        <v>1</v>
      </c>
      <c r="AL604" s="15">
        <f t="shared" si="404"/>
        <v>1</v>
      </c>
      <c r="AM604" s="15">
        <f t="shared" si="405"/>
        <v>1</v>
      </c>
      <c r="AN604" s="15">
        <f t="shared" si="406"/>
        <v>1</v>
      </c>
      <c r="AO604" s="15">
        <f t="shared" si="407"/>
        <v>1</v>
      </c>
      <c r="AP604" s="15">
        <f t="shared" si="408"/>
        <v>1</v>
      </c>
      <c r="AQ604" s="15">
        <f t="shared" si="409"/>
        <v>1</v>
      </c>
      <c r="AR604" s="15">
        <f t="shared" si="410"/>
        <v>1</v>
      </c>
      <c r="AS604" s="15">
        <f t="shared" si="411"/>
        <v>1</v>
      </c>
      <c r="AT604" s="15">
        <f t="shared" si="412"/>
        <v>1</v>
      </c>
      <c r="AU604" s="15">
        <f t="shared" si="413"/>
        <v>1</v>
      </c>
      <c r="AV604" s="15">
        <f t="shared" si="414"/>
        <v>1</v>
      </c>
      <c r="AW604" s="15">
        <f t="shared" si="415"/>
        <v>1</v>
      </c>
      <c r="AX604" s="15">
        <f t="shared" si="416"/>
        <v>1</v>
      </c>
      <c r="AY604" s="15">
        <f t="shared" si="417"/>
        <v>1</v>
      </c>
      <c r="AZ604" s="15">
        <f t="shared" si="418"/>
        <v>1</v>
      </c>
      <c r="BA604" s="15">
        <f t="shared" si="419"/>
        <v>1</v>
      </c>
      <c r="BB604" s="15">
        <f t="shared" si="387"/>
        <v>0</v>
      </c>
      <c r="BC604" s="15" t="str">
        <f t="shared" si="388"/>
        <v/>
      </c>
      <c r="BD604" s="15" t="str">
        <f t="shared" si="389"/>
        <v/>
      </c>
      <c r="BE604" s="11" t="e">
        <f t="shared" si="420"/>
        <v>#VALUE!</v>
      </c>
      <c r="BF604" s="11" t="e">
        <f t="shared" si="421"/>
        <v>#VALUE!</v>
      </c>
      <c r="BG604" s="11" t="e">
        <f t="shared" si="422"/>
        <v>#VALUE!</v>
      </c>
      <c r="BH604" t="str">
        <f t="shared" si="423"/>
        <v/>
      </c>
      <c r="BI604" t="str" cm="1">
        <f t="array" ref="BI604">_xlfn.IFS(
  L604&gt;0,"Critical Fail",
  M604&gt;0,"Important (Coaching)",
  TRUE,"Clean Pass"
)</f>
        <v>Clean Pass</v>
      </c>
      <c r="BJ604" t="str">
        <f t="shared" si="424"/>
        <v>NA</v>
      </c>
    </row>
    <row r="605" spans="1:62" x14ac:dyDescent="0.3">
      <c r="A605">
        <v>213641</v>
      </c>
      <c r="K605" t="str">
        <f t="shared" si="386"/>
        <v>Pass</v>
      </c>
      <c r="L605" s="15">
        <f t="shared" si="390"/>
        <v>0</v>
      </c>
      <c r="M605" s="15">
        <f t="shared" si="391"/>
        <v>0</v>
      </c>
      <c r="Z605" s="15">
        <f t="shared" si="392"/>
        <v>1</v>
      </c>
      <c r="AA605" s="15">
        <f t="shared" si="393"/>
        <v>1</v>
      </c>
      <c r="AB605" s="15">
        <f t="shared" si="394"/>
        <v>1</v>
      </c>
      <c r="AC605" s="15">
        <f t="shared" si="395"/>
        <v>1</v>
      </c>
      <c r="AD605" s="15">
        <f t="shared" si="396"/>
        <v>1</v>
      </c>
      <c r="AE605" s="15">
        <f t="shared" si="397"/>
        <v>1</v>
      </c>
      <c r="AF605" s="15">
        <f t="shared" si="398"/>
        <v>1</v>
      </c>
      <c r="AG605" s="15">
        <f t="shared" si="399"/>
        <v>1</v>
      </c>
      <c r="AH605" s="15">
        <f t="shared" si="400"/>
        <v>1</v>
      </c>
      <c r="AI605" s="15">
        <f t="shared" si="401"/>
        <v>1</v>
      </c>
      <c r="AJ605" s="15">
        <f t="shared" si="402"/>
        <v>1</v>
      </c>
      <c r="AK605" s="15">
        <f t="shared" si="403"/>
        <v>1</v>
      </c>
      <c r="AL605" s="15">
        <f t="shared" si="404"/>
        <v>1</v>
      </c>
      <c r="AM605" s="15">
        <f t="shared" si="405"/>
        <v>1</v>
      </c>
      <c r="AN605" s="15">
        <f t="shared" si="406"/>
        <v>1</v>
      </c>
      <c r="AO605" s="15">
        <f t="shared" si="407"/>
        <v>1</v>
      </c>
      <c r="AP605" s="15">
        <f t="shared" si="408"/>
        <v>1</v>
      </c>
      <c r="AQ605" s="15">
        <f t="shared" si="409"/>
        <v>1</v>
      </c>
      <c r="AR605" s="15">
        <f t="shared" si="410"/>
        <v>1</v>
      </c>
      <c r="AS605" s="15">
        <f t="shared" si="411"/>
        <v>1</v>
      </c>
      <c r="AT605" s="15">
        <f t="shared" si="412"/>
        <v>1</v>
      </c>
      <c r="AU605" s="15">
        <f t="shared" si="413"/>
        <v>1</v>
      </c>
      <c r="AV605" s="15">
        <f t="shared" si="414"/>
        <v>1</v>
      </c>
      <c r="AW605" s="15">
        <f t="shared" si="415"/>
        <v>1</v>
      </c>
      <c r="AX605" s="15">
        <f t="shared" si="416"/>
        <v>1</v>
      </c>
      <c r="AY605" s="15">
        <f t="shared" si="417"/>
        <v>1</v>
      </c>
      <c r="AZ605" s="15">
        <f t="shared" si="418"/>
        <v>1</v>
      </c>
      <c r="BA605" s="15">
        <f t="shared" si="419"/>
        <v>1</v>
      </c>
      <c r="BB605" s="15">
        <f t="shared" si="387"/>
        <v>0</v>
      </c>
      <c r="BC605" s="15" t="str">
        <f t="shared" si="388"/>
        <v/>
      </c>
      <c r="BD605" s="15" t="str">
        <f t="shared" si="389"/>
        <v/>
      </c>
      <c r="BE605" s="11" t="e">
        <f t="shared" si="420"/>
        <v>#VALUE!</v>
      </c>
      <c r="BF605" s="11" t="e">
        <f t="shared" si="421"/>
        <v>#VALUE!</v>
      </c>
      <c r="BG605" s="11" t="e">
        <f t="shared" si="422"/>
        <v>#VALUE!</v>
      </c>
      <c r="BH605" t="str">
        <f t="shared" si="423"/>
        <v/>
      </c>
      <c r="BI605" t="str" cm="1">
        <f t="array" ref="BI605">_xlfn.IFS(
  L605&gt;0,"Critical Fail",
  M605&gt;0,"Important (Coaching)",
  TRUE,"Clean Pass"
)</f>
        <v>Clean Pass</v>
      </c>
      <c r="BJ605" t="str">
        <f t="shared" si="424"/>
        <v>NA</v>
      </c>
    </row>
    <row r="606" spans="1:62" x14ac:dyDescent="0.3">
      <c r="A606">
        <v>500411</v>
      </c>
      <c r="K606" t="str">
        <f t="shared" si="386"/>
        <v>Pass</v>
      </c>
      <c r="L606" s="15">
        <f t="shared" si="390"/>
        <v>0</v>
      </c>
      <c r="M606" s="15">
        <f t="shared" si="391"/>
        <v>0</v>
      </c>
      <c r="Z606" s="15">
        <f t="shared" si="392"/>
        <v>1</v>
      </c>
      <c r="AA606" s="15">
        <f t="shared" si="393"/>
        <v>1</v>
      </c>
      <c r="AB606" s="15">
        <f t="shared" si="394"/>
        <v>1</v>
      </c>
      <c r="AC606" s="15">
        <f t="shared" si="395"/>
        <v>1</v>
      </c>
      <c r="AD606" s="15">
        <f t="shared" si="396"/>
        <v>1</v>
      </c>
      <c r="AE606" s="15">
        <f t="shared" si="397"/>
        <v>1</v>
      </c>
      <c r="AF606" s="15">
        <f t="shared" si="398"/>
        <v>1</v>
      </c>
      <c r="AG606" s="15">
        <f t="shared" si="399"/>
        <v>1</v>
      </c>
      <c r="AH606" s="15">
        <f t="shared" si="400"/>
        <v>1</v>
      </c>
      <c r="AI606" s="15">
        <f t="shared" si="401"/>
        <v>1</v>
      </c>
      <c r="AJ606" s="15">
        <f t="shared" si="402"/>
        <v>1</v>
      </c>
      <c r="AK606" s="15">
        <f t="shared" si="403"/>
        <v>1</v>
      </c>
      <c r="AL606" s="15">
        <f t="shared" si="404"/>
        <v>1</v>
      </c>
      <c r="AM606" s="15">
        <f t="shared" si="405"/>
        <v>1</v>
      </c>
      <c r="AN606" s="15">
        <f t="shared" si="406"/>
        <v>1</v>
      </c>
      <c r="AO606" s="15">
        <f t="shared" si="407"/>
        <v>1</v>
      </c>
      <c r="AP606" s="15">
        <f t="shared" si="408"/>
        <v>1</v>
      </c>
      <c r="AQ606" s="15">
        <f t="shared" si="409"/>
        <v>1</v>
      </c>
      <c r="AR606" s="15">
        <f t="shared" si="410"/>
        <v>1</v>
      </c>
      <c r="AS606" s="15">
        <f t="shared" si="411"/>
        <v>1</v>
      </c>
      <c r="AT606" s="15">
        <f t="shared" si="412"/>
        <v>1</v>
      </c>
      <c r="AU606" s="15">
        <f t="shared" si="413"/>
        <v>1</v>
      </c>
      <c r="AV606" s="15">
        <f t="shared" si="414"/>
        <v>1</v>
      </c>
      <c r="AW606" s="15">
        <f t="shared" si="415"/>
        <v>1</v>
      </c>
      <c r="AX606" s="15">
        <f t="shared" si="416"/>
        <v>1</v>
      </c>
      <c r="AY606" s="15">
        <f t="shared" si="417"/>
        <v>1</v>
      </c>
      <c r="AZ606" s="15">
        <f t="shared" si="418"/>
        <v>1</v>
      </c>
      <c r="BA606" s="15">
        <f t="shared" si="419"/>
        <v>1</v>
      </c>
      <c r="BB606" s="15">
        <f t="shared" si="387"/>
        <v>0</v>
      </c>
      <c r="BC606" s="15" t="str">
        <f t="shared" si="388"/>
        <v/>
      </c>
      <c r="BD606" s="15" t="str">
        <f t="shared" si="389"/>
        <v/>
      </c>
      <c r="BE606" s="11" t="e">
        <f t="shared" si="420"/>
        <v>#VALUE!</v>
      </c>
      <c r="BF606" s="11" t="e">
        <f t="shared" si="421"/>
        <v>#VALUE!</v>
      </c>
      <c r="BG606" s="11" t="e">
        <f t="shared" si="422"/>
        <v>#VALUE!</v>
      </c>
      <c r="BH606" t="str">
        <f t="shared" si="423"/>
        <v/>
      </c>
      <c r="BI606" t="str" cm="1">
        <f t="array" ref="BI606">_xlfn.IFS(
  L606&gt;0,"Critical Fail",
  M606&gt;0,"Important (Coaching)",
  TRUE,"Clean Pass"
)</f>
        <v>Clean Pass</v>
      </c>
      <c r="BJ606" t="str">
        <f t="shared" si="424"/>
        <v>NA</v>
      </c>
    </row>
    <row r="607" spans="1:62" x14ac:dyDescent="0.3">
      <c r="A607">
        <v>636634</v>
      </c>
      <c r="K607" t="str">
        <f t="shared" si="386"/>
        <v>Pass</v>
      </c>
      <c r="L607" s="15">
        <f t="shared" si="390"/>
        <v>0</v>
      </c>
      <c r="M607" s="15">
        <f t="shared" si="391"/>
        <v>0</v>
      </c>
      <c r="Z607" s="15">
        <f t="shared" si="392"/>
        <v>1</v>
      </c>
      <c r="AA607" s="15">
        <f t="shared" si="393"/>
        <v>1</v>
      </c>
      <c r="AB607" s="15">
        <f t="shared" si="394"/>
        <v>1</v>
      </c>
      <c r="AC607" s="15">
        <f t="shared" si="395"/>
        <v>1</v>
      </c>
      <c r="AD607" s="15">
        <f t="shared" si="396"/>
        <v>1</v>
      </c>
      <c r="AE607" s="15">
        <f t="shared" si="397"/>
        <v>1</v>
      </c>
      <c r="AF607" s="15">
        <f t="shared" si="398"/>
        <v>1</v>
      </c>
      <c r="AG607" s="15">
        <f t="shared" si="399"/>
        <v>1</v>
      </c>
      <c r="AH607" s="15">
        <f t="shared" si="400"/>
        <v>1</v>
      </c>
      <c r="AI607" s="15">
        <f t="shared" si="401"/>
        <v>1</v>
      </c>
      <c r="AJ607" s="15">
        <f t="shared" si="402"/>
        <v>1</v>
      </c>
      <c r="AK607" s="15">
        <f t="shared" si="403"/>
        <v>1</v>
      </c>
      <c r="AL607" s="15">
        <f t="shared" si="404"/>
        <v>1</v>
      </c>
      <c r="AM607" s="15">
        <f t="shared" si="405"/>
        <v>1</v>
      </c>
      <c r="AN607" s="15">
        <f t="shared" si="406"/>
        <v>1</v>
      </c>
      <c r="AO607" s="15">
        <f t="shared" si="407"/>
        <v>1</v>
      </c>
      <c r="AP607" s="15">
        <f t="shared" si="408"/>
        <v>1</v>
      </c>
      <c r="AQ607" s="15">
        <f t="shared" si="409"/>
        <v>1</v>
      </c>
      <c r="AR607" s="15">
        <f t="shared" si="410"/>
        <v>1</v>
      </c>
      <c r="AS607" s="15">
        <f t="shared" si="411"/>
        <v>1</v>
      </c>
      <c r="AT607" s="15">
        <f t="shared" si="412"/>
        <v>1</v>
      </c>
      <c r="AU607" s="15">
        <f t="shared" si="413"/>
        <v>1</v>
      </c>
      <c r="AV607" s="15">
        <f t="shared" si="414"/>
        <v>1</v>
      </c>
      <c r="AW607" s="15">
        <f t="shared" si="415"/>
        <v>1</v>
      </c>
      <c r="AX607" s="15">
        <f t="shared" si="416"/>
        <v>1</v>
      </c>
      <c r="AY607" s="15">
        <f t="shared" si="417"/>
        <v>1</v>
      </c>
      <c r="AZ607" s="15">
        <f t="shared" si="418"/>
        <v>1</v>
      </c>
      <c r="BA607" s="15">
        <f t="shared" si="419"/>
        <v>1</v>
      </c>
      <c r="BB607" s="15">
        <f t="shared" si="387"/>
        <v>0</v>
      </c>
      <c r="BC607" s="15" t="str">
        <f t="shared" si="388"/>
        <v/>
      </c>
      <c r="BD607" s="15" t="str">
        <f t="shared" si="389"/>
        <v/>
      </c>
      <c r="BE607" s="11" t="e">
        <f t="shared" si="420"/>
        <v>#VALUE!</v>
      </c>
      <c r="BF607" s="11" t="e">
        <f t="shared" si="421"/>
        <v>#VALUE!</v>
      </c>
      <c r="BG607" s="11" t="e">
        <f t="shared" si="422"/>
        <v>#VALUE!</v>
      </c>
      <c r="BH607" t="str">
        <f t="shared" si="423"/>
        <v/>
      </c>
      <c r="BI607" t="str" cm="1">
        <f t="array" ref="BI607">_xlfn.IFS(
  L607&gt;0,"Critical Fail",
  M607&gt;0,"Important (Coaching)",
  TRUE,"Clean Pass"
)</f>
        <v>Clean Pass</v>
      </c>
      <c r="BJ607" t="str">
        <f t="shared" si="424"/>
        <v>NA</v>
      </c>
    </row>
    <row r="608" spans="1:62" x14ac:dyDescent="0.3">
      <c r="A608">
        <v>149859</v>
      </c>
      <c r="K608" t="str">
        <f t="shared" si="386"/>
        <v>Pass</v>
      </c>
      <c r="L608" s="15">
        <f t="shared" si="390"/>
        <v>0</v>
      </c>
      <c r="M608" s="15">
        <f t="shared" si="391"/>
        <v>0</v>
      </c>
      <c r="Z608" s="15">
        <f t="shared" si="392"/>
        <v>1</v>
      </c>
      <c r="AA608" s="15">
        <f t="shared" si="393"/>
        <v>1</v>
      </c>
      <c r="AB608" s="15">
        <f t="shared" si="394"/>
        <v>1</v>
      </c>
      <c r="AC608" s="15">
        <f t="shared" si="395"/>
        <v>1</v>
      </c>
      <c r="AD608" s="15">
        <f t="shared" si="396"/>
        <v>1</v>
      </c>
      <c r="AE608" s="15">
        <f t="shared" si="397"/>
        <v>1</v>
      </c>
      <c r="AF608" s="15">
        <f t="shared" si="398"/>
        <v>1</v>
      </c>
      <c r="AG608" s="15">
        <f t="shared" si="399"/>
        <v>1</v>
      </c>
      <c r="AH608" s="15">
        <f t="shared" si="400"/>
        <v>1</v>
      </c>
      <c r="AI608" s="15">
        <f t="shared" si="401"/>
        <v>1</v>
      </c>
      <c r="AJ608" s="15">
        <f t="shared" si="402"/>
        <v>1</v>
      </c>
      <c r="AK608" s="15">
        <f t="shared" si="403"/>
        <v>1</v>
      </c>
      <c r="AL608" s="15">
        <f t="shared" si="404"/>
        <v>1</v>
      </c>
      <c r="AM608" s="15">
        <f t="shared" si="405"/>
        <v>1</v>
      </c>
      <c r="AN608" s="15">
        <f t="shared" si="406"/>
        <v>1</v>
      </c>
      <c r="AO608" s="15">
        <f t="shared" si="407"/>
        <v>1</v>
      </c>
      <c r="AP608" s="15">
        <f t="shared" si="408"/>
        <v>1</v>
      </c>
      <c r="AQ608" s="15">
        <f t="shared" si="409"/>
        <v>1</v>
      </c>
      <c r="AR608" s="15">
        <f t="shared" si="410"/>
        <v>1</v>
      </c>
      <c r="AS608" s="15">
        <f t="shared" si="411"/>
        <v>1</v>
      </c>
      <c r="AT608" s="15">
        <f t="shared" si="412"/>
        <v>1</v>
      </c>
      <c r="AU608" s="15">
        <f t="shared" si="413"/>
        <v>1</v>
      </c>
      <c r="AV608" s="15">
        <f t="shared" si="414"/>
        <v>1</v>
      </c>
      <c r="AW608" s="15">
        <f t="shared" si="415"/>
        <v>1</v>
      </c>
      <c r="AX608" s="15">
        <f t="shared" si="416"/>
        <v>1</v>
      </c>
      <c r="AY608" s="15">
        <f t="shared" si="417"/>
        <v>1</v>
      </c>
      <c r="AZ608" s="15">
        <f t="shared" si="418"/>
        <v>1</v>
      </c>
      <c r="BA608" s="15">
        <f t="shared" si="419"/>
        <v>1</v>
      </c>
      <c r="BB608" s="15">
        <f t="shared" si="387"/>
        <v>0</v>
      </c>
      <c r="BC608" s="15" t="str">
        <f t="shared" si="388"/>
        <v/>
      </c>
      <c r="BD608" s="15" t="str">
        <f t="shared" si="389"/>
        <v/>
      </c>
      <c r="BE608" s="11" t="e">
        <f t="shared" si="420"/>
        <v>#VALUE!</v>
      </c>
      <c r="BF608" s="11" t="e">
        <f t="shared" si="421"/>
        <v>#VALUE!</v>
      </c>
      <c r="BG608" s="11" t="e">
        <f t="shared" si="422"/>
        <v>#VALUE!</v>
      </c>
      <c r="BH608" t="str">
        <f t="shared" si="423"/>
        <v/>
      </c>
      <c r="BI608" t="str" cm="1">
        <f t="array" ref="BI608">_xlfn.IFS(
  L608&gt;0,"Critical Fail",
  M608&gt;0,"Important (Coaching)",
  TRUE,"Clean Pass"
)</f>
        <v>Clean Pass</v>
      </c>
      <c r="BJ608" t="str">
        <f t="shared" si="424"/>
        <v>NA</v>
      </c>
    </row>
    <row r="609" spans="1:62" x14ac:dyDescent="0.3">
      <c r="A609">
        <v>623027</v>
      </c>
      <c r="K609" t="str">
        <f t="shared" si="386"/>
        <v>Pass</v>
      </c>
      <c r="L609" s="15">
        <f t="shared" si="390"/>
        <v>0</v>
      </c>
      <c r="M609" s="15">
        <f t="shared" si="391"/>
        <v>0</v>
      </c>
      <c r="Z609" s="15">
        <f t="shared" si="392"/>
        <v>1</v>
      </c>
      <c r="AA609" s="15">
        <f t="shared" si="393"/>
        <v>1</v>
      </c>
      <c r="AB609" s="15">
        <f t="shared" si="394"/>
        <v>1</v>
      </c>
      <c r="AC609" s="15">
        <f t="shared" si="395"/>
        <v>1</v>
      </c>
      <c r="AD609" s="15">
        <f t="shared" si="396"/>
        <v>1</v>
      </c>
      <c r="AE609" s="15">
        <f t="shared" si="397"/>
        <v>1</v>
      </c>
      <c r="AF609" s="15">
        <f t="shared" si="398"/>
        <v>1</v>
      </c>
      <c r="AG609" s="15">
        <f t="shared" si="399"/>
        <v>1</v>
      </c>
      <c r="AH609" s="15">
        <f t="shared" si="400"/>
        <v>1</v>
      </c>
      <c r="AI609" s="15">
        <f t="shared" si="401"/>
        <v>1</v>
      </c>
      <c r="AJ609" s="15">
        <f t="shared" si="402"/>
        <v>1</v>
      </c>
      <c r="AK609" s="15">
        <f t="shared" si="403"/>
        <v>1</v>
      </c>
      <c r="AL609" s="15">
        <f t="shared" si="404"/>
        <v>1</v>
      </c>
      <c r="AM609" s="15">
        <f t="shared" si="405"/>
        <v>1</v>
      </c>
      <c r="AN609" s="15">
        <f t="shared" si="406"/>
        <v>1</v>
      </c>
      <c r="AO609" s="15">
        <f t="shared" si="407"/>
        <v>1</v>
      </c>
      <c r="AP609" s="15">
        <f t="shared" si="408"/>
        <v>1</v>
      </c>
      <c r="AQ609" s="15">
        <f t="shared" si="409"/>
        <v>1</v>
      </c>
      <c r="AR609" s="15">
        <f t="shared" si="410"/>
        <v>1</v>
      </c>
      <c r="AS609" s="15">
        <f t="shared" si="411"/>
        <v>1</v>
      </c>
      <c r="AT609" s="15">
        <f t="shared" si="412"/>
        <v>1</v>
      </c>
      <c r="AU609" s="15">
        <f t="shared" si="413"/>
        <v>1</v>
      </c>
      <c r="AV609" s="15">
        <f t="shared" si="414"/>
        <v>1</v>
      </c>
      <c r="AW609" s="15">
        <f t="shared" si="415"/>
        <v>1</v>
      </c>
      <c r="AX609" s="15">
        <f t="shared" si="416"/>
        <v>1</v>
      </c>
      <c r="AY609" s="15">
        <f t="shared" si="417"/>
        <v>1</v>
      </c>
      <c r="AZ609" s="15">
        <f t="shared" si="418"/>
        <v>1</v>
      </c>
      <c r="BA609" s="15">
        <f t="shared" si="419"/>
        <v>1</v>
      </c>
      <c r="BB609" s="15">
        <f t="shared" si="387"/>
        <v>0</v>
      </c>
      <c r="BC609" s="15" t="str">
        <f t="shared" si="388"/>
        <v/>
      </c>
      <c r="BD609" s="15" t="str">
        <f t="shared" si="389"/>
        <v/>
      </c>
      <c r="BE609" s="11" t="e">
        <f t="shared" si="420"/>
        <v>#VALUE!</v>
      </c>
      <c r="BF609" s="11" t="e">
        <f t="shared" si="421"/>
        <v>#VALUE!</v>
      </c>
      <c r="BG609" s="11" t="e">
        <f t="shared" si="422"/>
        <v>#VALUE!</v>
      </c>
      <c r="BH609" t="str">
        <f t="shared" si="423"/>
        <v/>
      </c>
      <c r="BI609" t="str" cm="1">
        <f t="array" ref="BI609">_xlfn.IFS(
  L609&gt;0,"Critical Fail",
  M609&gt;0,"Important (Coaching)",
  TRUE,"Clean Pass"
)</f>
        <v>Clean Pass</v>
      </c>
      <c r="BJ609" t="str">
        <f t="shared" si="424"/>
        <v>NA</v>
      </c>
    </row>
    <row r="610" spans="1:62" x14ac:dyDescent="0.3">
      <c r="A610">
        <v>402404</v>
      </c>
      <c r="K610" t="str">
        <f t="shared" si="386"/>
        <v>Pass</v>
      </c>
      <c r="L610" s="15">
        <f t="shared" si="390"/>
        <v>0</v>
      </c>
      <c r="M610" s="15">
        <f t="shared" si="391"/>
        <v>0</v>
      </c>
      <c r="Z610" s="15">
        <f t="shared" si="392"/>
        <v>1</v>
      </c>
      <c r="AA610" s="15">
        <f t="shared" si="393"/>
        <v>1</v>
      </c>
      <c r="AB610" s="15">
        <f t="shared" si="394"/>
        <v>1</v>
      </c>
      <c r="AC610" s="15">
        <f t="shared" si="395"/>
        <v>1</v>
      </c>
      <c r="AD610" s="15">
        <f t="shared" si="396"/>
        <v>1</v>
      </c>
      <c r="AE610" s="15">
        <f t="shared" si="397"/>
        <v>1</v>
      </c>
      <c r="AF610" s="15">
        <f t="shared" si="398"/>
        <v>1</v>
      </c>
      <c r="AG610" s="15">
        <f t="shared" si="399"/>
        <v>1</v>
      </c>
      <c r="AH610" s="15">
        <f t="shared" si="400"/>
        <v>1</v>
      </c>
      <c r="AI610" s="15">
        <f t="shared" si="401"/>
        <v>1</v>
      </c>
      <c r="AJ610" s="15">
        <f t="shared" si="402"/>
        <v>1</v>
      </c>
      <c r="AK610" s="15">
        <f t="shared" si="403"/>
        <v>1</v>
      </c>
      <c r="AL610" s="15">
        <f t="shared" si="404"/>
        <v>1</v>
      </c>
      <c r="AM610" s="15">
        <f t="shared" si="405"/>
        <v>1</v>
      </c>
      <c r="AN610" s="15">
        <f t="shared" si="406"/>
        <v>1</v>
      </c>
      <c r="AO610" s="15">
        <f t="shared" si="407"/>
        <v>1</v>
      </c>
      <c r="AP610" s="15">
        <f t="shared" si="408"/>
        <v>1</v>
      </c>
      <c r="AQ610" s="15">
        <f t="shared" si="409"/>
        <v>1</v>
      </c>
      <c r="AR610" s="15">
        <f t="shared" si="410"/>
        <v>1</v>
      </c>
      <c r="AS610" s="15">
        <f t="shared" si="411"/>
        <v>1</v>
      </c>
      <c r="AT610" s="15">
        <f t="shared" si="412"/>
        <v>1</v>
      </c>
      <c r="AU610" s="15">
        <f t="shared" si="413"/>
        <v>1</v>
      </c>
      <c r="AV610" s="15">
        <f t="shared" si="414"/>
        <v>1</v>
      </c>
      <c r="AW610" s="15">
        <f t="shared" si="415"/>
        <v>1</v>
      </c>
      <c r="AX610" s="15">
        <f t="shared" si="416"/>
        <v>1</v>
      </c>
      <c r="AY610" s="15">
        <f t="shared" si="417"/>
        <v>1</v>
      </c>
      <c r="AZ610" s="15">
        <f t="shared" si="418"/>
        <v>1</v>
      </c>
      <c r="BA610" s="15">
        <f t="shared" si="419"/>
        <v>1</v>
      </c>
      <c r="BB610" s="15">
        <f t="shared" si="387"/>
        <v>0</v>
      </c>
      <c r="BC610" s="15" t="str">
        <f t="shared" si="388"/>
        <v/>
      </c>
      <c r="BD610" s="15" t="str">
        <f t="shared" si="389"/>
        <v/>
      </c>
      <c r="BE610" s="11" t="e">
        <f t="shared" si="420"/>
        <v>#VALUE!</v>
      </c>
      <c r="BF610" s="11" t="e">
        <f t="shared" si="421"/>
        <v>#VALUE!</v>
      </c>
      <c r="BG610" s="11" t="e">
        <f t="shared" si="422"/>
        <v>#VALUE!</v>
      </c>
      <c r="BH610" t="str">
        <f t="shared" si="423"/>
        <v/>
      </c>
      <c r="BI610" t="str" cm="1">
        <f t="array" ref="BI610">_xlfn.IFS(
  L610&gt;0,"Critical Fail",
  M610&gt;0,"Important (Coaching)",
  TRUE,"Clean Pass"
)</f>
        <v>Clean Pass</v>
      </c>
      <c r="BJ610" t="str">
        <f t="shared" si="424"/>
        <v>NA</v>
      </c>
    </row>
    <row r="611" spans="1:62" x14ac:dyDescent="0.3">
      <c r="A611">
        <v>765871</v>
      </c>
      <c r="K611" t="str">
        <f t="shared" si="386"/>
        <v>Pass</v>
      </c>
      <c r="L611" s="15">
        <f t="shared" si="390"/>
        <v>0</v>
      </c>
      <c r="M611" s="15">
        <f t="shared" si="391"/>
        <v>0</v>
      </c>
      <c r="Z611" s="15">
        <f t="shared" si="392"/>
        <v>1</v>
      </c>
      <c r="AA611" s="15">
        <f t="shared" si="393"/>
        <v>1</v>
      </c>
      <c r="AB611" s="15">
        <f t="shared" si="394"/>
        <v>1</v>
      </c>
      <c r="AC611" s="15">
        <f t="shared" si="395"/>
        <v>1</v>
      </c>
      <c r="AD611" s="15">
        <f t="shared" si="396"/>
        <v>1</v>
      </c>
      <c r="AE611" s="15">
        <f t="shared" si="397"/>
        <v>1</v>
      </c>
      <c r="AF611" s="15">
        <f t="shared" si="398"/>
        <v>1</v>
      </c>
      <c r="AG611" s="15">
        <f t="shared" si="399"/>
        <v>1</v>
      </c>
      <c r="AH611" s="15">
        <f t="shared" si="400"/>
        <v>1</v>
      </c>
      <c r="AI611" s="15">
        <f t="shared" si="401"/>
        <v>1</v>
      </c>
      <c r="AJ611" s="15">
        <f t="shared" si="402"/>
        <v>1</v>
      </c>
      <c r="AK611" s="15">
        <f t="shared" si="403"/>
        <v>1</v>
      </c>
      <c r="AL611" s="15">
        <f t="shared" si="404"/>
        <v>1</v>
      </c>
      <c r="AM611" s="15">
        <f t="shared" si="405"/>
        <v>1</v>
      </c>
      <c r="AN611" s="15">
        <f t="shared" si="406"/>
        <v>1</v>
      </c>
      <c r="AO611" s="15">
        <f t="shared" si="407"/>
        <v>1</v>
      </c>
      <c r="AP611" s="15">
        <f t="shared" si="408"/>
        <v>1</v>
      </c>
      <c r="AQ611" s="15">
        <f t="shared" si="409"/>
        <v>1</v>
      </c>
      <c r="AR611" s="15">
        <f t="shared" si="410"/>
        <v>1</v>
      </c>
      <c r="AS611" s="15">
        <f t="shared" si="411"/>
        <v>1</v>
      </c>
      <c r="AT611" s="15">
        <f t="shared" si="412"/>
        <v>1</v>
      </c>
      <c r="AU611" s="15">
        <f t="shared" si="413"/>
        <v>1</v>
      </c>
      <c r="AV611" s="15">
        <f t="shared" si="414"/>
        <v>1</v>
      </c>
      <c r="AW611" s="15">
        <f t="shared" si="415"/>
        <v>1</v>
      </c>
      <c r="AX611" s="15">
        <f t="shared" si="416"/>
        <v>1</v>
      </c>
      <c r="AY611" s="15">
        <f t="shared" si="417"/>
        <v>1</v>
      </c>
      <c r="AZ611" s="15">
        <f t="shared" si="418"/>
        <v>1</v>
      </c>
      <c r="BA611" s="15">
        <f t="shared" si="419"/>
        <v>1</v>
      </c>
      <c r="BB611" s="15">
        <f t="shared" si="387"/>
        <v>0</v>
      </c>
      <c r="BC611" s="15" t="str">
        <f t="shared" si="388"/>
        <v/>
      </c>
      <c r="BD611" s="15" t="str">
        <f t="shared" si="389"/>
        <v/>
      </c>
      <c r="BE611" s="11" t="e">
        <f t="shared" si="420"/>
        <v>#VALUE!</v>
      </c>
      <c r="BF611" s="11" t="e">
        <f t="shared" si="421"/>
        <v>#VALUE!</v>
      </c>
      <c r="BG611" s="11" t="e">
        <f t="shared" si="422"/>
        <v>#VALUE!</v>
      </c>
      <c r="BH611" t="str">
        <f t="shared" si="423"/>
        <v/>
      </c>
      <c r="BI611" t="str" cm="1">
        <f t="array" ref="BI611">_xlfn.IFS(
  L611&gt;0,"Critical Fail",
  M611&gt;0,"Important (Coaching)",
  TRUE,"Clean Pass"
)</f>
        <v>Clean Pass</v>
      </c>
      <c r="BJ611" t="str">
        <f t="shared" si="424"/>
        <v>NA</v>
      </c>
    </row>
    <row r="612" spans="1:62" x14ac:dyDescent="0.3">
      <c r="A612">
        <v>535925</v>
      </c>
      <c r="K612" t="str">
        <f t="shared" si="386"/>
        <v>Pass</v>
      </c>
      <c r="L612" s="15">
        <f t="shared" si="390"/>
        <v>0</v>
      </c>
      <c r="M612" s="15">
        <f t="shared" si="391"/>
        <v>0</v>
      </c>
      <c r="Z612" s="15">
        <f t="shared" si="392"/>
        <v>1</v>
      </c>
      <c r="AA612" s="15">
        <f t="shared" si="393"/>
        <v>1</v>
      </c>
      <c r="AB612" s="15">
        <f t="shared" si="394"/>
        <v>1</v>
      </c>
      <c r="AC612" s="15">
        <f t="shared" si="395"/>
        <v>1</v>
      </c>
      <c r="AD612" s="15">
        <f t="shared" si="396"/>
        <v>1</v>
      </c>
      <c r="AE612" s="15">
        <f t="shared" si="397"/>
        <v>1</v>
      </c>
      <c r="AF612" s="15">
        <f t="shared" si="398"/>
        <v>1</v>
      </c>
      <c r="AG612" s="15">
        <f t="shared" si="399"/>
        <v>1</v>
      </c>
      <c r="AH612" s="15">
        <f t="shared" si="400"/>
        <v>1</v>
      </c>
      <c r="AI612" s="15">
        <f t="shared" si="401"/>
        <v>1</v>
      </c>
      <c r="AJ612" s="15">
        <f t="shared" si="402"/>
        <v>1</v>
      </c>
      <c r="AK612" s="15">
        <f t="shared" si="403"/>
        <v>1</v>
      </c>
      <c r="AL612" s="15">
        <f t="shared" si="404"/>
        <v>1</v>
      </c>
      <c r="AM612" s="15">
        <f t="shared" si="405"/>
        <v>1</v>
      </c>
      <c r="AN612" s="15">
        <f t="shared" si="406"/>
        <v>1</v>
      </c>
      <c r="AO612" s="15">
        <f t="shared" si="407"/>
        <v>1</v>
      </c>
      <c r="AP612" s="15">
        <f t="shared" si="408"/>
        <v>1</v>
      </c>
      <c r="AQ612" s="15">
        <f t="shared" si="409"/>
        <v>1</v>
      </c>
      <c r="AR612" s="15">
        <f t="shared" si="410"/>
        <v>1</v>
      </c>
      <c r="AS612" s="15">
        <f t="shared" si="411"/>
        <v>1</v>
      </c>
      <c r="AT612" s="15">
        <f t="shared" si="412"/>
        <v>1</v>
      </c>
      <c r="AU612" s="15">
        <f t="shared" si="413"/>
        <v>1</v>
      </c>
      <c r="AV612" s="15">
        <f t="shared" si="414"/>
        <v>1</v>
      </c>
      <c r="AW612" s="15">
        <f t="shared" si="415"/>
        <v>1</v>
      </c>
      <c r="AX612" s="15">
        <f t="shared" si="416"/>
        <v>1</v>
      </c>
      <c r="AY612" s="15">
        <f t="shared" si="417"/>
        <v>1</v>
      </c>
      <c r="AZ612" s="15">
        <f t="shared" si="418"/>
        <v>1</v>
      </c>
      <c r="BA612" s="15">
        <f t="shared" si="419"/>
        <v>1</v>
      </c>
      <c r="BB612" s="15">
        <f t="shared" si="387"/>
        <v>0</v>
      </c>
      <c r="BC612" s="15" t="str">
        <f t="shared" si="388"/>
        <v/>
      </c>
      <c r="BD612" s="15" t="str">
        <f t="shared" si="389"/>
        <v/>
      </c>
      <c r="BE612" s="11" t="e">
        <f t="shared" si="420"/>
        <v>#VALUE!</v>
      </c>
      <c r="BF612" s="11" t="e">
        <f t="shared" si="421"/>
        <v>#VALUE!</v>
      </c>
      <c r="BG612" s="11" t="e">
        <f t="shared" si="422"/>
        <v>#VALUE!</v>
      </c>
      <c r="BH612" t="str">
        <f t="shared" si="423"/>
        <v/>
      </c>
      <c r="BI612" t="str" cm="1">
        <f t="array" ref="BI612">_xlfn.IFS(
  L612&gt;0,"Critical Fail",
  M612&gt;0,"Important (Coaching)",
  TRUE,"Clean Pass"
)</f>
        <v>Clean Pass</v>
      </c>
      <c r="BJ612" t="str">
        <f t="shared" si="424"/>
        <v>NA</v>
      </c>
    </row>
    <row r="613" spans="1:62" x14ac:dyDescent="0.3">
      <c r="A613">
        <v>663059</v>
      </c>
      <c r="K613" t="str">
        <f t="shared" si="386"/>
        <v>Pass</v>
      </c>
      <c r="L613" s="15">
        <f t="shared" si="390"/>
        <v>0</v>
      </c>
      <c r="M613" s="15">
        <f t="shared" si="391"/>
        <v>0</v>
      </c>
      <c r="Z613" s="15">
        <f t="shared" si="392"/>
        <v>1</v>
      </c>
      <c r="AA613" s="15">
        <f t="shared" si="393"/>
        <v>1</v>
      </c>
      <c r="AB613" s="15">
        <f t="shared" si="394"/>
        <v>1</v>
      </c>
      <c r="AC613" s="15">
        <f t="shared" si="395"/>
        <v>1</v>
      </c>
      <c r="AD613" s="15">
        <f t="shared" si="396"/>
        <v>1</v>
      </c>
      <c r="AE613" s="15">
        <f t="shared" si="397"/>
        <v>1</v>
      </c>
      <c r="AF613" s="15">
        <f t="shared" si="398"/>
        <v>1</v>
      </c>
      <c r="AG613" s="15">
        <f t="shared" si="399"/>
        <v>1</v>
      </c>
      <c r="AH613" s="15">
        <f t="shared" si="400"/>
        <v>1</v>
      </c>
      <c r="AI613" s="15">
        <f t="shared" si="401"/>
        <v>1</v>
      </c>
      <c r="AJ613" s="15">
        <f t="shared" si="402"/>
        <v>1</v>
      </c>
      <c r="AK613" s="15">
        <f t="shared" si="403"/>
        <v>1</v>
      </c>
      <c r="AL613" s="15">
        <f t="shared" si="404"/>
        <v>1</v>
      </c>
      <c r="AM613" s="15">
        <f t="shared" si="405"/>
        <v>1</v>
      </c>
      <c r="AN613" s="15">
        <f t="shared" si="406"/>
        <v>1</v>
      </c>
      <c r="AO613" s="15">
        <f t="shared" si="407"/>
        <v>1</v>
      </c>
      <c r="AP613" s="15">
        <f t="shared" si="408"/>
        <v>1</v>
      </c>
      <c r="AQ613" s="15">
        <f t="shared" si="409"/>
        <v>1</v>
      </c>
      <c r="AR613" s="15">
        <f t="shared" si="410"/>
        <v>1</v>
      </c>
      <c r="AS613" s="15">
        <f t="shared" si="411"/>
        <v>1</v>
      </c>
      <c r="AT613" s="15">
        <f t="shared" si="412"/>
        <v>1</v>
      </c>
      <c r="AU613" s="15">
        <f t="shared" si="413"/>
        <v>1</v>
      </c>
      <c r="AV613" s="15">
        <f t="shared" si="414"/>
        <v>1</v>
      </c>
      <c r="AW613" s="15">
        <f t="shared" si="415"/>
        <v>1</v>
      </c>
      <c r="AX613" s="15">
        <f t="shared" si="416"/>
        <v>1</v>
      </c>
      <c r="AY613" s="15">
        <f t="shared" si="417"/>
        <v>1</v>
      </c>
      <c r="AZ613" s="15">
        <f t="shared" si="418"/>
        <v>1</v>
      </c>
      <c r="BA613" s="15">
        <f t="shared" si="419"/>
        <v>1</v>
      </c>
      <c r="BB613" s="15">
        <f t="shared" si="387"/>
        <v>0</v>
      </c>
      <c r="BC613" s="15" t="str">
        <f t="shared" si="388"/>
        <v/>
      </c>
      <c r="BD613" s="15" t="str">
        <f t="shared" si="389"/>
        <v/>
      </c>
      <c r="BE613" s="11" t="e">
        <f t="shared" si="420"/>
        <v>#VALUE!</v>
      </c>
      <c r="BF613" s="11" t="e">
        <f t="shared" si="421"/>
        <v>#VALUE!</v>
      </c>
      <c r="BG613" s="11" t="e">
        <f t="shared" si="422"/>
        <v>#VALUE!</v>
      </c>
      <c r="BH613" t="str">
        <f t="shared" si="423"/>
        <v/>
      </c>
      <c r="BI613" t="str" cm="1">
        <f t="array" ref="BI613">_xlfn.IFS(
  L613&gt;0,"Critical Fail",
  M613&gt;0,"Important (Coaching)",
  TRUE,"Clean Pass"
)</f>
        <v>Clean Pass</v>
      </c>
      <c r="BJ613" t="str">
        <f t="shared" si="424"/>
        <v>NA</v>
      </c>
    </row>
    <row r="614" spans="1:62" x14ac:dyDescent="0.3">
      <c r="A614">
        <v>763201</v>
      </c>
      <c r="K614" t="str">
        <f t="shared" si="386"/>
        <v>Pass</v>
      </c>
      <c r="L614" s="15">
        <f t="shared" si="390"/>
        <v>0</v>
      </c>
      <c r="M614" s="15">
        <f t="shared" si="391"/>
        <v>0</v>
      </c>
      <c r="Z614" s="15">
        <f t="shared" si="392"/>
        <v>1</v>
      </c>
      <c r="AA614" s="15">
        <f t="shared" si="393"/>
        <v>1</v>
      </c>
      <c r="AB614" s="15">
        <f t="shared" si="394"/>
        <v>1</v>
      </c>
      <c r="AC614" s="15">
        <f t="shared" si="395"/>
        <v>1</v>
      </c>
      <c r="AD614" s="15">
        <f t="shared" si="396"/>
        <v>1</v>
      </c>
      <c r="AE614" s="15">
        <f t="shared" si="397"/>
        <v>1</v>
      </c>
      <c r="AF614" s="15">
        <f t="shared" si="398"/>
        <v>1</v>
      </c>
      <c r="AG614" s="15">
        <f t="shared" si="399"/>
        <v>1</v>
      </c>
      <c r="AH614" s="15">
        <f t="shared" si="400"/>
        <v>1</v>
      </c>
      <c r="AI614" s="15">
        <f t="shared" si="401"/>
        <v>1</v>
      </c>
      <c r="AJ614" s="15">
        <f t="shared" si="402"/>
        <v>1</v>
      </c>
      <c r="AK614" s="15">
        <f t="shared" si="403"/>
        <v>1</v>
      </c>
      <c r="AL614" s="15">
        <f t="shared" si="404"/>
        <v>1</v>
      </c>
      <c r="AM614" s="15">
        <f t="shared" si="405"/>
        <v>1</v>
      </c>
      <c r="AN614" s="15">
        <f t="shared" si="406"/>
        <v>1</v>
      </c>
      <c r="AO614" s="15">
        <f t="shared" si="407"/>
        <v>1</v>
      </c>
      <c r="AP614" s="15">
        <f t="shared" si="408"/>
        <v>1</v>
      </c>
      <c r="AQ614" s="15">
        <f t="shared" si="409"/>
        <v>1</v>
      </c>
      <c r="AR614" s="15">
        <f t="shared" si="410"/>
        <v>1</v>
      </c>
      <c r="AS614" s="15">
        <f t="shared" si="411"/>
        <v>1</v>
      </c>
      <c r="AT614" s="15">
        <f t="shared" si="412"/>
        <v>1</v>
      </c>
      <c r="AU614" s="15">
        <f t="shared" si="413"/>
        <v>1</v>
      </c>
      <c r="AV614" s="15">
        <f t="shared" si="414"/>
        <v>1</v>
      </c>
      <c r="AW614" s="15">
        <f t="shared" si="415"/>
        <v>1</v>
      </c>
      <c r="AX614" s="15">
        <f t="shared" si="416"/>
        <v>1</v>
      </c>
      <c r="AY614" s="15">
        <f t="shared" si="417"/>
        <v>1</v>
      </c>
      <c r="AZ614" s="15">
        <f t="shared" si="418"/>
        <v>1</v>
      </c>
      <c r="BA614" s="15">
        <f t="shared" si="419"/>
        <v>1</v>
      </c>
      <c r="BB614" s="15">
        <f t="shared" si="387"/>
        <v>0</v>
      </c>
      <c r="BC614" s="15" t="str">
        <f t="shared" si="388"/>
        <v/>
      </c>
      <c r="BD614" s="15" t="str">
        <f t="shared" si="389"/>
        <v/>
      </c>
      <c r="BE614" s="11" t="e">
        <f t="shared" si="420"/>
        <v>#VALUE!</v>
      </c>
      <c r="BF614" s="11" t="e">
        <f t="shared" si="421"/>
        <v>#VALUE!</v>
      </c>
      <c r="BG614" s="11" t="e">
        <f t="shared" si="422"/>
        <v>#VALUE!</v>
      </c>
      <c r="BH614" t="str">
        <f t="shared" si="423"/>
        <v/>
      </c>
      <c r="BI614" t="str" cm="1">
        <f t="array" ref="BI614">_xlfn.IFS(
  L614&gt;0,"Critical Fail",
  M614&gt;0,"Important (Coaching)",
  TRUE,"Clean Pass"
)</f>
        <v>Clean Pass</v>
      </c>
      <c r="BJ614" t="str">
        <f t="shared" si="424"/>
        <v>NA</v>
      </c>
    </row>
    <row r="615" spans="1:62" x14ac:dyDescent="0.3">
      <c r="A615">
        <v>370991</v>
      </c>
      <c r="K615" t="str">
        <f t="shared" si="386"/>
        <v>Pass</v>
      </c>
      <c r="L615" s="15">
        <f t="shared" si="390"/>
        <v>0</v>
      </c>
      <c r="M615" s="15">
        <f t="shared" si="391"/>
        <v>0</v>
      </c>
      <c r="Z615" s="15">
        <f t="shared" si="392"/>
        <v>1</v>
      </c>
      <c r="AA615" s="15">
        <f t="shared" si="393"/>
        <v>1</v>
      </c>
      <c r="AB615" s="15">
        <f t="shared" si="394"/>
        <v>1</v>
      </c>
      <c r="AC615" s="15">
        <f t="shared" si="395"/>
        <v>1</v>
      </c>
      <c r="AD615" s="15">
        <f t="shared" si="396"/>
        <v>1</v>
      </c>
      <c r="AE615" s="15">
        <f t="shared" si="397"/>
        <v>1</v>
      </c>
      <c r="AF615" s="15">
        <f t="shared" si="398"/>
        <v>1</v>
      </c>
      <c r="AG615" s="15">
        <f t="shared" si="399"/>
        <v>1</v>
      </c>
      <c r="AH615" s="15">
        <f t="shared" si="400"/>
        <v>1</v>
      </c>
      <c r="AI615" s="15">
        <f t="shared" si="401"/>
        <v>1</v>
      </c>
      <c r="AJ615" s="15">
        <f t="shared" si="402"/>
        <v>1</v>
      </c>
      <c r="AK615" s="15">
        <f t="shared" si="403"/>
        <v>1</v>
      </c>
      <c r="AL615" s="15">
        <f t="shared" si="404"/>
        <v>1</v>
      </c>
      <c r="AM615" s="15">
        <f t="shared" si="405"/>
        <v>1</v>
      </c>
      <c r="AN615" s="15">
        <f t="shared" si="406"/>
        <v>1</v>
      </c>
      <c r="AO615" s="15">
        <f t="shared" si="407"/>
        <v>1</v>
      </c>
      <c r="AP615" s="15">
        <f t="shared" si="408"/>
        <v>1</v>
      </c>
      <c r="AQ615" s="15">
        <f t="shared" si="409"/>
        <v>1</v>
      </c>
      <c r="AR615" s="15">
        <f t="shared" si="410"/>
        <v>1</v>
      </c>
      <c r="AS615" s="15">
        <f t="shared" si="411"/>
        <v>1</v>
      </c>
      <c r="AT615" s="15">
        <f t="shared" si="412"/>
        <v>1</v>
      </c>
      <c r="AU615" s="15">
        <f t="shared" si="413"/>
        <v>1</v>
      </c>
      <c r="AV615" s="15">
        <f t="shared" si="414"/>
        <v>1</v>
      </c>
      <c r="AW615" s="15">
        <f t="shared" si="415"/>
        <v>1</v>
      </c>
      <c r="AX615" s="15">
        <f t="shared" si="416"/>
        <v>1</v>
      </c>
      <c r="AY615" s="15">
        <f t="shared" si="417"/>
        <v>1</v>
      </c>
      <c r="AZ615" s="15">
        <f t="shared" si="418"/>
        <v>1</v>
      </c>
      <c r="BA615" s="15">
        <f t="shared" si="419"/>
        <v>1</v>
      </c>
      <c r="BB615" s="15">
        <f t="shared" si="387"/>
        <v>0</v>
      </c>
      <c r="BC615" s="15" t="str">
        <f t="shared" si="388"/>
        <v/>
      </c>
      <c r="BD615" s="15" t="str">
        <f t="shared" si="389"/>
        <v/>
      </c>
      <c r="BE615" s="11" t="e">
        <f t="shared" si="420"/>
        <v>#VALUE!</v>
      </c>
      <c r="BF615" s="11" t="e">
        <f t="shared" si="421"/>
        <v>#VALUE!</v>
      </c>
      <c r="BG615" s="11" t="e">
        <f t="shared" si="422"/>
        <v>#VALUE!</v>
      </c>
      <c r="BH615" t="str">
        <f t="shared" si="423"/>
        <v/>
      </c>
      <c r="BI615" t="str" cm="1">
        <f t="array" ref="BI615">_xlfn.IFS(
  L615&gt;0,"Critical Fail",
  M615&gt;0,"Important (Coaching)",
  TRUE,"Clean Pass"
)</f>
        <v>Clean Pass</v>
      </c>
      <c r="BJ615" t="str">
        <f t="shared" si="424"/>
        <v>NA</v>
      </c>
    </row>
    <row r="616" spans="1:62" x14ac:dyDescent="0.3">
      <c r="A616">
        <v>360658</v>
      </c>
      <c r="K616" t="str">
        <f t="shared" si="386"/>
        <v>Pass</v>
      </c>
      <c r="L616" s="15">
        <f t="shared" si="390"/>
        <v>0</v>
      </c>
      <c r="M616" s="15">
        <f t="shared" si="391"/>
        <v>0</v>
      </c>
      <c r="Z616" s="15">
        <f t="shared" si="392"/>
        <v>1</v>
      </c>
      <c r="AA616" s="15">
        <f t="shared" si="393"/>
        <v>1</v>
      </c>
      <c r="AB616" s="15">
        <f t="shared" si="394"/>
        <v>1</v>
      </c>
      <c r="AC616" s="15">
        <f t="shared" si="395"/>
        <v>1</v>
      </c>
      <c r="AD616" s="15">
        <f t="shared" si="396"/>
        <v>1</v>
      </c>
      <c r="AE616" s="15">
        <f t="shared" si="397"/>
        <v>1</v>
      </c>
      <c r="AF616" s="15">
        <f t="shared" si="398"/>
        <v>1</v>
      </c>
      <c r="AG616" s="15">
        <f t="shared" si="399"/>
        <v>1</v>
      </c>
      <c r="AH616" s="15">
        <f t="shared" si="400"/>
        <v>1</v>
      </c>
      <c r="AI616" s="15">
        <f t="shared" si="401"/>
        <v>1</v>
      </c>
      <c r="AJ616" s="15">
        <f t="shared" si="402"/>
        <v>1</v>
      </c>
      <c r="AK616" s="15">
        <f t="shared" si="403"/>
        <v>1</v>
      </c>
      <c r="AL616" s="15">
        <f t="shared" si="404"/>
        <v>1</v>
      </c>
      <c r="AM616" s="15">
        <f t="shared" si="405"/>
        <v>1</v>
      </c>
      <c r="AN616" s="15">
        <f t="shared" si="406"/>
        <v>1</v>
      </c>
      <c r="AO616" s="15">
        <f t="shared" si="407"/>
        <v>1</v>
      </c>
      <c r="AP616" s="15">
        <f t="shared" si="408"/>
        <v>1</v>
      </c>
      <c r="AQ616" s="15">
        <f t="shared" si="409"/>
        <v>1</v>
      </c>
      <c r="AR616" s="15">
        <f t="shared" si="410"/>
        <v>1</v>
      </c>
      <c r="AS616" s="15">
        <f t="shared" si="411"/>
        <v>1</v>
      </c>
      <c r="AT616" s="15">
        <f t="shared" si="412"/>
        <v>1</v>
      </c>
      <c r="AU616" s="15">
        <f t="shared" si="413"/>
        <v>1</v>
      </c>
      <c r="AV616" s="15">
        <f t="shared" si="414"/>
        <v>1</v>
      </c>
      <c r="AW616" s="15">
        <f t="shared" si="415"/>
        <v>1</v>
      </c>
      <c r="AX616" s="15">
        <f t="shared" si="416"/>
        <v>1</v>
      </c>
      <c r="AY616" s="15">
        <f t="shared" si="417"/>
        <v>1</v>
      </c>
      <c r="AZ616" s="15">
        <f t="shared" si="418"/>
        <v>1</v>
      </c>
      <c r="BA616" s="15">
        <f t="shared" si="419"/>
        <v>1</v>
      </c>
      <c r="BB616" s="15">
        <f t="shared" si="387"/>
        <v>0</v>
      </c>
      <c r="BC616" s="15" t="str">
        <f t="shared" si="388"/>
        <v/>
      </c>
      <c r="BD616" s="15" t="str">
        <f t="shared" si="389"/>
        <v/>
      </c>
      <c r="BE616" s="11" t="e">
        <f t="shared" si="420"/>
        <v>#VALUE!</v>
      </c>
      <c r="BF616" s="11" t="e">
        <f t="shared" si="421"/>
        <v>#VALUE!</v>
      </c>
      <c r="BG616" s="11" t="e">
        <f t="shared" si="422"/>
        <v>#VALUE!</v>
      </c>
      <c r="BH616" t="str">
        <f t="shared" si="423"/>
        <v/>
      </c>
      <c r="BI616" t="str" cm="1">
        <f t="array" ref="BI616">_xlfn.IFS(
  L616&gt;0,"Critical Fail",
  M616&gt;0,"Important (Coaching)",
  TRUE,"Clean Pass"
)</f>
        <v>Clean Pass</v>
      </c>
      <c r="BJ616" t="str">
        <f t="shared" si="424"/>
        <v>NA</v>
      </c>
    </row>
    <row r="617" spans="1:62" x14ac:dyDescent="0.3">
      <c r="A617">
        <v>868813</v>
      </c>
      <c r="K617" t="str">
        <f t="shared" si="386"/>
        <v>Pass</v>
      </c>
      <c r="L617" s="15">
        <f t="shared" si="390"/>
        <v>0</v>
      </c>
      <c r="M617" s="15">
        <f t="shared" si="391"/>
        <v>0</v>
      </c>
      <c r="Z617" s="15">
        <f t="shared" si="392"/>
        <v>1</v>
      </c>
      <c r="AA617" s="15">
        <f t="shared" si="393"/>
        <v>1</v>
      </c>
      <c r="AB617" s="15">
        <f t="shared" si="394"/>
        <v>1</v>
      </c>
      <c r="AC617" s="15">
        <f t="shared" si="395"/>
        <v>1</v>
      </c>
      <c r="AD617" s="15">
        <f t="shared" si="396"/>
        <v>1</v>
      </c>
      <c r="AE617" s="15">
        <f t="shared" si="397"/>
        <v>1</v>
      </c>
      <c r="AF617" s="15">
        <f t="shared" si="398"/>
        <v>1</v>
      </c>
      <c r="AG617" s="15">
        <f t="shared" si="399"/>
        <v>1</v>
      </c>
      <c r="AH617" s="15">
        <f t="shared" si="400"/>
        <v>1</v>
      </c>
      <c r="AI617" s="15">
        <f t="shared" si="401"/>
        <v>1</v>
      </c>
      <c r="AJ617" s="15">
        <f t="shared" si="402"/>
        <v>1</v>
      </c>
      <c r="AK617" s="15">
        <f t="shared" si="403"/>
        <v>1</v>
      </c>
      <c r="AL617" s="15">
        <f t="shared" si="404"/>
        <v>1</v>
      </c>
      <c r="AM617" s="15">
        <f t="shared" si="405"/>
        <v>1</v>
      </c>
      <c r="AN617" s="15">
        <f t="shared" si="406"/>
        <v>1</v>
      </c>
      <c r="AO617" s="15">
        <f t="shared" si="407"/>
        <v>1</v>
      </c>
      <c r="AP617" s="15">
        <f t="shared" si="408"/>
        <v>1</v>
      </c>
      <c r="AQ617" s="15">
        <f t="shared" si="409"/>
        <v>1</v>
      </c>
      <c r="AR617" s="15">
        <f t="shared" si="410"/>
        <v>1</v>
      </c>
      <c r="AS617" s="15">
        <f t="shared" si="411"/>
        <v>1</v>
      </c>
      <c r="AT617" s="15">
        <f t="shared" si="412"/>
        <v>1</v>
      </c>
      <c r="AU617" s="15">
        <f t="shared" si="413"/>
        <v>1</v>
      </c>
      <c r="AV617" s="15">
        <f t="shared" si="414"/>
        <v>1</v>
      </c>
      <c r="AW617" s="15">
        <f t="shared" si="415"/>
        <v>1</v>
      </c>
      <c r="AX617" s="15">
        <f t="shared" si="416"/>
        <v>1</v>
      </c>
      <c r="AY617" s="15">
        <f t="shared" si="417"/>
        <v>1</v>
      </c>
      <c r="AZ617" s="15">
        <f t="shared" si="418"/>
        <v>1</v>
      </c>
      <c r="BA617" s="15">
        <f t="shared" si="419"/>
        <v>1</v>
      </c>
      <c r="BB617" s="15">
        <f t="shared" si="387"/>
        <v>0</v>
      </c>
      <c r="BC617" s="15" t="str">
        <f t="shared" si="388"/>
        <v/>
      </c>
      <c r="BD617" s="15" t="str">
        <f t="shared" si="389"/>
        <v/>
      </c>
      <c r="BE617" s="11" t="e">
        <f t="shared" si="420"/>
        <v>#VALUE!</v>
      </c>
      <c r="BF617" s="11" t="e">
        <f t="shared" si="421"/>
        <v>#VALUE!</v>
      </c>
      <c r="BG617" s="11" t="e">
        <f t="shared" si="422"/>
        <v>#VALUE!</v>
      </c>
      <c r="BH617" t="str">
        <f t="shared" si="423"/>
        <v/>
      </c>
      <c r="BI617" t="str" cm="1">
        <f t="array" ref="BI617">_xlfn.IFS(
  L617&gt;0,"Critical Fail",
  M617&gt;0,"Important (Coaching)",
  TRUE,"Clean Pass"
)</f>
        <v>Clean Pass</v>
      </c>
      <c r="BJ617" t="str">
        <f t="shared" si="424"/>
        <v>NA</v>
      </c>
    </row>
    <row r="618" spans="1:62" x14ac:dyDescent="0.3">
      <c r="A618">
        <v>627326</v>
      </c>
      <c r="K618" t="str">
        <f t="shared" si="386"/>
        <v>Pass</v>
      </c>
      <c r="L618" s="15">
        <f t="shared" si="390"/>
        <v>0</v>
      </c>
      <c r="M618" s="15">
        <f t="shared" si="391"/>
        <v>0</v>
      </c>
      <c r="Z618" s="15">
        <f t="shared" si="392"/>
        <v>1</v>
      </c>
      <c r="AA618" s="15">
        <f t="shared" si="393"/>
        <v>1</v>
      </c>
      <c r="AB618" s="15">
        <f t="shared" si="394"/>
        <v>1</v>
      </c>
      <c r="AC618" s="15">
        <f t="shared" si="395"/>
        <v>1</v>
      </c>
      <c r="AD618" s="15">
        <f t="shared" si="396"/>
        <v>1</v>
      </c>
      <c r="AE618" s="15">
        <f t="shared" si="397"/>
        <v>1</v>
      </c>
      <c r="AF618" s="15">
        <f t="shared" si="398"/>
        <v>1</v>
      </c>
      <c r="AG618" s="15">
        <f t="shared" si="399"/>
        <v>1</v>
      </c>
      <c r="AH618" s="15">
        <f t="shared" si="400"/>
        <v>1</v>
      </c>
      <c r="AI618" s="15">
        <f t="shared" si="401"/>
        <v>1</v>
      </c>
      <c r="AJ618" s="15">
        <f t="shared" si="402"/>
        <v>1</v>
      </c>
      <c r="AK618" s="15">
        <f t="shared" si="403"/>
        <v>1</v>
      </c>
      <c r="AL618" s="15">
        <f t="shared" si="404"/>
        <v>1</v>
      </c>
      <c r="AM618" s="15">
        <f t="shared" si="405"/>
        <v>1</v>
      </c>
      <c r="AN618" s="15">
        <f t="shared" si="406"/>
        <v>1</v>
      </c>
      <c r="AO618" s="15">
        <f t="shared" si="407"/>
        <v>1</v>
      </c>
      <c r="AP618" s="15">
        <f t="shared" si="408"/>
        <v>1</v>
      </c>
      <c r="AQ618" s="15">
        <f t="shared" si="409"/>
        <v>1</v>
      </c>
      <c r="AR618" s="15">
        <f t="shared" si="410"/>
        <v>1</v>
      </c>
      <c r="AS618" s="15">
        <f t="shared" si="411"/>
        <v>1</v>
      </c>
      <c r="AT618" s="15">
        <f t="shared" si="412"/>
        <v>1</v>
      </c>
      <c r="AU618" s="15">
        <f t="shared" si="413"/>
        <v>1</v>
      </c>
      <c r="AV618" s="15">
        <f t="shared" si="414"/>
        <v>1</v>
      </c>
      <c r="AW618" s="15">
        <f t="shared" si="415"/>
        <v>1</v>
      </c>
      <c r="AX618" s="15">
        <f t="shared" si="416"/>
        <v>1</v>
      </c>
      <c r="AY618" s="15">
        <f t="shared" si="417"/>
        <v>1</v>
      </c>
      <c r="AZ618" s="15">
        <f t="shared" si="418"/>
        <v>1</v>
      </c>
      <c r="BA618" s="15">
        <f t="shared" si="419"/>
        <v>1</v>
      </c>
      <c r="BB618" s="15">
        <f t="shared" si="387"/>
        <v>0</v>
      </c>
      <c r="BC618" s="15" t="str">
        <f t="shared" si="388"/>
        <v/>
      </c>
      <c r="BD618" s="15" t="str">
        <f t="shared" si="389"/>
        <v/>
      </c>
      <c r="BE618" s="11" t="e">
        <f t="shared" si="420"/>
        <v>#VALUE!</v>
      </c>
      <c r="BF618" s="11" t="e">
        <f t="shared" si="421"/>
        <v>#VALUE!</v>
      </c>
      <c r="BG618" s="11" t="e">
        <f t="shared" si="422"/>
        <v>#VALUE!</v>
      </c>
      <c r="BH618" t="str">
        <f t="shared" si="423"/>
        <v/>
      </c>
      <c r="BI618" t="str" cm="1">
        <f t="array" ref="BI618">_xlfn.IFS(
  L618&gt;0,"Critical Fail",
  M618&gt;0,"Important (Coaching)",
  TRUE,"Clean Pass"
)</f>
        <v>Clean Pass</v>
      </c>
      <c r="BJ618" t="str">
        <f t="shared" si="424"/>
        <v>NA</v>
      </c>
    </row>
    <row r="619" spans="1:62" x14ac:dyDescent="0.3">
      <c r="A619">
        <v>520406</v>
      </c>
      <c r="K619" t="str">
        <f t="shared" si="386"/>
        <v>Pass</v>
      </c>
      <c r="L619" s="15">
        <f t="shared" si="390"/>
        <v>0</v>
      </c>
      <c r="M619" s="15">
        <f t="shared" si="391"/>
        <v>0</v>
      </c>
      <c r="Z619" s="15">
        <f t="shared" si="392"/>
        <v>1</v>
      </c>
      <c r="AA619" s="15">
        <f t="shared" si="393"/>
        <v>1</v>
      </c>
      <c r="AB619" s="15">
        <f t="shared" si="394"/>
        <v>1</v>
      </c>
      <c r="AC619" s="15">
        <f t="shared" si="395"/>
        <v>1</v>
      </c>
      <c r="AD619" s="15">
        <f t="shared" si="396"/>
        <v>1</v>
      </c>
      <c r="AE619" s="15">
        <f t="shared" si="397"/>
        <v>1</v>
      </c>
      <c r="AF619" s="15">
        <f t="shared" si="398"/>
        <v>1</v>
      </c>
      <c r="AG619" s="15">
        <f t="shared" si="399"/>
        <v>1</v>
      </c>
      <c r="AH619" s="15">
        <f t="shared" si="400"/>
        <v>1</v>
      </c>
      <c r="AI619" s="15">
        <f t="shared" si="401"/>
        <v>1</v>
      </c>
      <c r="AJ619" s="15">
        <f t="shared" si="402"/>
        <v>1</v>
      </c>
      <c r="AK619" s="15">
        <f t="shared" si="403"/>
        <v>1</v>
      </c>
      <c r="AL619" s="15">
        <f t="shared" si="404"/>
        <v>1</v>
      </c>
      <c r="AM619" s="15">
        <f t="shared" si="405"/>
        <v>1</v>
      </c>
      <c r="AN619" s="15">
        <f t="shared" si="406"/>
        <v>1</v>
      </c>
      <c r="AO619" s="15">
        <f t="shared" si="407"/>
        <v>1</v>
      </c>
      <c r="AP619" s="15">
        <f t="shared" si="408"/>
        <v>1</v>
      </c>
      <c r="AQ619" s="15">
        <f t="shared" si="409"/>
        <v>1</v>
      </c>
      <c r="AR619" s="15">
        <f t="shared" si="410"/>
        <v>1</v>
      </c>
      <c r="AS619" s="15">
        <f t="shared" si="411"/>
        <v>1</v>
      </c>
      <c r="AT619" s="15">
        <f t="shared" si="412"/>
        <v>1</v>
      </c>
      <c r="AU619" s="15">
        <f t="shared" si="413"/>
        <v>1</v>
      </c>
      <c r="AV619" s="15">
        <f t="shared" si="414"/>
        <v>1</v>
      </c>
      <c r="AW619" s="15">
        <f t="shared" si="415"/>
        <v>1</v>
      </c>
      <c r="AX619" s="15">
        <f t="shared" si="416"/>
        <v>1</v>
      </c>
      <c r="AY619" s="15">
        <f t="shared" si="417"/>
        <v>1</v>
      </c>
      <c r="AZ619" s="15">
        <f t="shared" si="418"/>
        <v>1</v>
      </c>
      <c r="BA619" s="15">
        <f t="shared" si="419"/>
        <v>1</v>
      </c>
      <c r="BB619" s="15">
        <f t="shared" si="387"/>
        <v>0</v>
      </c>
      <c r="BC619" s="15" t="str">
        <f t="shared" si="388"/>
        <v/>
      </c>
      <c r="BD619" s="15" t="str">
        <f t="shared" si="389"/>
        <v/>
      </c>
      <c r="BE619" s="11" t="e">
        <f t="shared" si="420"/>
        <v>#VALUE!</v>
      </c>
      <c r="BF619" s="11" t="e">
        <f t="shared" si="421"/>
        <v>#VALUE!</v>
      </c>
      <c r="BG619" s="11" t="e">
        <f t="shared" si="422"/>
        <v>#VALUE!</v>
      </c>
      <c r="BH619" t="str">
        <f t="shared" si="423"/>
        <v/>
      </c>
      <c r="BI619" t="str" cm="1">
        <f t="array" ref="BI619">_xlfn.IFS(
  L619&gt;0,"Critical Fail",
  M619&gt;0,"Important (Coaching)",
  TRUE,"Clean Pass"
)</f>
        <v>Clean Pass</v>
      </c>
      <c r="BJ619" t="str">
        <f t="shared" si="424"/>
        <v>NA</v>
      </c>
    </row>
    <row r="620" spans="1:62" x14ac:dyDescent="0.3">
      <c r="A620">
        <v>540346</v>
      </c>
      <c r="K620" t="str">
        <f t="shared" si="386"/>
        <v>Pass</v>
      </c>
      <c r="L620" s="15">
        <f t="shared" si="390"/>
        <v>0</v>
      </c>
      <c r="M620" s="15">
        <f t="shared" si="391"/>
        <v>0</v>
      </c>
      <c r="Z620" s="15">
        <f t="shared" si="392"/>
        <v>1</v>
      </c>
      <c r="AA620" s="15">
        <f t="shared" si="393"/>
        <v>1</v>
      </c>
      <c r="AB620" s="15">
        <f t="shared" si="394"/>
        <v>1</v>
      </c>
      <c r="AC620" s="15">
        <f t="shared" si="395"/>
        <v>1</v>
      </c>
      <c r="AD620" s="15">
        <f t="shared" si="396"/>
        <v>1</v>
      </c>
      <c r="AE620" s="15">
        <f t="shared" si="397"/>
        <v>1</v>
      </c>
      <c r="AF620" s="15">
        <f t="shared" si="398"/>
        <v>1</v>
      </c>
      <c r="AG620" s="15">
        <f t="shared" si="399"/>
        <v>1</v>
      </c>
      <c r="AH620" s="15">
        <f t="shared" si="400"/>
        <v>1</v>
      </c>
      <c r="AI620" s="15">
        <f t="shared" si="401"/>
        <v>1</v>
      </c>
      <c r="AJ620" s="15">
        <f t="shared" si="402"/>
        <v>1</v>
      </c>
      <c r="AK620" s="15">
        <f t="shared" si="403"/>
        <v>1</v>
      </c>
      <c r="AL620" s="15">
        <f t="shared" si="404"/>
        <v>1</v>
      </c>
      <c r="AM620" s="15">
        <f t="shared" si="405"/>
        <v>1</v>
      </c>
      <c r="AN620" s="15">
        <f t="shared" si="406"/>
        <v>1</v>
      </c>
      <c r="AO620" s="15">
        <f t="shared" si="407"/>
        <v>1</v>
      </c>
      <c r="AP620" s="15">
        <f t="shared" si="408"/>
        <v>1</v>
      </c>
      <c r="AQ620" s="15">
        <f t="shared" si="409"/>
        <v>1</v>
      </c>
      <c r="AR620" s="15">
        <f t="shared" si="410"/>
        <v>1</v>
      </c>
      <c r="AS620" s="15">
        <f t="shared" si="411"/>
        <v>1</v>
      </c>
      <c r="AT620" s="15">
        <f t="shared" si="412"/>
        <v>1</v>
      </c>
      <c r="AU620" s="15">
        <f t="shared" si="413"/>
        <v>1</v>
      </c>
      <c r="AV620" s="15">
        <f t="shared" si="414"/>
        <v>1</v>
      </c>
      <c r="AW620" s="15">
        <f t="shared" si="415"/>
        <v>1</v>
      </c>
      <c r="AX620" s="15">
        <f t="shared" si="416"/>
        <v>1</v>
      </c>
      <c r="AY620" s="15">
        <f t="shared" si="417"/>
        <v>1</v>
      </c>
      <c r="AZ620" s="15">
        <f t="shared" si="418"/>
        <v>1</v>
      </c>
      <c r="BA620" s="15">
        <f t="shared" si="419"/>
        <v>1</v>
      </c>
      <c r="BB620" s="15">
        <f t="shared" si="387"/>
        <v>0</v>
      </c>
      <c r="BC620" s="15" t="str">
        <f t="shared" si="388"/>
        <v/>
      </c>
      <c r="BD620" s="15" t="str">
        <f t="shared" si="389"/>
        <v/>
      </c>
      <c r="BE620" s="11" t="e">
        <f t="shared" si="420"/>
        <v>#VALUE!</v>
      </c>
      <c r="BF620" s="11" t="e">
        <f t="shared" si="421"/>
        <v>#VALUE!</v>
      </c>
      <c r="BG620" s="11" t="e">
        <f t="shared" si="422"/>
        <v>#VALUE!</v>
      </c>
      <c r="BH620" t="str">
        <f t="shared" si="423"/>
        <v/>
      </c>
      <c r="BI620" t="str" cm="1">
        <f t="array" ref="BI620">_xlfn.IFS(
  L620&gt;0,"Critical Fail",
  M620&gt;0,"Important (Coaching)",
  TRUE,"Clean Pass"
)</f>
        <v>Clean Pass</v>
      </c>
      <c r="BJ620" t="str">
        <f t="shared" si="424"/>
        <v>NA</v>
      </c>
    </row>
    <row r="621" spans="1:62" x14ac:dyDescent="0.3">
      <c r="A621">
        <v>904346</v>
      </c>
      <c r="K621" t="str">
        <f t="shared" si="386"/>
        <v>Pass</v>
      </c>
      <c r="L621" s="15">
        <f t="shared" si="390"/>
        <v>0</v>
      </c>
      <c r="M621" s="15">
        <f t="shared" si="391"/>
        <v>0</v>
      </c>
      <c r="Z621" s="15">
        <f t="shared" si="392"/>
        <v>1</v>
      </c>
      <c r="AA621" s="15">
        <f t="shared" si="393"/>
        <v>1</v>
      </c>
      <c r="AB621" s="15">
        <f t="shared" si="394"/>
        <v>1</v>
      </c>
      <c r="AC621" s="15">
        <f t="shared" si="395"/>
        <v>1</v>
      </c>
      <c r="AD621" s="15">
        <f t="shared" si="396"/>
        <v>1</v>
      </c>
      <c r="AE621" s="15">
        <f t="shared" si="397"/>
        <v>1</v>
      </c>
      <c r="AF621" s="15">
        <f t="shared" si="398"/>
        <v>1</v>
      </c>
      <c r="AG621" s="15">
        <f t="shared" si="399"/>
        <v>1</v>
      </c>
      <c r="AH621" s="15">
        <f t="shared" si="400"/>
        <v>1</v>
      </c>
      <c r="AI621" s="15">
        <f t="shared" si="401"/>
        <v>1</v>
      </c>
      <c r="AJ621" s="15">
        <f t="shared" si="402"/>
        <v>1</v>
      </c>
      <c r="AK621" s="15">
        <f t="shared" si="403"/>
        <v>1</v>
      </c>
      <c r="AL621" s="15">
        <f t="shared" si="404"/>
        <v>1</v>
      </c>
      <c r="AM621" s="15">
        <f t="shared" si="405"/>
        <v>1</v>
      </c>
      <c r="AN621" s="15">
        <f t="shared" si="406"/>
        <v>1</v>
      </c>
      <c r="AO621" s="15">
        <f t="shared" si="407"/>
        <v>1</v>
      </c>
      <c r="AP621" s="15">
        <f t="shared" si="408"/>
        <v>1</v>
      </c>
      <c r="AQ621" s="15">
        <f t="shared" si="409"/>
        <v>1</v>
      </c>
      <c r="AR621" s="15">
        <f t="shared" si="410"/>
        <v>1</v>
      </c>
      <c r="AS621" s="15">
        <f t="shared" si="411"/>
        <v>1</v>
      </c>
      <c r="AT621" s="15">
        <f t="shared" si="412"/>
        <v>1</v>
      </c>
      <c r="AU621" s="15">
        <f t="shared" si="413"/>
        <v>1</v>
      </c>
      <c r="AV621" s="15">
        <f t="shared" si="414"/>
        <v>1</v>
      </c>
      <c r="AW621" s="15">
        <f t="shared" si="415"/>
        <v>1</v>
      </c>
      <c r="AX621" s="15">
        <f t="shared" si="416"/>
        <v>1</v>
      </c>
      <c r="AY621" s="15">
        <f t="shared" si="417"/>
        <v>1</v>
      </c>
      <c r="AZ621" s="15">
        <f t="shared" si="418"/>
        <v>1</v>
      </c>
      <c r="BA621" s="15">
        <f t="shared" si="419"/>
        <v>1</v>
      </c>
      <c r="BB621" s="15">
        <f t="shared" si="387"/>
        <v>0</v>
      </c>
      <c r="BC621" s="15" t="str">
        <f t="shared" si="388"/>
        <v/>
      </c>
      <c r="BD621" s="15" t="str">
        <f t="shared" si="389"/>
        <v/>
      </c>
      <c r="BE621" s="11" t="e">
        <f t="shared" si="420"/>
        <v>#VALUE!</v>
      </c>
      <c r="BF621" s="11" t="e">
        <f t="shared" si="421"/>
        <v>#VALUE!</v>
      </c>
      <c r="BG621" s="11" t="e">
        <f t="shared" si="422"/>
        <v>#VALUE!</v>
      </c>
      <c r="BH621" t="str">
        <f t="shared" si="423"/>
        <v/>
      </c>
      <c r="BI621" t="str" cm="1">
        <f t="array" ref="BI621">_xlfn.IFS(
  L621&gt;0,"Critical Fail",
  M621&gt;0,"Important (Coaching)",
  TRUE,"Clean Pass"
)</f>
        <v>Clean Pass</v>
      </c>
      <c r="BJ621" t="str">
        <f t="shared" si="424"/>
        <v>NA</v>
      </c>
    </row>
    <row r="622" spans="1:62" x14ac:dyDescent="0.3">
      <c r="A622">
        <v>469972</v>
      </c>
      <c r="K622" t="str">
        <f t="shared" si="386"/>
        <v>Pass</v>
      </c>
      <c r="L622" s="15">
        <f t="shared" si="390"/>
        <v>0</v>
      </c>
      <c r="M622" s="15">
        <f t="shared" si="391"/>
        <v>0</v>
      </c>
      <c r="Z622" s="15">
        <f t="shared" si="392"/>
        <v>1</v>
      </c>
      <c r="AA622" s="15">
        <f t="shared" si="393"/>
        <v>1</v>
      </c>
      <c r="AB622" s="15">
        <f t="shared" si="394"/>
        <v>1</v>
      </c>
      <c r="AC622" s="15">
        <f t="shared" si="395"/>
        <v>1</v>
      </c>
      <c r="AD622" s="15">
        <f t="shared" si="396"/>
        <v>1</v>
      </c>
      <c r="AE622" s="15">
        <f t="shared" si="397"/>
        <v>1</v>
      </c>
      <c r="AF622" s="15">
        <f t="shared" si="398"/>
        <v>1</v>
      </c>
      <c r="AG622" s="15">
        <f t="shared" si="399"/>
        <v>1</v>
      </c>
      <c r="AH622" s="15">
        <f t="shared" si="400"/>
        <v>1</v>
      </c>
      <c r="AI622" s="15">
        <f t="shared" si="401"/>
        <v>1</v>
      </c>
      <c r="AJ622" s="15">
        <f t="shared" si="402"/>
        <v>1</v>
      </c>
      <c r="AK622" s="15">
        <f t="shared" si="403"/>
        <v>1</v>
      </c>
      <c r="AL622" s="15">
        <f t="shared" si="404"/>
        <v>1</v>
      </c>
      <c r="AM622" s="15">
        <f t="shared" si="405"/>
        <v>1</v>
      </c>
      <c r="AN622" s="15">
        <f t="shared" si="406"/>
        <v>1</v>
      </c>
      <c r="AO622" s="15">
        <f t="shared" si="407"/>
        <v>1</v>
      </c>
      <c r="AP622" s="15">
        <f t="shared" si="408"/>
        <v>1</v>
      </c>
      <c r="AQ622" s="15">
        <f t="shared" si="409"/>
        <v>1</v>
      </c>
      <c r="AR622" s="15">
        <f t="shared" si="410"/>
        <v>1</v>
      </c>
      <c r="AS622" s="15">
        <f t="shared" si="411"/>
        <v>1</v>
      </c>
      <c r="AT622" s="15">
        <f t="shared" si="412"/>
        <v>1</v>
      </c>
      <c r="AU622" s="15">
        <f t="shared" si="413"/>
        <v>1</v>
      </c>
      <c r="AV622" s="15">
        <f t="shared" si="414"/>
        <v>1</v>
      </c>
      <c r="AW622" s="15">
        <f t="shared" si="415"/>
        <v>1</v>
      </c>
      <c r="AX622" s="15">
        <f t="shared" si="416"/>
        <v>1</v>
      </c>
      <c r="AY622" s="15">
        <f t="shared" si="417"/>
        <v>1</v>
      </c>
      <c r="AZ622" s="15">
        <f t="shared" si="418"/>
        <v>1</v>
      </c>
      <c r="BA622" s="15">
        <f t="shared" si="419"/>
        <v>1</v>
      </c>
      <c r="BB622" s="15">
        <f t="shared" si="387"/>
        <v>0</v>
      </c>
      <c r="BC622" s="15" t="str">
        <f t="shared" si="388"/>
        <v/>
      </c>
      <c r="BD622" s="15" t="str">
        <f t="shared" si="389"/>
        <v/>
      </c>
      <c r="BE622" s="11" t="e">
        <f t="shared" si="420"/>
        <v>#VALUE!</v>
      </c>
      <c r="BF622" s="11" t="e">
        <f t="shared" si="421"/>
        <v>#VALUE!</v>
      </c>
      <c r="BG622" s="11" t="e">
        <f t="shared" si="422"/>
        <v>#VALUE!</v>
      </c>
      <c r="BH622" t="str">
        <f t="shared" si="423"/>
        <v/>
      </c>
      <c r="BI622" t="str" cm="1">
        <f t="array" ref="BI622">_xlfn.IFS(
  L622&gt;0,"Critical Fail",
  M622&gt;0,"Important (Coaching)",
  TRUE,"Clean Pass"
)</f>
        <v>Clean Pass</v>
      </c>
      <c r="BJ622" t="str">
        <f t="shared" si="424"/>
        <v>NA</v>
      </c>
    </row>
    <row r="623" spans="1:62" x14ac:dyDescent="0.3">
      <c r="A623">
        <v>294454</v>
      </c>
      <c r="K623" t="str">
        <f t="shared" si="386"/>
        <v>Pass</v>
      </c>
      <c r="L623" s="15">
        <f t="shared" si="390"/>
        <v>0</v>
      </c>
      <c r="M623" s="15">
        <f t="shared" si="391"/>
        <v>0</v>
      </c>
      <c r="Z623" s="15">
        <f t="shared" si="392"/>
        <v>1</v>
      </c>
      <c r="AA623" s="15">
        <f t="shared" si="393"/>
        <v>1</v>
      </c>
      <c r="AB623" s="15">
        <f t="shared" si="394"/>
        <v>1</v>
      </c>
      <c r="AC623" s="15">
        <f t="shared" si="395"/>
        <v>1</v>
      </c>
      <c r="AD623" s="15">
        <f t="shared" si="396"/>
        <v>1</v>
      </c>
      <c r="AE623" s="15">
        <f t="shared" si="397"/>
        <v>1</v>
      </c>
      <c r="AF623" s="15">
        <f t="shared" si="398"/>
        <v>1</v>
      </c>
      <c r="AG623" s="15">
        <f t="shared" si="399"/>
        <v>1</v>
      </c>
      <c r="AH623" s="15">
        <f t="shared" si="400"/>
        <v>1</v>
      </c>
      <c r="AI623" s="15">
        <f t="shared" si="401"/>
        <v>1</v>
      </c>
      <c r="AJ623" s="15">
        <f t="shared" si="402"/>
        <v>1</v>
      </c>
      <c r="AK623" s="15">
        <f t="shared" si="403"/>
        <v>1</v>
      </c>
      <c r="AL623" s="15">
        <f t="shared" si="404"/>
        <v>1</v>
      </c>
      <c r="AM623" s="15">
        <f t="shared" si="405"/>
        <v>1</v>
      </c>
      <c r="AN623" s="15">
        <f t="shared" si="406"/>
        <v>1</v>
      </c>
      <c r="AO623" s="15">
        <f t="shared" si="407"/>
        <v>1</v>
      </c>
      <c r="AP623" s="15">
        <f t="shared" si="408"/>
        <v>1</v>
      </c>
      <c r="AQ623" s="15">
        <f t="shared" si="409"/>
        <v>1</v>
      </c>
      <c r="AR623" s="15">
        <f t="shared" si="410"/>
        <v>1</v>
      </c>
      <c r="AS623" s="15">
        <f t="shared" si="411"/>
        <v>1</v>
      </c>
      <c r="AT623" s="15">
        <f t="shared" si="412"/>
        <v>1</v>
      </c>
      <c r="AU623" s="15">
        <f t="shared" si="413"/>
        <v>1</v>
      </c>
      <c r="AV623" s="15">
        <f t="shared" si="414"/>
        <v>1</v>
      </c>
      <c r="AW623" s="15">
        <f t="shared" si="415"/>
        <v>1</v>
      </c>
      <c r="AX623" s="15">
        <f t="shared" si="416"/>
        <v>1</v>
      </c>
      <c r="AY623" s="15">
        <f t="shared" si="417"/>
        <v>1</v>
      </c>
      <c r="AZ623" s="15">
        <f t="shared" si="418"/>
        <v>1</v>
      </c>
      <c r="BA623" s="15">
        <f t="shared" si="419"/>
        <v>1</v>
      </c>
      <c r="BB623" s="15">
        <f t="shared" si="387"/>
        <v>0</v>
      </c>
      <c r="BC623" s="15" t="str">
        <f t="shared" si="388"/>
        <v/>
      </c>
      <c r="BD623" s="15" t="str">
        <f t="shared" si="389"/>
        <v/>
      </c>
      <c r="BE623" s="11" t="e">
        <f t="shared" si="420"/>
        <v>#VALUE!</v>
      </c>
      <c r="BF623" s="11" t="e">
        <f t="shared" si="421"/>
        <v>#VALUE!</v>
      </c>
      <c r="BG623" s="11" t="e">
        <f t="shared" si="422"/>
        <v>#VALUE!</v>
      </c>
      <c r="BH623" t="str">
        <f t="shared" si="423"/>
        <v/>
      </c>
      <c r="BI623" t="str" cm="1">
        <f t="array" ref="BI623">_xlfn.IFS(
  L623&gt;0,"Critical Fail",
  M623&gt;0,"Important (Coaching)",
  TRUE,"Clean Pass"
)</f>
        <v>Clean Pass</v>
      </c>
      <c r="BJ623" t="str">
        <f t="shared" si="424"/>
        <v>NA</v>
      </c>
    </row>
    <row r="624" spans="1:62" x14ac:dyDescent="0.3">
      <c r="A624">
        <v>650993</v>
      </c>
      <c r="K624" t="str">
        <f t="shared" si="386"/>
        <v>Pass</v>
      </c>
      <c r="L624" s="15">
        <f t="shared" si="390"/>
        <v>0</v>
      </c>
      <c r="M624" s="15">
        <f t="shared" si="391"/>
        <v>0</v>
      </c>
      <c r="Z624" s="15">
        <f t="shared" si="392"/>
        <v>1</v>
      </c>
      <c r="AA624" s="15">
        <f t="shared" si="393"/>
        <v>1</v>
      </c>
      <c r="AB624" s="15">
        <f t="shared" si="394"/>
        <v>1</v>
      </c>
      <c r="AC624" s="15">
        <f t="shared" si="395"/>
        <v>1</v>
      </c>
      <c r="AD624" s="15">
        <f t="shared" si="396"/>
        <v>1</v>
      </c>
      <c r="AE624" s="15">
        <f t="shared" si="397"/>
        <v>1</v>
      </c>
      <c r="AF624" s="15">
        <f t="shared" si="398"/>
        <v>1</v>
      </c>
      <c r="AG624" s="15">
        <f t="shared" si="399"/>
        <v>1</v>
      </c>
      <c r="AH624" s="15">
        <f t="shared" si="400"/>
        <v>1</v>
      </c>
      <c r="AI624" s="15">
        <f t="shared" si="401"/>
        <v>1</v>
      </c>
      <c r="AJ624" s="15">
        <f t="shared" si="402"/>
        <v>1</v>
      </c>
      <c r="AK624" s="15">
        <f t="shared" si="403"/>
        <v>1</v>
      </c>
      <c r="AL624" s="15">
        <f t="shared" si="404"/>
        <v>1</v>
      </c>
      <c r="AM624" s="15">
        <f t="shared" si="405"/>
        <v>1</v>
      </c>
      <c r="AN624" s="15">
        <f t="shared" si="406"/>
        <v>1</v>
      </c>
      <c r="AO624" s="15">
        <f t="shared" si="407"/>
        <v>1</v>
      </c>
      <c r="AP624" s="15">
        <f t="shared" si="408"/>
        <v>1</v>
      </c>
      <c r="AQ624" s="15">
        <f t="shared" si="409"/>
        <v>1</v>
      </c>
      <c r="AR624" s="15">
        <f t="shared" si="410"/>
        <v>1</v>
      </c>
      <c r="AS624" s="15">
        <f t="shared" si="411"/>
        <v>1</v>
      </c>
      <c r="AT624" s="15">
        <f t="shared" si="412"/>
        <v>1</v>
      </c>
      <c r="AU624" s="15">
        <f t="shared" si="413"/>
        <v>1</v>
      </c>
      <c r="AV624" s="15">
        <f t="shared" si="414"/>
        <v>1</v>
      </c>
      <c r="AW624" s="15">
        <f t="shared" si="415"/>
        <v>1</v>
      </c>
      <c r="AX624" s="15">
        <f t="shared" si="416"/>
        <v>1</v>
      </c>
      <c r="AY624" s="15">
        <f t="shared" si="417"/>
        <v>1</v>
      </c>
      <c r="AZ624" s="15">
        <f t="shared" si="418"/>
        <v>1</v>
      </c>
      <c r="BA624" s="15">
        <f t="shared" si="419"/>
        <v>1</v>
      </c>
      <c r="BB624" s="15">
        <f t="shared" si="387"/>
        <v>0</v>
      </c>
      <c r="BC624" s="15" t="str">
        <f t="shared" si="388"/>
        <v/>
      </c>
      <c r="BD624" s="15" t="str">
        <f t="shared" si="389"/>
        <v/>
      </c>
      <c r="BE624" s="11" t="e">
        <f t="shared" si="420"/>
        <v>#VALUE!</v>
      </c>
      <c r="BF624" s="11" t="e">
        <f t="shared" si="421"/>
        <v>#VALUE!</v>
      </c>
      <c r="BG624" s="11" t="e">
        <f t="shared" si="422"/>
        <v>#VALUE!</v>
      </c>
      <c r="BH624" t="str">
        <f t="shared" si="423"/>
        <v/>
      </c>
      <c r="BI624" t="str" cm="1">
        <f t="array" ref="BI624">_xlfn.IFS(
  L624&gt;0,"Critical Fail",
  M624&gt;0,"Important (Coaching)",
  TRUE,"Clean Pass"
)</f>
        <v>Clean Pass</v>
      </c>
      <c r="BJ624" t="str">
        <f t="shared" si="424"/>
        <v>NA</v>
      </c>
    </row>
    <row r="625" spans="1:62" x14ac:dyDescent="0.3">
      <c r="A625">
        <v>671441</v>
      </c>
      <c r="K625" t="str">
        <f t="shared" si="386"/>
        <v>Pass</v>
      </c>
      <c r="L625" s="15">
        <f t="shared" si="390"/>
        <v>0</v>
      </c>
      <c r="M625" s="15">
        <f t="shared" si="391"/>
        <v>0</v>
      </c>
      <c r="Z625" s="15">
        <f t="shared" si="392"/>
        <v>1</v>
      </c>
      <c r="AA625" s="15">
        <f t="shared" si="393"/>
        <v>1</v>
      </c>
      <c r="AB625" s="15">
        <f t="shared" si="394"/>
        <v>1</v>
      </c>
      <c r="AC625" s="15">
        <f t="shared" si="395"/>
        <v>1</v>
      </c>
      <c r="AD625" s="15">
        <f t="shared" si="396"/>
        <v>1</v>
      </c>
      <c r="AE625" s="15">
        <f t="shared" si="397"/>
        <v>1</v>
      </c>
      <c r="AF625" s="15">
        <f t="shared" si="398"/>
        <v>1</v>
      </c>
      <c r="AG625" s="15">
        <f t="shared" si="399"/>
        <v>1</v>
      </c>
      <c r="AH625" s="15">
        <f t="shared" si="400"/>
        <v>1</v>
      </c>
      <c r="AI625" s="15">
        <f t="shared" si="401"/>
        <v>1</v>
      </c>
      <c r="AJ625" s="15">
        <f t="shared" si="402"/>
        <v>1</v>
      </c>
      <c r="AK625" s="15">
        <f t="shared" si="403"/>
        <v>1</v>
      </c>
      <c r="AL625" s="15">
        <f t="shared" si="404"/>
        <v>1</v>
      </c>
      <c r="AM625" s="15">
        <f t="shared" si="405"/>
        <v>1</v>
      </c>
      <c r="AN625" s="15">
        <f t="shared" si="406"/>
        <v>1</v>
      </c>
      <c r="AO625" s="15">
        <f t="shared" si="407"/>
        <v>1</v>
      </c>
      <c r="AP625" s="15">
        <f t="shared" si="408"/>
        <v>1</v>
      </c>
      <c r="AQ625" s="15">
        <f t="shared" si="409"/>
        <v>1</v>
      </c>
      <c r="AR625" s="15">
        <f t="shared" si="410"/>
        <v>1</v>
      </c>
      <c r="AS625" s="15">
        <f t="shared" si="411"/>
        <v>1</v>
      </c>
      <c r="AT625" s="15">
        <f t="shared" si="412"/>
        <v>1</v>
      </c>
      <c r="AU625" s="15">
        <f t="shared" si="413"/>
        <v>1</v>
      </c>
      <c r="AV625" s="15">
        <f t="shared" si="414"/>
        <v>1</v>
      </c>
      <c r="AW625" s="15">
        <f t="shared" si="415"/>
        <v>1</v>
      </c>
      <c r="AX625" s="15">
        <f t="shared" si="416"/>
        <v>1</v>
      </c>
      <c r="AY625" s="15">
        <f t="shared" si="417"/>
        <v>1</v>
      </c>
      <c r="AZ625" s="15">
        <f t="shared" si="418"/>
        <v>1</v>
      </c>
      <c r="BA625" s="15">
        <f t="shared" si="419"/>
        <v>1</v>
      </c>
      <c r="BB625" s="15">
        <f t="shared" si="387"/>
        <v>0</v>
      </c>
      <c r="BC625" s="15" t="str">
        <f t="shared" si="388"/>
        <v/>
      </c>
      <c r="BD625" s="15" t="str">
        <f t="shared" si="389"/>
        <v/>
      </c>
      <c r="BE625" s="11" t="e">
        <f t="shared" si="420"/>
        <v>#VALUE!</v>
      </c>
      <c r="BF625" s="11" t="e">
        <f t="shared" si="421"/>
        <v>#VALUE!</v>
      </c>
      <c r="BG625" s="11" t="e">
        <f t="shared" si="422"/>
        <v>#VALUE!</v>
      </c>
      <c r="BH625" t="str">
        <f t="shared" si="423"/>
        <v/>
      </c>
      <c r="BI625" t="str" cm="1">
        <f t="array" ref="BI625">_xlfn.IFS(
  L625&gt;0,"Critical Fail",
  M625&gt;0,"Important (Coaching)",
  TRUE,"Clean Pass"
)</f>
        <v>Clean Pass</v>
      </c>
      <c r="BJ625" t="str">
        <f t="shared" si="424"/>
        <v>NA</v>
      </c>
    </row>
    <row r="626" spans="1:62" x14ac:dyDescent="0.3">
      <c r="A626">
        <v>578811</v>
      </c>
      <c r="K626" t="str">
        <f t="shared" si="386"/>
        <v>Pass</v>
      </c>
      <c r="L626" s="15">
        <f t="shared" si="390"/>
        <v>0</v>
      </c>
      <c r="M626" s="15">
        <f t="shared" si="391"/>
        <v>0</v>
      </c>
      <c r="Z626" s="15">
        <f t="shared" si="392"/>
        <v>1</v>
      </c>
      <c r="AA626" s="15">
        <f t="shared" si="393"/>
        <v>1</v>
      </c>
      <c r="AB626" s="15">
        <f t="shared" si="394"/>
        <v>1</v>
      </c>
      <c r="AC626" s="15">
        <f t="shared" si="395"/>
        <v>1</v>
      </c>
      <c r="AD626" s="15">
        <f t="shared" si="396"/>
        <v>1</v>
      </c>
      <c r="AE626" s="15">
        <f t="shared" si="397"/>
        <v>1</v>
      </c>
      <c r="AF626" s="15">
        <f t="shared" si="398"/>
        <v>1</v>
      </c>
      <c r="AG626" s="15">
        <f t="shared" si="399"/>
        <v>1</v>
      </c>
      <c r="AH626" s="15">
        <f t="shared" si="400"/>
        <v>1</v>
      </c>
      <c r="AI626" s="15">
        <f t="shared" si="401"/>
        <v>1</v>
      </c>
      <c r="AJ626" s="15">
        <f t="shared" si="402"/>
        <v>1</v>
      </c>
      <c r="AK626" s="15">
        <f t="shared" si="403"/>
        <v>1</v>
      </c>
      <c r="AL626" s="15">
        <f t="shared" si="404"/>
        <v>1</v>
      </c>
      <c r="AM626" s="15">
        <f t="shared" si="405"/>
        <v>1</v>
      </c>
      <c r="AN626" s="15">
        <f t="shared" si="406"/>
        <v>1</v>
      </c>
      <c r="AO626" s="15">
        <f t="shared" si="407"/>
        <v>1</v>
      </c>
      <c r="AP626" s="15">
        <f t="shared" si="408"/>
        <v>1</v>
      </c>
      <c r="AQ626" s="15">
        <f t="shared" si="409"/>
        <v>1</v>
      </c>
      <c r="AR626" s="15">
        <f t="shared" si="410"/>
        <v>1</v>
      </c>
      <c r="AS626" s="15">
        <f t="shared" si="411"/>
        <v>1</v>
      </c>
      <c r="AT626" s="15">
        <f t="shared" si="412"/>
        <v>1</v>
      </c>
      <c r="AU626" s="15">
        <f t="shared" si="413"/>
        <v>1</v>
      </c>
      <c r="AV626" s="15">
        <f t="shared" si="414"/>
        <v>1</v>
      </c>
      <c r="AW626" s="15">
        <f t="shared" si="415"/>
        <v>1</v>
      </c>
      <c r="AX626" s="15">
        <f t="shared" si="416"/>
        <v>1</v>
      </c>
      <c r="AY626" s="15">
        <f t="shared" si="417"/>
        <v>1</v>
      </c>
      <c r="AZ626" s="15">
        <f t="shared" si="418"/>
        <v>1</v>
      </c>
      <c r="BA626" s="15">
        <f t="shared" si="419"/>
        <v>1</v>
      </c>
      <c r="BB626" s="15">
        <f t="shared" si="387"/>
        <v>0</v>
      </c>
      <c r="BC626" s="15" t="str">
        <f t="shared" si="388"/>
        <v/>
      </c>
      <c r="BD626" s="15" t="str">
        <f t="shared" si="389"/>
        <v/>
      </c>
      <c r="BE626" s="11" t="e">
        <f t="shared" si="420"/>
        <v>#VALUE!</v>
      </c>
      <c r="BF626" s="11" t="e">
        <f t="shared" si="421"/>
        <v>#VALUE!</v>
      </c>
      <c r="BG626" s="11" t="e">
        <f t="shared" si="422"/>
        <v>#VALUE!</v>
      </c>
      <c r="BH626" t="str">
        <f t="shared" si="423"/>
        <v/>
      </c>
      <c r="BI626" t="str" cm="1">
        <f t="array" ref="BI626">_xlfn.IFS(
  L626&gt;0,"Critical Fail",
  M626&gt;0,"Important (Coaching)",
  TRUE,"Clean Pass"
)</f>
        <v>Clean Pass</v>
      </c>
      <c r="BJ626" t="str">
        <f t="shared" si="424"/>
        <v>NA</v>
      </c>
    </row>
    <row r="627" spans="1:62" x14ac:dyDescent="0.3">
      <c r="A627">
        <v>145717</v>
      </c>
      <c r="K627" t="str">
        <f t="shared" si="386"/>
        <v>Pass</v>
      </c>
      <c r="L627" s="15">
        <f t="shared" si="390"/>
        <v>0</v>
      </c>
      <c r="M627" s="15">
        <f t="shared" si="391"/>
        <v>0</v>
      </c>
      <c r="Z627" s="15">
        <f t="shared" si="392"/>
        <v>1</v>
      </c>
      <c r="AA627" s="15">
        <f t="shared" si="393"/>
        <v>1</v>
      </c>
      <c r="AB627" s="15">
        <f t="shared" si="394"/>
        <v>1</v>
      </c>
      <c r="AC627" s="15">
        <f t="shared" si="395"/>
        <v>1</v>
      </c>
      <c r="AD627" s="15">
        <f t="shared" si="396"/>
        <v>1</v>
      </c>
      <c r="AE627" s="15">
        <f t="shared" si="397"/>
        <v>1</v>
      </c>
      <c r="AF627" s="15">
        <f t="shared" si="398"/>
        <v>1</v>
      </c>
      <c r="AG627" s="15">
        <f t="shared" si="399"/>
        <v>1</v>
      </c>
      <c r="AH627" s="15">
        <f t="shared" si="400"/>
        <v>1</v>
      </c>
      <c r="AI627" s="15">
        <f t="shared" si="401"/>
        <v>1</v>
      </c>
      <c r="AJ627" s="15">
        <f t="shared" si="402"/>
        <v>1</v>
      </c>
      <c r="AK627" s="15">
        <f t="shared" si="403"/>
        <v>1</v>
      </c>
      <c r="AL627" s="15">
        <f t="shared" si="404"/>
        <v>1</v>
      </c>
      <c r="AM627" s="15">
        <f t="shared" si="405"/>
        <v>1</v>
      </c>
      <c r="AN627" s="15">
        <f t="shared" si="406"/>
        <v>1</v>
      </c>
      <c r="AO627" s="15">
        <f t="shared" si="407"/>
        <v>1</v>
      </c>
      <c r="AP627" s="15">
        <f t="shared" si="408"/>
        <v>1</v>
      </c>
      <c r="AQ627" s="15">
        <f t="shared" si="409"/>
        <v>1</v>
      </c>
      <c r="AR627" s="15">
        <f t="shared" si="410"/>
        <v>1</v>
      </c>
      <c r="AS627" s="15">
        <f t="shared" si="411"/>
        <v>1</v>
      </c>
      <c r="AT627" s="15">
        <f t="shared" si="412"/>
        <v>1</v>
      </c>
      <c r="AU627" s="15">
        <f t="shared" si="413"/>
        <v>1</v>
      </c>
      <c r="AV627" s="15">
        <f t="shared" si="414"/>
        <v>1</v>
      </c>
      <c r="AW627" s="15">
        <f t="shared" si="415"/>
        <v>1</v>
      </c>
      <c r="AX627" s="15">
        <f t="shared" si="416"/>
        <v>1</v>
      </c>
      <c r="AY627" s="15">
        <f t="shared" si="417"/>
        <v>1</v>
      </c>
      <c r="AZ627" s="15">
        <f t="shared" si="418"/>
        <v>1</v>
      </c>
      <c r="BA627" s="15">
        <f t="shared" si="419"/>
        <v>1</v>
      </c>
      <c r="BB627" s="15">
        <f t="shared" si="387"/>
        <v>0</v>
      </c>
      <c r="BC627" s="15" t="str">
        <f t="shared" si="388"/>
        <v/>
      </c>
      <c r="BD627" s="15" t="str">
        <f t="shared" si="389"/>
        <v/>
      </c>
      <c r="BE627" s="11" t="e">
        <f t="shared" si="420"/>
        <v>#VALUE!</v>
      </c>
      <c r="BF627" s="11" t="e">
        <f t="shared" si="421"/>
        <v>#VALUE!</v>
      </c>
      <c r="BG627" s="11" t="e">
        <f t="shared" si="422"/>
        <v>#VALUE!</v>
      </c>
      <c r="BH627" t="str">
        <f t="shared" si="423"/>
        <v/>
      </c>
      <c r="BI627" t="str" cm="1">
        <f t="array" ref="BI627">_xlfn.IFS(
  L627&gt;0,"Critical Fail",
  M627&gt;0,"Important (Coaching)",
  TRUE,"Clean Pass"
)</f>
        <v>Clean Pass</v>
      </c>
      <c r="BJ627" t="str">
        <f t="shared" si="424"/>
        <v>NA</v>
      </c>
    </row>
    <row r="628" spans="1:62" x14ac:dyDescent="0.3">
      <c r="A628">
        <v>696841</v>
      </c>
      <c r="K628" t="str">
        <f t="shared" si="386"/>
        <v>Pass</v>
      </c>
      <c r="L628" s="15">
        <f t="shared" si="390"/>
        <v>0</v>
      </c>
      <c r="M628" s="15">
        <f t="shared" si="391"/>
        <v>0</v>
      </c>
      <c r="Z628" s="15">
        <f t="shared" si="392"/>
        <v>1</v>
      </c>
      <c r="AA628" s="15">
        <f t="shared" si="393"/>
        <v>1</v>
      </c>
      <c r="AB628" s="15">
        <f t="shared" si="394"/>
        <v>1</v>
      </c>
      <c r="AC628" s="15">
        <f t="shared" si="395"/>
        <v>1</v>
      </c>
      <c r="AD628" s="15">
        <f t="shared" si="396"/>
        <v>1</v>
      </c>
      <c r="AE628" s="15">
        <f t="shared" si="397"/>
        <v>1</v>
      </c>
      <c r="AF628" s="15">
        <f t="shared" si="398"/>
        <v>1</v>
      </c>
      <c r="AG628" s="15">
        <f t="shared" si="399"/>
        <v>1</v>
      </c>
      <c r="AH628" s="15">
        <f t="shared" si="400"/>
        <v>1</v>
      </c>
      <c r="AI628" s="15">
        <f t="shared" si="401"/>
        <v>1</v>
      </c>
      <c r="AJ628" s="15">
        <f t="shared" si="402"/>
        <v>1</v>
      </c>
      <c r="AK628" s="15">
        <f t="shared" si="403"/>
        <v>1</v>
      </c>
      <c r="AL628" s="15">
        <f t="shared" si="404"/>
        <v>1</v>
      </c>
      <c r="AM628" s="15">
        <f t="shared" si="405"/>
        <v>1</v>
      </c>
      <c r="AN628" s="15">
        <f t="shared" si="406"/>
        <v>1</v>
      </c>
      <c r="AO628" s="15">
        <f t="shared" si="407"/>
        <v>1</v>
      </c>
      <c r="AP628" s="15">
        <f t="shared" si="408"/>
        <v>1</v>
      </c>
      <c r="AQ628" s="15">
        <f t="shared" si="409"/>
        <v>1</v>
      </c>
      <c r="AR628" s="15">
        <f t="shared" si="410"/>
        <v>1</v>
      </c>
      <c r="AS628" s="15">
        <f t="shared" si="411"/>
        <v>1</v>
      </c>
      <c r="AT628" s="15">
        <f t="shared" si="412"/>
        <v>1</v>
      </c>
      <c r="AU628" s="15">
        <f t="shared" si="413"/>
        <v>1</v>
      </c>
      <c r="AV628" s="15">
        <f t="shared" si="414"/>
        <v>1</v>
      </c>
      <c r="AW628" s="15">
        <f t="shared" si="415"/>
        <v>1</v>
      </c>
      <c r="AX628" s="15">
        <f t="shared" si="416"/>
        <v>1</v>
      </c>
      <c r="AY628" s="15">
        <f t="shared" si="417"/>
        <v>1</v>
      </c>
      <c r="AZ628" s="15">
        <f t="shared" si="418"/>
        <v>1</v>
      </c>
      <c r="BA628" s="15">
        <f t="shared" si="419"/>
        <v>1</v>
      </c>
      <c r="BB628" s="15">
        <f t="shared" si="387"/>
        <v>0</v>
      </c>
      <c r="BC628" s="15" t="str">
        <f t="shared" si="388"/>
        <v/>
      </c>
      <c r="BD628" s="15" t="str">
        <f t="shared" si="389"/>
        <v/>
      </c>
      <c r="BE628" s="11" t="e">
        <f t="shared" si="420"/>
        <v>#VALUE!</v>
      </c>
      <c r="BF628" s="11" t="e">
        <f t="shared" si="421"/>
        <v>#VALUE!</v>
      </c>
      <c r="BG628" s="11" t="e">
        <f t="shared" si="422"/>
        <v>#VALUE!</v>
      </c>
      <c r="BH628" t="str">
        <f t="shared" si="423"/>
        <v/>
      </c>
      <c r="BI628" t="str" cm="1">
        <f t="array" ref="BI628">_xlfn.IFS(
  L628&gt;0,"Critical Fail",
  M628&gt;0,"Important (Coaching)",
  TRUE,"Clean Pass"
)</f>
        <v>Clean Pass</v>
      </c>
      <c r="BJ628" t="str">
        <f t="shared" si="424"/>
        <v>NA</v>
      </c>
    </row>
    <row r="629" spans="1:62" x14ac:dyDescent="0.3">
      <c r="A629">
        <v>850783</v>
      </c>
      <c r="K629" t="str">
        <f t="shared" si="386"/>
        <v>Pass</v>
      </c>
      <c r="L629" s="15">
        <f t="shared" si="390"/>
        <v>0</v>
      </c>
      <c r="M629" s="15">
        <f t="shared" si="391"/>
        <v>0</v>
      </c>
      <c r="Z629" s="15">
        <f t="shared" si="392"/>
        <v>1</v>
      </c>
      <c r="AA629" s="15">
        <f t="shared" si="393"/>
        <v>1</v>
      </c>
      <c r="AB629" s="15">
        <f t="shared" si="394"/>
        <v>1</v>
      </c>
      <c r="AC629" s="15">
        <f t="shared" si="395"/>
        <v>1</v>
      </c>
      <c r="AD629" s="15">
        <f t="shared" si="396"/>
        <v>1</v>
      </c>
      <c r="AE629" s="15">
        <f t="shared" si="397"/>
        <v>1</v>
      </c>
      <c r="AF629" s="15">
        <f t="shared" si="398"/>
        <v>1</v>
      </c>
      <c r="AG629" s="15">
        <f t="shared" si="399"/>
        <v>1</v>
      </c>
      <c r="AH629" s="15">
        <f t="shared" si="400"/>
        <v>1</v>
      </c>
      <c r="AI629" s="15">
        <f t="shared" si="401"/>
        <v>1</v>
      </c>
      <c r="AJ629" s="15">
        <f t="shared" si="402"/>
        <v>1</v>
      </c>
      <c r="AK629" s="15">
        <f t="shared" si="403"/>
        <v>1</v>
      </c>
      <c r="AL629" s="15">
        <f t="shared" si="404"/>
        <v>1</v>
      </c>
      <c r="AM629" s="15">
        <f t="shared" si="405"/>
        <v>1</v>
      </c>
      <c r="AN629" s="15">
        <f t="shared" si="406"/>
        <v>1</v>
      </c>
      <c r="AO629" s="15">
        <f t="shared" si="407"/>
        <v>1</v>
      </c>
      <c r="AP629" s="15">
        <f t="shared" si="408"/>
        <v>1</v>
      </c>
      <c r="AQ629" s="15">
        <f t="shared" si="409"/>
        <v>1</v>
      </c>
      <c r="AR629" s="15">
        <f t="shared" si="410"/>
        <v>1</v>
      </c>
      <c r="AS629" s="15">
        <f t="shared" si="411"/>
        <v>1</v>
      </c>
      <c r="AT629" s="15">
        <f t="shared" si="412"/>
        <v>1</v>
      </c>
      <c r="AU629" s="15">
        <f t="shared" si="413"/>
        <v>1</v>
      </c>
      <c r="AV629" s="15">
        <f t="shared" si="414"/>
        <v>1</v>
      </c>
      <c r="AW629" s="15">
        <f t="shared" si="415"/>
        <v>1</v>
      </c>
      <c r="AX629" s="15">
        <f t="shared" si="416"/>
        <v>1</v>
      </c>
      <c r="AY629" s="15">
        <f t="shared" si="417"/>
        <v>1</v>
      </c>
      <c r="AZ629" s="15">
        <f t="shared" si="418"/>
        <v>1</v>
      </c>
      <c r="BA629" s="15">
        <f t="shared" si="419"/>
        <v>1</v>
      </c>
      <c r="BB629" s="15">
        <f t="shared" si="387"/>
        <v>0</v>
      </c>
      <c r="BC629" s="15" t="str">
        <f t="shared" si="388"/>
        <v/>
      </c>
      <c r="BD629" s="15" t="str">
        <f t="shared" si="389"/>
        <v/>
      </c>
      <c r="BE629" s="11" t="e">
        <f t="shared" si="420"/>
        <v>#VALUE!</v>
      </c>
      <c r="BF629" s="11" t="e">
        <f t="shared" si="421"/>
        <v>#VALUE!</v>
      </c>
      <c r="BG629" s="11" t="e">
        <f t="shared" si="422"/>
        <v>#VALUE!</v>
      </c>
      <c r="BH629" t="str">
        <f t="shared" si="423"/>
        <v/>
      </c>
      <c r="BI629" t="str" cm="1">
        <f t="array" ref="BI629">_xlfn.IFS(
  L629&gt;0,"Critical Fail",
  M629&gt;0,"Important (Coaching)",
  TRUE,"Clean Pass"
)</f>
        <v>Clean Pass</v>
      </c>
      <c r="BJ629" t="str">
        <f t="shared" si="424"/>
        <v>NA</v>
      </c>
    </row>
    <row r="630" spans="1:62" x14ac:dyDescent="0.3">
      <c r="A630">
        <v>962792</v>
      </c>
      <c r="K630" t="str">
        <f t="shared" si="386"/>
        <v>Pass</v>
      </c>
      <c r="L630" s="15">
        <f t="shared" si="390"/>
        <v>0</v>
      </c>
      <c r="M630" s="15">
        <f t="shared" si="391"/>
        <v>0</v>
      </c>
      <c r="Z630" s="15">
        <f t="shared" si="392"/>
        <v>1</v>
      </c>
      <c r="AA630" s="15">
        <f t="shared" si="393"/>
        <v>1</v>
      </c>
      <c r="AB630" s="15">
        <f t="shared" si="394"/>
        <v>1</v>
      </c>
      <c r="AC630" s="15">
        <f t="shared" si="395"/>
        <v>1</v>
      </c>
      <c r="AD630" s="15">
        <f t="shared" si="396"/>
        <v>1</v>
      </c>
      <c r="AE630" s="15">
        <f t="shared" si="397"/>
        <v>1</v>
      </c>
      <c r="AF630" s="15">
        <f t="shared" si="398"/>
        <v>1</v>
      </c>
      <c r="AG630" s="15">
        <f t="shared" si="399"/>
        <v>1</v>
      </c>
      <c r="AH630" s="15">
        <f t="shared" si="400"/>
        <v>1</v>
      </c>
      <c r="AI630" s="15">
        <f t="shared" si="401"/>
        <v>1</v>
      </c>
      <c r="AJ630" s="15">
        <f t="shared" si="402"/>
        <v>1</v>
      </c>
      <c r="AK630" s="15">
        <f t="shared" si="403"/>
        <v>1</v>
      </c>
      <c r="AL630" s="15">
        <f t="shared" si="404"/>
        <v>1</v>
      </c>
      <c r="AM630" s="15">
        <f t="shared" si="405"/>
        <v>1</v>
      </c>
      <c r="AN630" s="15">
        <f t="shared" si="406"/>
        <v>1</v>
      </c>
      <c r="AO630" s="15">
        <f t="shared" si="407"/>
        <v>1</v>
      </c>
      <c r="AP630" s="15">
        <f t="shared" si="408"/>
        <v>1</v>
      </c>
      <c r="AQ630" s="15">
        <f t="shared" si="409"/>
        <v>1</v>
      </c>
      <c r="AR630" s="15">
        <f t="shared" si="410"/>
        <v>1</v>
      </c>
      <c r="AS630" s="15">
        <f t="shared" si="411"/>
        <v>1</v>
      </c>
      <c r="AT630" s="15">
        <f t="shared" si="412"/>
        <v>1</v>
      </c>
      <c r="AU630" s="15">
        <f t="shared" si="413"/>
        <v>1</v>
      </c>
      <c r="AV630" s="15">
        <f t="shared" si="414"/>
        <v>1</v>
      </c>
      <c r="AW630" s="15">
        <f t="shared" si="415"/>
        <v>1</v>
      </c>
      <c r="AX630" s="15">
        <f t="shared" si="416"/>
        <v>1</v>
      </c>
      <c r="AY630" s="15">
        <f t="shared" si="417"/>
        <v>1</v>
      </c>
      <c r="AZ630" s="15">
        <f t="shared" si="418"/>
        <v>1</v>
      </c>
      <c r="BA630" s="15">
        <f t="shared" si="419"/>
        <v>1</v>
      </c>
      <c r="BB630" s="15">
        <f t="shared" si="387"/>
        <v>0</v>
      </c>
      <c r="BC630" s="15" t="str">
        <f t="shared" si="388"/>
        <v/>
      </c>
      <c r="BD630" s="15" t="str">
        <f t="shared" si="389"/>
        <v/>
      </c>
      <c r="BE630" s="11" t="e">
        <f t="shared" si="420"/>
        <v>#VALUE!</v>
      </c>
      <c r="BF630" s="11" t="e">
        <f t="shared" si="421"/>
        <v>#VALUE!</v>
      </c>
      <c r="BG630" s="11" t="e">
        <f t="shared" si="422"/>
        <v>#VALUE!</v>
      </c>
      <c r="BH630" t="str">
        <f t="shared" si="423"/>
        <v/>
      </c>
      <c r="BI630" t="str" cm="1">
        <f t="array" ref="BI630">_xlfn.IFS(
  L630&gt;0,"Critical Fail",
  M630&gt;0,"Important (Coaching)",
  TRUE,"Clean Pass"
)</f>
        <v>Clean Pass</v>
      </c>
      <c r="BJ630" t="str">
        <f t="shared" si="424"/>
        <v>NA</v>
      </c>
    </row>
    <row r="631" spans="1:62" x14ac:dyDescent="0.3">
      <c r="A631">
        <v>971778</v>
      </c>
      <c r="K631" t="str">
        <f t="shared" si="386"/>
        <v>Pass</v>
      </c>
      <c r="L631" s="15">
        <f t="shared" si="390"/>
        <v>0</v>
      </c>
      <c r="M631" s="15">
        <f t="shared" si="391"/>
        <v>0</v>
      </c>
      <c r="Z631" s="15">
        <f t="shared" si="392"/>
        <v>1</v>
      </c>
      <c r="AA631" s="15">
        <f t="shared" si="393"/>
        <v>1</v>
      </c>
      <c r="AB631" s="15">
        <f t="shared" si="394"/>
        <v>1</v>
      </c>
      <c r="AC631" s="15">
        <f t="shared" si="395"/>
        <v>1</v>
      </c>
      <c r="AD631" s="15">
        <f t="shared" si="396"/>
        <v>1</v>
      </c>
      <c r="AE631" s="15">
        <f t="shared" si="397"/>
        <v>1</v>
      </c>
      <c r="AF631" s="15">
        <f t="shared" si="398"/>
        <v>1</v>
      </c>
      <c r="AG631" s="15">
        <f t="shared" si="399"/>
        <v>1</v>
      </c>
      <c r="AH631" s="15">
        <f t="shared" si="400"/>
        <v>1</v>
      </c>
      <c r="AI631" s="15">
        <f t="shared" si="401"/>
        <v>1</v>
      </c>
      <c r="AJ631" s="15">
        <f t="shared" si="402"/>
        <v>1</v>
      </c>
      <c r="AK631" s="15">
        <f t="shared" si="403"/>
        <v>1</v>
      </c>
      <c r="AL631" s="15">
        <f t="shared" si="404"/>
        <v>1</v>
      </c>
      <c r="AM631" s="15">
        <f t="shared" si="405"/>
        <v>1</v>
      </c>
      <c r="AN631" s="15">
        <f t="shared" si="406"/>
        <v>1</v>
      </c>
      <c r="AO631" s="15">
        <f t="shared" si="407"/>
        <v>1</v>
      </c>
      <c r="AP631" s="15">
        <f t="shared" si="408"/>
        <v>1</v>
      </c>
      <c r="AQ631" s="15">
        <f t="shared" si="409"/>
        <v>1</v>
      </c>
      <c r="AR631" s="15">
        <f t="shared" si="410"/>
        <v>1</v>
      </c>
      <c r="AS631" s="15">
        <f t="shared" si="411"/>
        <v>1</v>
      </c>
      <c r="AT631" s="15">
        <f t="shared" si="412"/>
        <v>1</v>
      </c>
      <c r="AU631" s="15">
        <f t="shared" si="413"/>
        <v>1</v>
      </c>
      <c r="AV631" s="15">
        <f t="shared" si="414"/>
        <v>1</v>
      </c>
      <c r="AW631" s="15">
        <f t="shared" si="415"/>
        <v>1</v>
      </c>
      <c r="AX631" s="15">
        <f t="shared" si="416"/>
        <v>1</v>
      </c>
      <c r="AY631" s="15">
        <f t="shared" si="417"/>
        <v>1</v>
      </c>
      <c r="AZ631" s="15">
        <f t="shared" si="418"/>
        <v>1</v>
      </c>
      <c r="BA631" s="15">
        <f t="shared" si="419"/>
        <v>1</v>
      </c>
      <c r="BB631" s="15">
        <f t="shared" si="387"/>
        <v>0</v>
      </c>
      <c r="BC631" s="15" t="str">
        <f t="shared" si="388"/>
        <v/>
      </c>
      <c r="BD631" s="15" t="str">
        <f t="shared" si="389"/>
        <v/>
      </c>
      <c r="BE631" s="11" t="e">
        <f t="shared" si="420"/>
        <v>#VALUE!</v>
      </c>
      <c r="BF631" s="11" t="e">
        <f t="shared" si="421"/>
        <v>#VALUE!</v>
      </c>
      <c r="BG631" s="11" t="e">
        <f t="shared" si="422"/>
        <v>#VALUE!</v>
      </c>
      <c r="BH631" t="str">
        <f t="shared" si="423"/>
        <v/>
      </c>
      <c r="BI631" t="str" cm="1">
        <f t="array" ref="BI631">_xlfn.IFS(
  L631&gt;0,"Critical Fail",
  M631&gt;0,"Important (Coaching)",
  TRUE,"Clean Pass"
)</f>
        <v>Clean Pass</v>
      </c>
      <c r="BJ631" t="str">
        <f t="shared" si="424"/>
        <v>NA</v>
      </c>
    </row>
    <row r="632" spans="1:62" x14ac:dyDescent="0.3">
      <c r="A632">
        <v>728946</v>
      </c>
      <c r="K632" t="str">
        <f t="shared" si="386"/>
        <v>Pass</v>
      </c>
      <c r="L632" s="15">
        <f t="shared" si="390"/>
        <v>0</v>
      </c>
      <c r="M632" s="15">
        <f t="shared" si="391"/>
        <v>0</v>
      </c>
      <c r="Z632" s="15">
        <f t="shared" si="392"/>
        <v>1</v>
      </c>
      <c r="AA632" s="15">
        <f t="shared" si="393"/>
        <v>1</v>
      </c>
      <c r="AB632" s="15">
        <f t="shared" si="394"/>
        <v>1</v>
      </c>
      <c r="AC632" s="15">
        <f t="shared" si="395"/>
        <v>1</v>
      </c>
      <c r="AD632" s="15">
        <f t="shared" si="396"/>
        <v>1</v>
      </c>
      <c r="AE632" s="15">
        <f t="shared" si="397"/>
        <v>1</v>
      </c>
      <c r="AF632" s="15">
        <f t="shared" si="398"/>
        <v>1</v>
      </c>
      <c r="AG632" s="15">
        <f t="shared" si="399"/>
        <v>1</v>
      </c>
      <c r="AH632" s="15">
        <f t="shared" si="400"/>
        <v>1</v>
      </c>
      <c r="AI632" s="15">
        <f t="shared" si="401"/>
        <v>1</v>
      </c>
      <c r="AJ632" s="15">
        <f t="shared" si="402"/>
        <v>1</v>
      </c>
      <c r="AK632" s="15">
        <f t="shared" si="403"/>
        <v>1</v>
      </c>
      <c r="AL632" s="15">
        <f t="shared" si="404"/>
        <v>1</v>
      </c>
      <c r="AM632" s="15">
        <f t="shared" si="405"/>
        <v>1</v>
      </c>
      <c r="AN632" s="15">
        <f t="shared" si="406"/>
        <v>1</v>
      </c>
      <c r="AO632" s="15">
        <f t="shared" si="407"/>
        <v>1</v>
      </c>
      <c r="AP632" s="15">
        <f t="shared" si="408"/>
        <v>1</v>
      </c>
      <c r="AQ632" s="15">
        <f t="shared" si="409"/>
        <v>1</v>
      </c>
      <c r="AR632" s="15">
        <f t="shared" si="410"/>
        <v>1</v>
      </c>
      <c r="AS632" s="15">
        <f t="shared" si="411"/>
        <v>1</v>
      </c>
      <c r="AT632" s="15">
        <f t="shared" si="412"/>
        <v>1</v>
      </c>
      <c r="AU632" s="15">
        <f t="shared" si="413"/>
        <v>1</v>
      </c>
      <c r="AV632" s="15">
        <f t="shared" si="414"/>
        <v>1</v>
      </c>
      <c r="AW632" s="15">
        <f t="shared" si="415"/>
        <v>1</v>
      </c>
      <c r="AX632" s="15">
        <f t="shared" si="416"/>
        <v>1</v>
      </c>
      <c r="AY632" s="15">
        <f t="shared" si="417"/>
        <v>1</v>
      </c>
      <c r="AZ632" s="15">
        <f t="shared" si="418"/>
        <v>1</v>
      </c>
      <c r="BA632" s="15">
        <f t="shared" si="419"/>
        <v>1</v>
      </c>
      <c r="BB632" s="15">
        <f t="shared" si="387"/>
        <v>0</v>
      </c>
      <c r="BC632" s="15" t="str">
        <f t="shared" si="388"/>
        <v/>
      </c>
      <c r="BD632" s="15" t="str">
        <f t="shared" si="389"/>
        <v/>
      </c>
      <c r="BE632" s="11" t="e">
        <f t="shared" si="420"/>
        <v>#VALUE!</v>
      </c>
      <c r="BF632" s="11" t="e">
        <f t="shared" si="421"/>
        <v>#VALUE!</v>
      </c>
      <c r="BG632" s="11" t="e">
        <f t="shared" si="422"/>
        <v>#VALUE!</v>
      </c>
      <c r="BH632" t="str">
        <f t="shared" si="423"/>
        <v/>
      </c>
      <c r="BI632" t="str" cm="1">
        <f t="array" ref="BI632">_xlfn.IFS(
  L632&gt;0,"Critical Fail",
  M632&gt;0,"Important (Coaching)",
  TRUE,"Clean Pass"
)</f>
        <v>Clean Pass</v>
      </c>
      <c r="BJ632" t="str">
        <f t="shared" si="424"/>
        <v>NA</v>
      </c>
    </row>
    <row r="633" spans="1:62" x14ac:dyDescent="0.3">
      <c r="A633">
        <v>318836</v>
      </c>
      <c r="K633" t="str">
        <f t="shared" si="386"/>
        <v>Pass</v>
      </c>
      <c r="L633" s="15">
        <f t="shared" si="390"/>
        <v>0</v>
      </c>
      <c r="M633" s="15">
        <f t="shared" si="391"/>
        <v>0</v>
      </c>
      <c r="Z633" s="15">
        <f t="shared" si="392"/>
        <v>1</v>
      </c>
      <c r="AA633" s="15">
        <f t="shared" si="393"/>
        <v>1</v>
      </c>
      <c r="AB633" s="15">
        <f t="shared" si="394"/>
        <v>1</v>
      </c>
      <c r="AC633" s="15">
        <f t="shared" si="395"/>
        <v>1</v>
      </c>
      <c r="AD633" s="15">
        <f t="shared" si="396"/>
        <v>1</v>
      </c>
      <c r="AE633" s="15">
        <f t="shared" si="397"/>
        <v>1</v>
      </c>
      <c r="AF633" s="15">
        <f t="shared" si="398"/>
        <v>1</v>
      </c>
      <c r="AG633" s="15">
        <f t="shared" si="399"/>
        <v>1</v>
      </c>
      <c r="AH633" s="15">
        <f t="shared" si="400"/>
        <v>1</v>
      </c>
      <c r="AI633" s="15">
        <f t="shared" si="401"/>
        <v>1</v>
      </c>
      <c r="AJ633" s="15">
        <f t="shared" si="402"/>
        <v>1</v>
      </c>
      <c r="AK633" s="15">
        <f t="shared" si="403"/>
        <v>1</v>
      </c>
      <c r="AL633" s="15">
        <f t="shared" si="404"/>
        <v>1</v>
      </c>
      <c r="AM633" s="15">
        <f t="shared" si="405"/>
        <v>1</v>
      </c>
      <c r="AN633" s="15">
        <f t="shared" si="406"/>
        <v>1</v>
      </c>
      <c r="AO633" s="15">
        <f t="shared" si="407"/>
        <v>1</v>
      </c>
      <c r="AP633" s="15">
        <f t="shared" si="408"/>
        <v>1</v>
      </c>
      <c r="AQ633" s="15">
        <f t="shared" si="409"/>
        <v>1</v>
      </c>
      <c r="AR633" s="15">
        <f t="shared" si="410"/>
        <v>1</v>
      </c>
      <c r="AS633" s="15">
        <f t="shared" si="411"/>
        <v>1</v>
      </c>
      <c r="AT633" s="15">
        <f t="shared" si="412"/>
        <v>1</v>
      </c>
      <c r="AU633" s="15">
        <f t="shared" si="413"/>
        <v>1</v>
      </c>
      <c r="AV633" s="15">
        <f t="shared" si="414"/>
        <v>1</v>
      </c>
      <c r="AW633" s="15">
        <f t="shared" si="415"/>
        <v>1</v>
      </c>
      <c r="AX633" s="15">
        <f t="shared" si="416"/>
        <v>1</v>
      </c>
      <c r="AY633" s="15">
        <f t="shared" si="417"/>
        <v>1</v>
      </c>
      <c r="AZ633" s="15">
        <f t="shared" si="418"/>
        <v>1</v>
      </c>
      <c r="BA633" s="15">
        <f t="shared" si="419"/>
        <v>1</v>
      </c>
      <c r="BB633" s="15">
        <f t="shared" si="387"/>
        <v>0</v>
      </c>
      <c r="BC633" s="15" t="str">
        <f t="shared" si="388"/>
        <v/>
      </c>
      <c r="BD633" s="15" t="str">
        <f t="shared" si="389"/>
        <v/>
      </c>
      <c r="BE633" s="11" t="e">
        <f t="shared" si="420"/>
        <v>#VALUE!</v>
      </c>
      <c r="BF633" s="11" t="e">
        <f t="shared" si="421"/>
        <v>#VALUE!</v>
      </c>
      <c r="BG633" s="11" t="e">
        <f t="shared" si="422"/>
        <v>#VALUE!</v>
      </c>
      <c r="BH633" t="str">
        <f t="shared" si="423"/>
        <v/>
      </c>
      <c r="BI633" t="str" cm="1">
        <f t="array" ref="BI633">_xlfn.IFS(
  L633&gt;0,"Critical Fail",
  M633&gt;0,"Important (Coaching)",
  TRUE,"Clean Pass"
)</f>
        <v>Clean Pass</v>
      </c>
      <c r="BJ633" t="str">
        <f t="shared" si="424"/>
        <v>NA</v>
      </c>
    </row>
    <row r="634" spans="1:62" x14ac:dyDescent="0.3">
      <c r="A634">
        <v>252434</v>
      </c>
      <c r="K634" t="str">
        <f t="shared" si="386"/>
        <v>Pass</v>
      </c>
      <c r="L634" s="15">
        <f t="shared" si="390"/>
        <v>0</v>
      </c>
      <c r="M634" s="15">
        <f t="shared" si="391"/>
        <v>0</v>
      </c>
      <c r="Z634" s="15">
        <f t="shared" si="392"/>
        <v>1</v>
      </c>
      <c r="AA634" s="15">
        <f t="shared" si="393"/>
        <v>1</v>
      </c>
      <c r="AB634" s="15">
        <f t="shared" si="394"/>
        <v>1</v>
      </c>
      <c r="AC634" s="15">
        <f t="shared" si="395"/>
        <v>1</v>
      </c>
      <c r="AD634" s="15">
        <f t="shared" si="396"/>
        <v>1</v>
      </c>
      <c r="AE634" s="15">
        <f t="shared" si="397"/>
        <v>1</v>
      </c>
      <c r="AF634" s="15">
        <f t="shared" si="398"/>
        <v>1</v>
      </c>
      <c r="AG634" s="15">
        <f t="shared" si="399"/>
        <v>1</v>
      </c>
      <c r="AH634" s="15">
        <f t="shared" si="400"/>
        <v>1</v>
      </c>
      <c r="AI634" s="15">
        <f t="shared" si="401"/>
        <v>1</v>
      </c>
      <c r="AJ634" s="15">
        <f t="shared" si="402"/>
        <v>1</v>
      </c>
      <c r="AK634" s="15">
        <f t="shared" si="403"/>
        <v>1</v>
      </c>
      <c r="AL634" s="15">
        <f t="shared" si="404"/>
        <v>1</v>
      </c>
      <c r="AM634" s="15">
        <f t="shared" si="405"/>
        <v>1</v>
      </c>
      <c r="AN634" s="15">
        <f t="shared" si="406"/>
        <v>1</v>
      </c>
      <c r="AO634" s="15">
        <f t="shared" si="407"/>
        <v>1</v>
      </c>
      <c r="AP634" s="15">
        <f t="shared" si="408"/>
        <v>1</v>
      </c>
      <c r="AQ634" s="15">
        <f t="shared" si="409"/>
        <v>1</v>
      </c>
      <c r="AR634" s="15">
        <f t="shared" si="410"/>
        <v>1</v>
      </c>
      <c r="AS634" s="15">
        <f t="shared" si="411"/>
        <v>1</v>
      </c>
      <c r="AT634" s="15">
        <f t="shared" si="412"/>
        <v>1</v>
      </c>
      <c r="AU634" s="15">
        <f t="shared" si="413"/>
        <v>1</v>
      </c>
      <c r="AV634" s="15">
        <f t="shared" si="414"/>
        <v>1</v>
      </c>
      <c r="AW634" s="15">
        <f t="shared" si="415"/>
        <v>1</v>
      </c>
      <c r="AX634" s="15">
        <f t="shared" si="416"/>
        <v>1</v>
      </c>
      <c r="AY634" s="15">
        <f t="shared" si="417"/>
        <v>1</v>
      </c>
      <c r="AZ634" s="15">
        <f t="shared" si="418"/>
        <v>1</v>
      </c>
      <c r="BA634" s="15">
        <f t="shared" si="419"/>
        <v>1</v>
      </c>
      <c r="BB634" s="15">
        <f t="shared" si="387"/>
        <v>0</v>
      </c>
      <c r="BC634" s="15" t="str">
        <f t="shared" si="388"/>
        <v/>
      </c>
      <c r="BD634" s="15" t="str">
        <f t="shared" si="389"/>
        <v/>
      </c>
      <c r="BE634" s="11" t="e">
        <f t="shared" si="420"/>
        <v>#VALUE!</v>
      </c>
      <c r="BF634" s="11" t="e">
        <f t="shared" si="421"/>
        <v>#VALUE!</v>
      </c>
      <c r="BG634" s="11" t="e">
        <f t="shared" si="422"/>
        <v>#VALUE!</v>
      </c>
      <c r="BH634" t="str">
        <f t="shared" si="423"/>
        <v/>
      </c>
      <c r="BI634" t="str" cm="1">
        <f t="array" ref="BI634">_xlfn.IFS(
  L634&gt;0,"Critical Fail",
  M634&gt;0,"Important (Coaching)",
  TRUE,"Clean Pass"
)</f>
        <v>Clean Pass</v>
      </c>
      <c r="BJ634" t="str">
        <f t="shared" si="424"/>
        <v>NA</v>
      </c>
    </row>
    <row r="635" spans="1:62" x14ac:dyDescent="0.3">
      <c r="A635">
        <v>557781</v>
      </c>
      <c r="K635" t="str">
        <f t="shared" si="386"/>
        <v>Pass</v>
      </c>
      <c r="L635" s="15">
        <f t="shared" si="390"/>
        <v>0</v>
      </c>
      <c r="M635" s="15">
        <f t="shared" si="391"/>
        <v>0</v>
      </c>
      <c r="Z635" s="15">
        <f t="shared" si="392"/>
        <v>1</v>
      </c>
      <c r="AA635" s="15">
        <f t="shared" si="393"/>
        <v>1</v>
      </c>
      <c r="AB635" s="15">
        <f t="shared" si="394"/>
        <v>1</v>
      </c>
      <c r="AC635" s="15">
        <f t="shared" si="395"/>
        <v>1</v>
      </c>
      <c r="AD635" s="15">
        <f t="shared" si="396"/>
        <v>1</v>
      </c>
      <c r="AE635" s="15">
        <f t="shared" si="397"/>
        <v>1</v>
      </c>
      <c r="AF635" s="15">
        <f t="shared" si="398"/>
        <v>1</v>
      </c>
      <c r="AG635" s="15">
        <f t="shared" si="399"/>
        <v>1</v>
      </c>
      <c r="AH635" s="15">
        <f t="shared" si="400"/>
        <v>1</v>
      </c>
      <c r="AI635" s="15">
        <f t="shared" si="401"/>
        <v>1</v>
      </c>
      <c r="AJ635" s="15">
        <f t="shared" si="402"/>
        <v>1</v>
      </c>
      <c r="AK635" s="15">
        <f t="shared" si="403"/>
        <v>1</v>
      </c>
      <c r="AL635" s="15">
        <f t="shared" si="404"/>
        <v>1</v>
      </c>
      <c r="AM635" s="15">
        <f t="shared" si="405"/>
        <v>1</v>
      </c>
      <c r="AN635" s="15">
        <f t="shared" si="406"/>
        <v>1</v>
      </c>
      <c r="AO635" s="15">
        <f t="shared" si="407"/>
        <v>1</v>
      </c>
      <c r="AP635" s="15">
        <f t="shared" si="408"/>
        <v>1</v>
      </c>
      <c r="AQ635" s="15">
        <f t="shared" si="409"/>
        <v>1</v>
      </c>
      <c r="AR635" s="15">
        <f t="shared" si="410"/>
        <v>1</v>
      </c>
      <c r="AS635" s="15">
        <f t="shared" si="411"/>
        <v>1</v>
      </c>
      <c r="AT635" s="15">
        <f t="shared" si="412"/>
        <v>1</v>
      </c>
      <c r="AU635" s="15">
        <f t="shared" si="413"/>
        <v>1</v>
      </c>
      <c r="AV635" s="15">
        <f t="shared" si="414"/>
        <v>1</v>
      </c>
      <c r="AW635" s="15">
        <f t="shared" si="415"/>
        <v>1</v>
      </c>
      <c r="AX635" s="15">
        <f t="shared" si="416"/>
        <v>1</v>
      </c>
      <c r="AY635" s="15">
        <f t="shared" si="417"/>
        <v>1</v>
      </c>
      <c r="AZ635" s="15">
        <f t="shared" si="418"/>
        <v>1</v>
      </c>
      <c r="BA635" s="15">
        <f t="shared" si="419"/>
        <v>1</v>
      </c>
      <c r="BB635" s="15">
        <f t="shared" si="387"/>
        <v>0</v>
      </c>
      <c r="BC635" s="15" t="str">
        <f t="shared" si="388"/>
        <v/>
      </c>
      <c r="BD635" s="15" t="str">
        <f t="shared" si="389"/>
        <v/>
      </c>
      <c r="BE635" s="11" t="e">
        <f t="shared" si="420"/>
        <v>#VALUE!</v>
      </c>
      <c r="BF635" s="11" t="e">
        <f t="shared" si="421"/>
        <v>#VALUE!</v>
      </c>
      <c r="BG635" s="11" t="e">
        <f t="shared" si="422"/>
        <v>#VALUE!</v>
      </c>
      <c r="BH635" t="str">
        <f t="shared" si="423"/>
        <v/>
      </c>
      <c r="BI635" t="str" cm="1">
        <f t="array" ref="BI635">_xlfn.IFS(
  L635&gt;0,"Critical Fail",
  M635&gt;0,"Important (Coaching)",
  TRUE,"Clean Pass"
)</f>
        <v>Clean Pass</v>
      </c>
      <c r="BJ635" t="str">
        <f t="shared" si="424"/>
        <v>NA</v>
      </c>
    </row>
    <row r="636" spans="1:62" x14ac:dyDescent="0.3">
      <c r="A636">
        <v>505929</v>
      </c>
      <c r="K636" t="str">
        <f t="shared" si="386"/>
        <v>Pass</v>
      </c>
      <c r="L636" s="15">
        <f t="shared" si="390"/>
        <v>0</v>
      </c>
      <c r="M636" s="15">
        <f t="shared" si="391"/>
        <v>0</v>
      </c>
      <c r="Z636" s="15">
        <f t="shared" si="392"/>
        <v>1</v>
      </c>
      <c r="AA636" s="15">
        <f t="shared" si="393"/>
        <v>1</v>
      </c>
      <c r="AB636" s="15">
        <f t="shared" si="394"/>
        <v>1</v>
      </c>
      <c r="AC636" s="15">
        <f t="shared" si="395"/>
        <v>1</v>
      </c>
      <c r="AD636" s="15">
        <f t="shared" si="396"/>
        <v>1</v>
      </c>
      <c r="AE636" s="15">
        <f t="shared" si="397"/>
        <v>1</v>
      </c>
      <c r="AF636" s="15">
        <f t="shared" si="398"/>
        <v>1</v>
      </c>
      <c r="AG636" s="15">
        <f t="shared" si="399"/>
        <v>1</v>
      </c>
      <c r="AH636" s="15">
        <f t="shared" si="400"/>
        <v>1</v>
      </c>
      <c r="AI636" s="15">
        <f t="shared" si="401"/>
        <v>1</v>
      </c>
      <c r="AJ636" s="15">
        <f t="shared" si="402"/>
        <v>1</v>
      </c>
      <c r="AK636" s="15">
        <f t="shared" si="403"/>
        <v>1</v>
      </c>
      <c r="AL636" s="15">
        <f t="shared" si="404"/>
        <v>1</v>
      </c>
      <c r="AM636" s="15">
        <f t="shared" si="405"/>
        <v>1</v>
      </c>
      <c r="AN636" s="15">
        <f t="shared" si="406"/>
        <v>1</v>
      </c>
      <c r="AO636" s="15">
        <f t="shared" si="407"/>
        <v>1</v>
      </c>
      <c r="AP636" s="15">
        <f t="shared" si="408"/>
        <v>1</v>
      </c>
      <c r="AQ636" s="15">
        <f t="shared" si="409"/>
        <v>1</v>
      </c>
      <c r="AR636" s="15">
        <f t="shared" si="410"/>
        <v>1</v>
      </c>
      <c r="AS636" s="15">
        <f t="shared" si="411"/>
        <v>1</v>
      </c>
      <c r="AT636" s="15">
        <f t="shared" si="412"/>
        <v>1</v>
      </c>
      <c r="AU636" s="15">
        <f t="shared" si="413"/>
        <v>1</v>
      </c>
      <c r="AV636" s="15">
        <f t="shared" si="414"/>
        <v>1</v>
      </c>
      <c r="AW636" s="15">
        <f t="shared" si="415"/>
        <v>1</v>
      </c>
      <c r="AX636" s="15">
        <f t="shared" si="416"/>
        <v>1</v>
      </c>
      <c r="AY636" s="15">
        <f t="shared" si="417"/>
        <v>1</v>
      </c>
      <c r="AZ636" s="15">
        <f t="shared" si="418"/>
        <v>1</v>
      </c>
      <c r="BA636" s="15">
        <f t="shared" si="419"/>
        <v>1</v>
      </c>
      <c r="BB636" s="15">
        <f t="shared" si="387"/>
        <v>0</v>
      </c>
      <c r="BC636" s="15" t="str">
        <f t="shared" si="388"/>
        <v/>
      </c>
      <c r="BD636" s="15" t="str">
        <f t="shared" si="389"/>
        <v/>
      </c>
      <c r="BE636" s="11" t="e">
        <f t="shared" si="420"/>
        <v>#VALUE!</v>
      </c>
      <c r="BF636" s="11" t="e">
        <f t="shared" si="421"/>
        <v>#VALUE!</v>
      </c>
      <c r="BG636" s="11" t="e">
        <f t="shared" si="422"/>
        <v>#VALUE!</v>
      </c>
      <c r="BH636" t="str">
        <f t="shared" si="423"/>
        <v/>
      </c>
      <c r="BI636" t="str" cm="1">
        <f t="array" ref="BI636">_xlfn.IFS(
  L636&gt;0,"Critical Fail",
  M636&gt;0,"Important (Coaching)",
  TRUE,"Clean Pass"
)</f>
        <v>Clean Pass</v>
      </c>
      <c r="BJ636" t="str">
        <f t="shared" si="424"/>
        <v>NA</v>
      </c>
    </row>
    <row r="637" spans="1:62" x14ac:dyDescent="0.3">
      <c r="A637">
        <v>120571</v>
      </c>
      <c r="K637" t="str">
        <f t="shared" si="386"/>
        <v>Pass</v>
      </c>
      <c r="L637" s="15">
        <f t="shared" si="390"/>
        <v>0</v>
      </c>
      <c r="M637" s="15">
        <f t="shared" si="391"/>
        <v>0</v>
      </c>
      <c r="Z637" s="15">
        <f t="shared" si="392"/>
        <v>1</v>
      </c>
      <c r="AA637" s="15">
        <f t="shared" si="393"/>
        <v>1</v>
      </c>
      <c r="AB637" s="15">
        <f t="shared" si="394"/>
        <v>1</v>
      </c>
      <c r="AC637" s="15">
        <f t="shared" si="395"/>
        <v>1</v>
      </c>
      <c r="AD637" s="15">
        <f t="shared" si="396"/>
        <v>1</v>
      </c>
      <c r="AE637" s="15">
        <f t="shared" si="397"/>
        <v>1</v>
      </c>
      <c r="AF637" s="15">
        <f t="shared" si="398"/>
        <v>1</v>
      </c>
      <c r="AG637" s="15">
        <f t="shared" si="399"/>
        <v>1</v>
      </c>
      <c r="AH637" s="15">
        <f t="shared" si="400"/>
        <v>1</v>
      </c>
      <c r="AI637" s="15">
        <f t="shared" si="401"/>
        <v>1</v>
      </c>
      <c r="AJ637" s="15">
        <f t="shared" si="402"/>
        <v>1</v>
      </c>
      <c r="AK637" s="15">
        <f t="shared" si="403"/>
        <v>1</v>
      </c>
      <c r="AL637" s="15">
        <f t="shared" si="404"/>
        <v>1</v>
      </c>
      <c r="AM637" s="15">
        <f t="shared" si="405"/>
        <v>1</v>
      </c>
      <c r="AN637" s="15">
        <f t="shared" si="406"/>
        <v>1</v>
      </c>
      <c r="AO637" s="15">
        <f t="shared" si="407"/>
        <v>1</v>
      </c>
      <c r="AP637" s="15">
        <f t="shared" si="408"/>
        <v>1</v>
      </c>
      <c r="AQ637" s="15">
        <f t="shared" si="409"/>
        <v>1</v>
      </c>
      <c r="AR637" s="15">
        <f t="shared" si="410"/>
        <v>1</v>
      </c>
      <c r="AS637" s="15">
        <f t="shared" si="411"/>
        <v>1</v>
      </c>
      <c r="AT637" s="15">
        <f t="shared" si="412"/>
        <v>1</v>
      </c>
      <c r="AU637" s="15">
        <f t="shared" si="413"/>
        <v>1</v>
      </c>
      <c r="AV637" s="15">
        <f t="shared" si="414"/>
        <v>1</v>
      </c>
      <c r="AW637" s="15">
        <f t="shared" si="415"/>
        <v>1</v>
      </c>
      <c r="AX637" s="15">
        <f t="shared" si="416"/>
        <v>1</v>
      </c>
      <c r="AY637" s="15">
        <f t="shared" si="417"/>
        <v>1</v>
      </c>
      <c r="AZ637" s="15">
        <f t="shared" si="418"/>
        <v>1</v>
      </c>
      <c r="BA637" s="15">
        <f t="shared" si="419"/>
        <v>1</v>
      </c>
      <c r="BB637" s="15">
        <f t="shared" si="387"/>
        <v>0</v>
      </c>
      <c r="BC637" s="15" t="str">
        <f t="shared" si="388"/>
        <v/>
      </c>
      <c r="BD637" s="15" t="str">
        <f t="shared" si="389"/>
        <v/>
      </c>
      <c r="BE637" s="11" t="e">
        <f t="shared" si="420"/>
        <v>#VALUE!</v>
      </c>
      <c r="BF637" s="11" t="e">
        <f t="shared" si="421"/>
        <v>#VALUE!</v>
      </c>
      <c r="BG637" s="11" t="e">
        <f t="shared" si="422"/>
        <v>#VALUE!</v>
      </c>
      <c r="BH637" t="str">
        <f t="shared" si="423"/>
        <v/>
      </c>
      <c r="BI637" t="str" cm="1">
        <f t="array" ref="BI637">_xlfn.IFS(
  L637&gt;0,"Critical Fail",
  M637&gt;0,"Important (Coaching)",
  TRUE,"Clean Pass"
)</f>
        <v>Clean Pass</v>
      </c>
      <c r="BJ637" t="str">
        <f t="shared" si="424"/>
        <v>NA</v>
      </c>
    </row>
    <row r="638" spans="1:62" x14ac:dyDescent="0.3">
      <c r="A638">
        <v>318354</v>
      </c>
      <c r="K638" t="str">
        <f t="shared" si="386"/>
        <v>Pass</v>
      </c>
      <c r="L638" s="15">
        <f t="shared" si="390"/>
        <v>0</v>
      </c>
      <c r="M638" s="15">
        <f t="shared" si="391"/>
        <v>0</v>
      </c>
      <c r="Z638" s="15">
        <f t="shared" si="392"/>
        <v>1</v>
      </c>
      <c r="AA638" s="15">
        <f t="shared" si="393"/>
        <v>1</v>
      </c>
      <c r="AB638" s="15">
        <f t="shared" si="394"/>
        <v>1</v>
      </c>
      <c r="AC638" s="15">
        <f t="shared" si="395"/>
        <v>1</v>
      </c>
      <c r="AD638" s="15">
        <f t="shared" si="396"/>
        <v>1</v>
      </c>
      <c r="AE638" s="15">
        <f t="shared" si="397"/>
        <v>1</v>
      </c>
      <c r="AF638" s="15">
        <f t="shared" si="398"/>
        <v>1</v>
      </c>
      <c r="AG638" s="15">
        <f t="shared" si="399"/>
        <v>1</v>
      </c>
      <c r="AH638" s="15">
        <f t="shared" si="400"/>
        <v>1</v>
      </c>
      <c r="AI638" s="15">
        <f t="shared" si="401"/>
        <v>1</v>
      </c>
      <c r="AJ638" s="15">
        <f t="shared" si="402"/>
        <v>1</v>
      </c>
      <c r="AK638" s="15">
        <f t="shared" si="403"/>
        <v>1</v>
      </c>
      <c r="AL638" s="15">
        <f t="shared" si="404"/>
        <v>1</v>
      </c>
      <c r="AM638" s="15">
        <f t="shared" si="405"/>
        <v>1</v>
      </c>
      <c r="AN638" s="15">
        <f t="shared" si="406"/>
        <v>1</v>
      </c>
      <c r="AO638" s="15">
        <f t="shared" si="407"/>
        <v>1</v>
      </c>
      <c r="AP638" s="15">
        <f t="shared" si="408"/>
        <v>1</v>
      </c>
      <c r="AQ638" s="15">
        <f t="shared" si="409"/>
        <v>1</v>
      </c>
      <c r="AR638" s="15">
        <f t="shared" si="410"/>
        <v>1</v>
      </c>
      <c r="AS638" s="15">
        <f t="shared" si="411"/>
        <v>1</v>
      </c>
      <c r="AT638" s="15">
        <f t="shared" si="412"/>
        <v>1</v>
      </c>
      <c r="AU638" s="15">
        <f t="shared" si="413"/>
        <v>1</v>
      </c>
      <c r="AV638" s="15">
        <f t="shared" si="414"/>
        <v>1</v>
      </c>
      <c r="AW638" s="15">
        <f t="shared" si="415"/>
        <v>1</v>
      </c>
      <c r="AX638" s="15">
        <f t="shared" si="416"/>
        <v>1</v>
      </c>
      <c r="AY638" s="15">
        <f t="shared" si="417"/>
        <v>1</v>
      </c>
      <c r="AZ638" s="15">
        <f t="shared" si="418"/>
        <v>1</v>
      </c>
      <c r="BA638" s="15">
        <f t="shared" si="419"/>
        <v>1</v>
      </c>
      <c r="BB638" s="15">
        <f t="shared" si="387"/>
        <v>0</v>
      </c>
      <c r="BC638" s="15" t="str">
        <f t="shared" si="388"/>
        <v/>
      </c>
      <c r="BD638" s="15" t="str">
        <f t="shared" si="389"/>
        <v/>
      </c>
      <c r="BE638" s="11" t="e">
        <f t="shared" si="420"/>
        <v>#VALUE!</v>
      </c>
      <c r="BF638" s="11" t="e">
        <f t="shared" si="421"/>
        <v>#VALUE!</v>
      </c>
      <c r="BG638" s="11" t="e">
        <f t="shared" si="422"/>
        <v>#VALUE!</v>
      </c>
      <c r="BH638" t="str">
        <f t="shared" si="423"/>
        <v/>
      </c>
      <c r="BI638" t="str" cm="1">
        <f t="array" ref="BI638">_xlfn.IFS(
  L638&gt;0,"Critical Fail",
  M638&gt;0,"Important (Coaching)",
  TRUE,"Clean Pass"
)</f>
        <v>Clean Pass</v>
      </c>
      <c r="BJ638" t="str">
        <f t="shared" si="424"/>
        <v>NA</v>
      </c>
    </row>
    <row r="639" spans="1:62" x14ac:dyDescent="0.3">
      <c r="A639">
        <v>969747</v>
      </c>
      <c r="K639" t="str">
        <f t="shared" si="386"/>
        <v>Pass</v>
      </c>
      <c r="L639" s="15">
        <f t="shared" si="390"/>
        <v>0</v>
      </c>
      <c r="M639" s="15">
        <f t="shared" si="391"/>
        <v>0</v>
      </c>
      <c r="Z639" s="15">
        <f t="shared" si="392"/>
        <v>1</v>
      </c>
      <c r="AA639" s="15">
        <f t="shared" si="393"/>
        <v>1</v>
      </c>
      <c r="AB639" s="15">
        <f t="shared" si="394"/>
        <v>1</v>
      </c>
      <c r="AC639" s="15">
        <f t="shared" si="395"/>
        <v>1</v>
      </c>
      <c r="AD639" s="15">
        <f t="shared" si="396"/>
        <v>1</v>
      </c>
      <c r="AE639" s="15">
        <f t="shared" si="397"/>
        <v>1</v>
      </c>
      <c r="AF639" s="15">
        <f t="shared" si="398"/>
        <v>1</v>
      </c>
      <c r="AG639" s="15">
        <f t="shared" si="399"/>
        <v>1</v>
      </c>
      <c r="AH639" s="15">
        <f t="shared" si="400"/>
        <v>1</v>
      </c>
      <c r="AI639" s="15">
        <f t="shared" si="401"/>
        <v>1</v>
      </c>
      <c r="AJ639" s="15">
        <f t="shared" si="402"/>
        <v>1</v>
      </c>
      <c r="AK639" s="15">
        <f t="shared" si="403"/>
        <v>1</v>
      </c>
      <c r="AL639" s="15">
        <f t="shared" si="404"/>
        <v>1</v>
      </c>
      <c r="AM639" s="15">
        <f t="shared" si="405"/>
        <v>1</v>
      </c>
      <c r="AN639" s="15">
        <f t="shared" si="406"/>
        <v>1</v>
      </c>
      <c r="AO639" s="15">
        <f t="shared" si="407"/>
        <v>1</v>
      </c>
      <c r="AP639" s="15">
        <f t="shared" si="408"/>
        <v>1</v>
      </c>
      <c r="AQ639" s="15">
        <f t="shared" si="409"/>
        <v>1</v>
      </c>
      <c r="AR639" s="15">
        <f t="shared" si="410"/>
        <v>1</v>
      </c>
      <c r="AS639" s="15">
        <f t="shared" si="411"/>
        <v>1</v>
      </c>
      <c r="AT639" s="15">
        <f t="shared" si="412"/>
        <v>1</v>
      </c>
      <c r="AU639" s="15">
        <f t="shared" si="413"/>
        <v>1</v>
      </c>
      <c r="AV639" s="15">
        <f t="shared" si="414"/>
        <v>1</v>
      </c>
      <c r="AW639" s="15">
        <f t="shared" si="415"/>
        <v>1</v>
      </c>
      <c r="AX639" s="15">
        <f t="shared" si="416"/>
        <v>1</v>
      </c>
      <c r="AY639" s="15">
        <f t="shared" si="417"/>
        <v>1</v>
      </c>
      <c r="AZ639" s="15">
        <f t="shared" si="418"/>
        <v>1</v>
      </c>
      <c r="BA639" s="15">
        <f t="shared" si="419"/>
        <v>1</v>
      </c>
      <c r="BB639" s="15">
        <f t="shared" si="387"/>
        <v>0</v>
      </c>
      <c r="BC639" s="15" t="str">
        <f t="shared" si="388"/>
        <v/>
      </c>
      <c r="BD639" s="15" t="str">
        <f t="shared" si="389"/>
        <v/>
      </c>
      <c r="BE639" s="11" t="e">
        <f t="shared" si="420"/>
        <v>#VALUE!</v>
      </c>
      <c r="BF639" s="11" t="e">
        <f t="shared" si="421"/>
        <v>#VALUE!</v>
      </c>
      <c r="BG639" s="11" t="e">
        <f t="shared" si="422"/>
        <v>#VALUE!</v>
      </c>
      <c r="BH639" t="str">
        <f t="shared" si="423"/>
        <v/>
      </c>
      <c r="BI639" t="str" cm="1">
        <f t="array" ref="BI639">_xlfn.IFS(
  L639&gt;0,"Critical Fail",
  M639&gt;0,"Important (Coaching)",
  TRUE,"Clean Pass"
)</f>
        <v>Clean Pass</v>
      </c>
      <c r="BJ639" t="str">
        <f t="shared" si="424"/>
        <v>NA</v>
      </c>
    </row>
    <row r="640" spans="1:62" x14ac:dyDescent="0.3">
      <c r="A640">
        <v>608288</v>
      </c>
      <c r="K640" t="str">
        <f t="shared" si="386"/>
        <v>Pass</v>
      </c>
      <c r="L640" s="15">
        <f t="shared" si="390"/>
        <v>0</v>
      </c>
      <c r="M640" s="15">
        <f t="shared" si="391"/>
        <v>0</v>
      </c>
      <c r="Z640" s="15">
        <f t="shared" si="392"/>
        <v>1</v>
      </c>
      <c r="AA640" s="15">
        <f t="shared" si="393"/>
        <v>1</v>
      </c>
      <c r="AB640" s="15">
        <f t="shared" si="394"/>
        <v>1</v>
      </c>
      <c r="AC640" s="15">
        <f t="shared" si="395"/>
        <v>1</v>
      </c>
      <c r="AD640" s="15">
        <f t="shared" si="396"/>
        <v>1</v>
      </c>
      <c r="AE640" s="15">
        <f t="shared" si="397"/>
        <v>1</v>
      </c>
      <c r="AF640" s="15">
        <f t="shared" si="398"/>
        <v>1</v>
      </c>
      <c r="AG640" s="15">
        <f t="shared" si="399"/>
        <v>1</v>
      </c>
      <c r="AH640" s="15">
        <f t="shared" si="400"/>
        <v>1</v>
      </c>
      <c r="AI640" s="15">
        <f t="shared" si="401"/>
        <v>1</v>
      </c>
      <c r="AJ640" s="15">
        <f t="shared" si="402"/>
        <v>1</v>
      </c>
      <c r="AK640" s="15">
        <f t="shared" si="403"/>
        <v>1</v>
      </c>
      <c r="AL640" s="15">
        <f t="shared" si="404"/>
        <v>1</v>
      </c>
      <c r="AM640" s="15">
        <f t="shared" si="405"/>
        <v>1</v>
      </c>
      <c r="AN640" s="15">
        <f t="shared" si="406"/>
        <v>1</v>
      </c>
      <c r="AO640" s="15">
        <f t="shared" si="407"/>
        <v>1</v>
      </c>
      <c r="AP640" s="15">
        <f t="shared" si="408"/>
        <v>1</v>
      </c>
      <c r="AQ640" s="15">
        <f t="shared" si="409"/>
        <v>1</v>
      </c>
      <c r="AR640" s="15">
        <f t="shared" si="410"/>
        <v>1</v>
      </c>
      <c r="AS640" s="15">
        <f t="shared" si="411"/>
        <v>1</v>
      </c>
      <c r="AT640" s="15">
        <f t="shared" si="412"/>
        <v>1</v>
      </c>
      <c r="AU640" s="15">
        <f t="shared" si="413"/>
        <v>1</v>
      </c>
      <c r="AV640" s="15">
        <f t="shared" si="414"/>
        <v>1</v>
      </c>
      <c r="AW640" s="15">
        <f t="shared" si="415"/>
        <v>1</v>
      </c>
      <c r="AX640" s="15">
        <f t="shared" si="416"/>
        <v>1</v>
      </c>
      <c r="AY640" s="15">
        <f t="shared" si="417"/>
        <v>1</v>
      </c>
      <c r="AZ640" s="15">
        <f t="shared" si="418"/>
        <v>1</v>
      </c>
      <c r="BA640" s="15">
        <f t="shared" si="419"/>
        <v>1</v>
      </c>
      <c r="BB640" s="15">
        <f t="shared" si="387"/>
        <v>0</v>
      </c>
      <c r="BC640" s="15" t="str">
        <f t="shared" si="388"/>
        <v/>
      </c>
      <c r="BD640" s="15" t="str">
        <f t="shared" si="389"/>
        <v/>
      </c>
      <c r="BE640" s="11" t="e">
        <f t="shared" si="420"/>
        <v>#VALUE!</v>
      </c>
      <c r="BF640" s="11" t="e">
        <f t="shared" si="421"/>
        <v>#VALUE!</v>
      </c>
      <c r="BG640" s="11" t="e">
        <f t="shared" si="422"/>
        <v>#VALUE!</v>
      </c>
      <c r="BH640" t="str">
        <f t="shared" si="423"/>
        <v/>
      </c>
      <c r="BI640" t="str" cm="1">
        <f t="array" ref="BI640">_xlfn.IFS(
  L640&gt;0,"Critical Fail",
  M640&gt;0,"Important (Coaching)",
  TRUE,"Clean Pass"
)</f>
        <v>Clean Pass</v>
      </c>
      <c r="BJ640" t="str">
        <f t="shared" si="424"/>
        <v>NA</v>
      </c>
    </row>
    <row r="641" spans="1:62" x14ac:dyDescent="0.3">
      <c r="A641">
        <v>403239</v>
      </c>
      <c r="K641" t="str">
        <f t="shared" si="386"/>
        <v>Pass</v>
      </c>
      <c r="L641" s="15">
        <f t="shared" si="390"/>
        <v>0</v>
      </c>
      <c r="M641" s="15">
        <f t="shared" si="391"/>
        <v>0</v>
      </c>
      <c r="Z641" s="15">
        <f t="shared" si="392"/>
        <v>1</v>
      </c>
      <c r="AA641" s="15">
        <f t="shared" si="393"/>
        <v>1</v>
      </c>
      <c r="AB641" s="15">
        <f t="shared" si="394"/>
        <v>1</v>
      </c>
      <c r="AC641" s="15">
        <f t="shared" si="395"/>
        <v>1</v>
      </c>
      <c r="AD641" s="15">
        <f t="shared" si="396"/>
        <v>1</v>
      </c>
      <c r="AE641" s="15">
        <f t="shared" si="397"/>
        <v>1</v>
      </c>
      <c r="AF641" s="15">
        <f t="shared" si="398"/>
        <v>1</v>
      </c>
      <c r="AG641" s="15">
        <f t="shared" si="399"/>
        <v>1</v>
      </c>
      <c r="AH641" s="15">
        <f t="shared" si="400"/>
        <v>1</v>
      </c>
      <c r="AI641" s="15">
        <f t="shared" si="401"/>
        <v>1</v>
      </c>
      <c r="AJ641" s="15">
        <f t="shared" si="402"/>
        <v>1</v>
      </c>
      <c r="AK641" s="15">
        <f t="shared" si="403"/>
        <v>1</v>
      </c>
      <c r="AL641" s="15">
        <f t="shared" si="404"/>
        <v>1</v>
      </c>
      <c r="AM641" s="15">
        <f t="shared" si="405"/>
        <v>1</v>
      </c>
      <c r="AN641" s="15">
        <f t="shared" si="406"/>
        <v>1</v>
      </c>
      <c r="AO641" s="15">
        <f t="shared" si="407"/>
        <v>1</v>
      </c>
      <c r="AP641" s="15">
        <f t="shared" si="408"/>
        <v>1</v>
      </c>
      <c r="AQ641" s="15">
        <f t="shared" si="409"/>
        <v>1</v>
      </c>
      <c r="AR641" s="15">
        <f t="shared" si="410"/>
        <v>1</v>
      </c>
      <c r="AS641" s="15">
        <f t="shared" si="411"/>
        <v>1</v>
      </c>
      <c r="AT641" s="15">
        <f t="shared" si="412"/>
        <v>1</v>
      </c>
      <c r="AU641" s="15">
        <f t="shared" si="413"/>
        <v>1</v>
      </c>
      <c r="AV641" s="15">
        <f t="shared" si="414"/>
        <v>1</v>
      </c>
      <c r="AW641" s="15">
        <f t="shared" si="415"/>
        <v>1</v>
      </c>
      <c r="AX641" s="15">
        <f t="shared" si="416"/>
        <v>1</v>
      </c>
      <c r="AY641" s="15">
        <f t="shared" si="417"/>
        <v>1</v>
      </c>
      <c r="AZ641" s="15">
        <f t="shared" si="418"/>
        <v>1</v>
      </c>
      <c r="BA641" s="15">
        <f t="shared" si="419"/>
        <v>1</v>
      </c>
      <c r="BB641" s="15">
        <f t="shared" si="387"/>
        <v>0</v>
      </c>
      <c r="BC641" s="15" t="str">
        <f t="shared" si="388"/>
        <v/>
      </c>
      <c r="BD641" s="15" t="str">
        <f t="shared" si="389"/>
        <v/>
      </c>
      <c r="BE641" s="11" t="e">
        <f t="shared" si="420"/>
        <v>#VALUE!</v>
      </c>
      <c r="BF641" s="11" t="e">
        <f t="shared" si="421"/>
        <v>#VALUE!</v>
      </c>
      <c r="BG641" s="11" t="e">
        <f t="shared" si="422"/>
        <v>#VALUE!</v>
      </c>
      <c r="BH641" t="str">
        <f t="shared" si="423"/>
        <v/>
      </c>
      <c r="BI641" t="str" cm="1">
        <f t="array" ref="BI641">_xlfn.IFS(
  L641&gt;0,"Critical Fail",
  M641&gt;0,"Important (Coaching)",
  TRUE,"Clean Pass"
)</f>
        <v>Clean Pass</v>
      </c>
      <c r="BJ641" t="str">
        <f t="shared" si="424"/>
        <v>NA</v>
      </c>
    </row>
    <row r="642" spans="1:62" x14ac:dyDescent="0.3">
      <c r="A642">
        <v>657858</v>
      </c>
      <c r="K642" t="str">
        <f t="shared" ref="K642:K705" si="425">IF(L642="","",IF(L642&gt;0,"Fail","Pass"))</f>
        <v>Pass</v>
      </c>
      <c r="L642" s="15">
        <f t="shared" si="390"/>
        <v>0</v>
      </c>
      <c r="M642" s="15">
        <f t="shared" si="391"/>
        <v>0</v>
      </c>
      <c r="Z642" s="15">
        <f t="shared" si="392"/>
        <v>1</v>
      </c>
      <c r="AA642" s="15">
        <f t="shared" si="393"/>
        <v>1</v>
      </c>
      <c r="AB642" s="15">
        <f t="shared" si="394"/>
        <v>1</v>
      </c>
      <c r="AC642" s="15">
        <f t="shared" si="395"/>
        <v>1</v>
      </c>
      <c r="AD642" s="15">
        <f t="shared" si="396"/>
        <v>1</v>
      </c>
      <c r="AE642" s="15">
        <f t="shared" si="397"/>
        <v>1</v>
      </c>
      <c r="AF642" s="15">
        <f t="shared" si="398"/>
        <v>1</v>
      </c>
      <c r="AG642" s="15">
        <f t="shared" si="399"/>
        <v>1</v>
      </c>
      <c r="AH642" s="15">
        <f t="shared" si="400"/>
        <v>1</v>
      </c>
      <c r="AI642" s="15">
        <f t="shared" si="401"/>
        <v>1</v>
      </c>
      <c r="AJ642" s="15">
        <f t="shared" si="402"/>
        <v>1</v>
      </c>
      <c r="AK642" s="15">
        <f t="shared" si="403"/>
        <v>1</v>
      </c>
      <c r="AL642" s="15">
        <f t="shared" si="404"/>
        <v>1</v>
      </c>
      <c r="AM642" s="15">
        <f t="shared" si="405"/>
        <v>1</v>
      </c>
      <c r="AN642" s="15">
        <f t="shared" si="406"/>
        <v>1</v>
      </c>
      <c r="AO642" s="15">
        <f t="shared" si="407"/>
        <v>1</v>
      </c>
      <c r="AP642" s="15">
        <f t="shared" si="408"/>
        <v>1</v>
      </c>
      <c r="AQ642" s="15">
        <f t="shared" si="409"/>
        <v>1</v>
      </c>
      <c r="AR642" s="15">
        <f t="shared" si="410"/>
        <v>1</v>
      </c>
      <c r="AS642" s="15">
        <f t="shared" si="411"/>
        <v>1</v>
      </c>
      <c r="AT642" s="15">
        <f t="shared" si="412"/>
        <v>1</v>
      </c>
      <c r="AU642" s="15">
        <f t="shared" si="413"/>
        <v>1</v>
      </c>
      <c r="AV642" s="15">
        <f t="shared" si="414"/>
        <v>1</v>
      </c>
      <c r="AW642" s="15">
        <f t="shared" si="415"/>
        <v>1</v>
      </c>
      <c r="AX642" s="15">
        <f t="shared" si="416"/>
        <v>1</v>
      </c>
      <c r="AY642" s="15">
        <f t="shared" si="417"/>
        <v>1</v>
      </c>
      <c r="AZ642" s="15">
        <f t="shared" si="418"/>
        <v>1</v>
      </c>
      <c r="BA642" s="15">
        <f t="shared" si="419"/>
        <v>1</v>
      </c>
      <c r="BB642" s="15">
        <f t="shared" ref="BB642:BB705" si="426">IF(L642&gt;0,1,0)</f>
        <v>0</v>
      </c>
      <c r="BC642" s="15" t="str">
        <f t="shared" ref="BC642:BC705" si="427">IF(G642="DV",9,IF(G642="AL",13,""))</f>
        <v/>
      </c>
      <c r="BD642" s="15" t="str">
        <f t="shared" ref="BD642:BD705" si="428">IF(G642="DV",3,IF(G642="AL",3,""))</f>
        <v/>
      </c>
      <c r="BE642" s="11" t="e">
        <f t="shared" si="420"/>
        <v>#VALUE!</v>
      </c>
      <c r="BF642" s="11" t="e">
        <f t="shared" si="421"/>
        <v>#VALUE!</v>
      </c>
      <c r="BG642" s="11" t="e">
        <f t="shared" si="422"/>
        <v>#VALUE!</v>
      </c>
      <c r="BH642" t="str">
        <f t="shared" si="423"/>
        <v/>
      </c>
      <c r="BI642" t="str" cm="1">
        <f t="array" ref="BI642">_xlfn.IFS(
  L642&gt;0,"Critical Fail",
  M642&gt;0,"Important (Coaching)",
  TRUE,"Clean Pass"
)</f>
        <v>Clean Pass</v>
      </c>
      <c r="BJ642" t="str">
        <f t="shared" si="424"/>
        <v>NA</v>
      </c>
    </row>
    <row r="643" spans="1:62" x14ac:dyDescent="0.3">
      <c r="A643">
        <v>616475</v>
      </c>
      <c r="K643" t="str">
        <f t="shared" si="425"/>
        <v>Pass</v>
      </c>
      <c r="L643" s="15">
        <f t="shared" si="390"/>
        <v>0</v>
      </c>
      <c r="M643" s="15">
        <f t="shared" si="391"/>
        <v>0</v>
      </c>
      <c r="Z643" s="15">
        <f t="shared" si="392"/>
        <v>1</v>
      </c>
      <c r="AA643" s="15">
        <f t="shared" si="393"/>
        <v>1</v>
      </c>
      <c r="AB643" s="15">
        <f t="shared" si="394"/>
        <v>1</v>
      </c>
      <c r="AC643" s="15">
        <f t="shared" si="395"/>
        <v>1</v>
      </c>
      <c r="AD643" s="15">
        <f t="shared" si="396"/>
        <v>1</v>
      </c>
      <c r="AE643" s="15">
        <f t="shared" si="397"/>
        <v>1</v>
      </c>
      <c r="AF643" s="15">
        <f t="shared" si="398"/>
        <v>1</v>
      </c>
      <c r="AG643" s="15">
        <f t="shared" si="399"/>
        <v>1</v>
      </c>
      <c r="AH643" s="15">
        <f t="shared" si="400"/>
        <v>1</v>
      </c>
      <c r="AI643" s="15">
        <f t="shared" si="401"/>
        <v>1</v>
      </c>
      <c r="AJ643" s="15">
        <f t="shared" si="402"/>
        <v>1</v>
      </c>
      <c r="AK643" s="15">
        <f t="shared" si="403"/>
        <v>1</v>
      </c>
      <c r="AL643" s="15">
        <f t="shared" si="404"/>
        <v>1</v>
      </c>
      <c r="AM643" s="15">
        <f t="shared" si="405"/>
        <v>1</v>
      </c>
      <c r="AN643" s="15">
        <f t="shared" si="406"/>
        <v>1</v>
      </c>
      <c r="AO643" s="15">
        <f t="shared" si="407"/>
        <v>1</v>
      </c>
      <c r="AP643" s="15">
        <f t="shared" si="408"/>
        <v>1</v>
      </c>
      <c r="AQ643" s="15">
        <f t="shared" si="409"/>
        <v>1</v>
      </c>
      <c r="AR643" s="15">
        <f t="shared" si="410"/>
        <v>1</v>
      </c>
      <c r="AS643" s="15">
        <f t="shared" si="411"/>
        <v>1</v>
      </c>
      <c r="AT643" s="15">
        <f t="shared" si="412"/>
        <v>1</v>
      </c>
      <c r="AU643" s="15">
        <f t="shared" si="413"/>
        <v>1</v>
      </c>
      <c r="AV643" s="15">
        <f t="shared" si="414"/>
        <v>1</v>
      </c>
      <c r="AW643" s="15">
        <f t="shared" si="415"/>
        <v>1</v>
      </c>
      <c r="AX643" s="15">
        <f t="shared" si="416"/>
        <v>1</v>
      </c>
      <c r="AY643" s="15">
        <f t="shared" si="417"/>
        <v>1</v>
      </c>
      <c r="AZ643" s="15">
        <f t="shared" si="418"/>
        <v>1</v>
      </c>
      <c r="BA643" s="15">
        <f t="shared" si="419"/>
        <v>1</v>
      </c>
      <c r="BB643" s="15">
        <f t="shared" si="426"/>
        <v>0</v>
      </c>
      <c r="BC643" s="15" t="str">
        <f t="shared" si="427"/>
        <v/>
      </c>
      <c r="BD643" s="15" t="str">
        <f t="shared" si="428"/>
        <v/>
      </c>
      <c r="BE643" s="11" t="e">
        <f t="shared" si="420"/>
        <v>#VALUE!</v>
      </c>
      <c r="BF643" s="11" t="e">
        <f t="shared" si="421"/>
        <v>#VALUE!</v>
      </c>
      <c r="BG643" s="11" t="e">
        <f t="shared" si="422"/>
        <v>#VALUE!</v>
      </c>
      <c r="BH643" t="str">
        <f t="shared" si="423"/>
        <v/>
      </c>
      <c r="BI643" t="str" cm="1">
        <f t="array" ref="BI643">_xlfn.IFS(
  L643&gt;0,"Critical Fail",
  M643&gt;0,"Important (Coaching)",
  TRUE,"Clean Pass"
)</f>
        <v>Clean Pass</v>
      </c>
      <c r="BJ643" t="str">
        <f t="shared" si="424"/>
        <v>NA</v>
      </c>
    </row>
    <row r="644" spans="1:62" x14ac:dyDescent="0.3">
      <c r="A644">
        <v>559219</v>
      </c>
      <c r="K644" t="str">
        <f t="shared" si="425"/>
        <v>Pass</v>
      </c>
      <c r="L644" s="15">
        <f t="shared" si="390"/>
        <v>0</v>
      </c>
      <c r="M644" s="15">
        <f t="shared" si="391"/>
        <v>0</v>
      </c>
      <c r="Z644" s="15">
        <f t="shared" si="392"/>
        <v>1</v>
      </c>
      <c r="AA644" s="15">
        <f t="shared" si="393"/>
        <v>1</v>
      </c>
      <c r="AB644" s="15">
        <f t="shared" si="394"/>
        <v>1</v>
      </c>
      <c r="AC644" s="15">
        <f t="shared" si="395"/>
        <v>1</v>
      </c>
      <c r="AD644" s="15">
        <f t="shared" si="396"/>
        <v>1</v>
      </c>
      <c r="AE644" s="15">
        <f t="shared" si="397"/>
        <v>1</v>
      </c>
      <c r="AF644" s="15">
        <f t="shared" si="398"/>
        <v>1</v>
      </c>
      <c r="AG644" s="15">
        <f t="shared" si="399"/>
        <v>1</v>
      </c>
      <c r="AH644" s="15">
        <f t="shared" si="400"/>
        <v>1</v>
      </c>
      <c r="AI644" s="15">
        <f t="shared" si="401"/>
        <v>1</v>
      </c>
      <c r="AJ644" s="15">
        <f t="shared" si="402"/>
        <v>1</v>
      </c>
      <c r="AK644" s="15">
        <f t="shared" si="403"/>
        <v>1</v>
      </c>
      <c r="AL644" s="15">
        <f t="shared" si="404"/>
        <v>1</v>
      </c>
      <c r="AM644" s="15">
        <f t="shared" si="405"/>
        <v>1</v>
      </c>
      <c r="AN644" s="15">
        <f t="shared" si="406"/>
        <v>1</v>
      </c>
      <c r="AO644" s="15">
        <f t="shared" si="407"/>
        <v>1</v>
      </c>
      <c r="AP644" s="15">
        <f t="shared" si="408"/>
        <v>1</v>
      </c>
      <c r="AQ644" s="15">
        <f t="shared" si="409"/>
        <v>1</v>
      </c>
      <c r="AR644" s="15">
        <f t="shared" si="410"/>
        <v>1</v>
      </c>
      <c r="AS644" s="15">
        <f t="shared" si="411"/>
        <v>1</v>
      </c>
      <c r="AT644" s="15">
        <f t="shared" si="412"/>
        <v>1</v>
      </c>
      <c r="AU644" s="15">
        <f t="shared" si="413"/>
        <v>1</v>
      </c>
      <c r="AV644" s="15">
        <f t="shared" si="414"/>
        <v>1</v>
      </c>
      <c r="AW644" s="15">
        <f t="shared" si="415"/>
        <v>1</v>
      </c>
      <c r="AX644" s="15">
        <f t="shared" si="416"/>
        <v>1</v>
      </c>
      <c r="AY644" s="15">
        <f t="shared" si="417"/>
        <v>1</v>
      </c>
      <c r="AZ644" s="15">
        <f t="shared" si="418"/>
        <v>1</v>
      </c>
      <c r="BA644" s="15">
        <f t="shared" si="419"/>
        <v>1</v>
      </c>
      <c r="BB644" s="15">
        <f t="shared" si="426"/>
        <v>0</v>
      </c>
      <c r="BC644" s="15" t="str">
        <f t="shared" si="427"/>
        <v/>
      </c>
      <c r="BD644" s="15" t="str">
        <f t="shared" si="428"/>
        <v/>
      </c>
      <c r="BE644" s="11" t="e">
        <f t="shared" si="420"/>
        <v>#VALUE!</v>
      </c>
      <c r="BF644" s="11" t="e">
        <f t="shared" si="421"/>
        <v>#VALUE!</v>
      </c>
      <c r="BG644" s="11" t="e">
        <f t="shared" si="422"/>
        <v>#VALUE!</v>
      </c>
      <c r="BH644" t="str">
        <f t="shared" si="423"/>
        <v/>
      </c>
      <c r="BI644" t="str" cm="1">
        <f t="array" ref="BI644">_xlfn.IFS(
  L644&gt;0,"Critical Fail",
  M644&gt;0,"Important (Coaching)",
  TRUE,"Clean Pass"
)</f>
        <v>Clean Pass</v>
      </c>
      <c r="BJ644" t="str">
        <f t="shared" si="424"/>
        <v>NA</v>
      </c>
    </row>
    <row r="645" spans="1:62" x14ac:dyDescent="0.3">
      <c r="A645">
        <v>625013</v>
      </c>
      <c r="K645" t="str">
        <f t="shared" si="425"/>
        <v>Pass</v>
      </c>
      <c r="L645" s="15">
        <f t="shared" si="390"/>
        <v>0</v>
      </c>
      <c r="M645" s="15">
        <f t="shared" si="391"/>
        <v>0</v>
      </c>
      <c r="Z645" s="15">
        <f t="shared" si="392"/>
        <v>1</v>
      </c>
      <c r="AA645" s="15">
        <f t="shared" si="393"/>
        <v>1</v>
      </c>
      <c r="AB645" s="15">
        <f t="shared" si="394"/>
        <v>1</v>
      </c>
      <c r="AC645" s="15">
        <f t="shared" si="395"/>
        <v>1</v>
      </c>
      <c r="AD645" s="15">
        <f t="shared" si="396"/>
        <v>1</v>
      </c>
      <c r="AE645" s="15">
        <f t="shared" si="397"/>
        <v>1</v>
      </c>
      <c r="AF645" s="15">
        <f t="shared" si="398"/>
        <v>1</v>
      </c>
      <c r="AG645" s="15">
        <f t="shared" si="399"/>
        <v>1</v>
      </c>
      <c r="AH645" s="15">
        <f t="shared" si="400"/>
        <v>1</v>
      </c>
      <c r="AI645" s="15">
        <f t="shared" si="401"/>
        <v>1</v>
      </c>
      <c r="AJ645" s="15">
        <f t="shared" si="402"/>
        <v>1</v>
      </c>
      <c r="AK645" s="15">
        <f t="shared" si="403"/>
        <v>1</v>
      </c>
      <c r="AL645" s="15">
        <f t="shared" si="404"/>
        <v>1</v>
      </c>
      <c r="AM645" s="15">
        <f t="shared" si="405"/>
        <v>1</v>
      </c>
      <c r="AN645" s="15">
        <f t="shared" si="406"/>
        <v>1</v>
      </c>
      <c r="AO645" s="15">
        <f t="shared" si="407"/>
        <v>1</v>
      </c>
      <c r="AP645" s="15">
        <f t="shared" si="408"/>
        <v>1</v>
      </c>
      <c r="AQ645" s="15">
        <f t="shared" si="409"/>
        <v>1</v>
      </c>
      <c r="AR645" s="15">
        <f t="shared" si="410"/>
        <v>1</v>
      </c>
      <c r="AS645" s="15">
        <f t="shared" si="411"/>
        <v>1</v>
      </c>
      <c r="AT645" s="15">
        <f t="shared" si="412"/>
        <v>1</v>
      </c>
      <c r="AU645" s="15">
        <f t="shared" si="413"/>
        <v>1</v>
      </c>
      <c r="AV645" s="15">
        <f t="shared" si="414"/>
        <v>1</v>
      </c>
      <c r="AW645" s="15">
        <f t="shared" si="415"/>
        <v>1</v>
      </c>
      <c r="AX645" s="15">
        <f t="shared" si="416"/>
        <v>1</v>
      </c>
      <c r="AY645" s="15">
        <f t="shared" si="417"/>
        <v>1</v>
      </c>
      <c r="AZ645" s="15">
        <f t="shared" si="418"/>
        <v>1</v>
      </c>
      <c r="BA645" s="15">
        <f t="shared" si="419"/>
        <v>1</v>
      </c>
      <c r="BB645" s="15">
        <f t="shared" si="426"/>
        <v>0</v>
      </c>
      <c r="BC645" s="15" t="str">
        <f t="shared" si="427"/>
        <v/>
      </c>
      <c r="BD645" s="15" t="str">
        <f t="shared" si="428"/>
        <v/>
      </c>
      <c r="BE645" s="11" t="e">
        <f t="shared" si="420"/>
        <v>#VALUE!</v>
      </c>
      <c r="BF645" s="11" t="e">
        <f t="shared" si="421"/>
        <v>#VALUE!</v>
      </c>
      <c r="BG645" s="11" t="e">
        <f t="shared" si="422"/>
        <v>#VALUE!</v>
      </c>
      <c r="BH645" t="str">
        <f t="shared" si="423"/>
        <v/>
      </c>
      <c r="BI645" t="str" cm="1">
        <f t="array" ref="BI645">_xlfn.IFS(
  L645&gt;0,"Critical Fail",
  M645&gt;0,"Important (Coaching)",
  TRUE,"Clean Pass"
)</f>
        <v>Clean Pass</v>
      </c>
      <c r="BJ645" t="str">
        <f t="shared" si="424"/>
        <v>NA</v>
      </c>
    </row>
    <row r="646" spans="1:62" x14ac:dyDescent="0.3">
      <c r="A646">
        <v>849891</v>
      </c>
      <c r="K646" t="str">
        <f t="shared" si="425"/>
        <v>Pass</v>
      </c>
      <c r="L646" s="15">
        <f t="shared" si="390"/>
        <v>0</v>
      </c>
      <c r="M646" s="15">
        <f t="shared" si="391"/>
        <v>0</v>
      </c>
      <c r="Z646" s="15">
        <f t="shared" si="392"/>
        <v>1</v>
      </c>
      <c r="AA646" s="15">
        <f t="shared" si="393"/>
        <v>1</v>
      </c>
      <c r="AB646" s="15">
        <f t="shared" si="394"/>
        <v>1</v>
      </c>
      <c r="AC646" s="15">
        <f t="shared" si="395"/>
        <v>1</v>
      </c>
      <c r="AD646" s="15">
        <f t="shared" si="396"/>
        <v>1</v>
      </c>
      <c r="AE646" s="15">
        <f t="shared" si="397"/>
        <v>1</v>
      </c>
      <c r="AF646" s="15">
        <f t="shared" si="398"/>
        <v>1</v>
      </c>
      <c r="AG646" s="15">
        <f t="shared" si="399"/>
        <v>1</v>
      </c>
      <c r="AH646" s="15">
        <f t="shared" si="400"/>
        <v>1</v>
      </c>
      <c r="AI646" s="15">
        <f t="shared" si="401"/>
        <v>1</v>
      </c>
      <c r="AJ646" s="15">
        <f t="shared" si="402"/>
        <v>1</v>
      </c>
      <c r="AK646" s="15">
        <f t="shared" si="403"/>
        <v>1</v>
      </c>
      <c r="AL646" s="15">
        <f t="shared" si="404"/>
        <v>1</v>
      </c>
      <c r="AM646" s="15">
        <f t="shared" si="405"/>
        <v>1</v>
      </c>
      <c r="AN646" s="15">
        <f t="shared" si="406"/>
        <v>1</v>
      </c>
      <c r="AO646" s="15">
        <f t="shared" si="407"/>
        <v>1</v>
      </c>
      <c r="AP646" s="15">
        <f t="shared" si="408"/>
        <v>1</v>
      </c>
      <c r="AQ646" s="15">
        <f t="shared" si="409"/>
        <v>1</v>
      </c>
      <c r="AR646" s="15">
        <f t="shared" si="410"/>
        <v>1</v>
      </c>
      <c r="AS646" s="15">
        <f t="shared" si="411"/>
        <v>1</v>
      </c>
      <c r="AT646" s="15">
        <f t="shared" si="412"/>
        <v>1</v>
      </c>
      <c r="AU646" s="15">
        <f t="shared" si="413"/>
        <v>1</v>
      </c>
      <c r="AV646" s="15">
        <f t="shared" si="414"/>
        <v>1</v>
      </c>
      <c r="AW646" s="15">
        <f t="shared" si="415"/>
        <v>1</v>
      </c>
      <c r="AX646" s="15">
        <f t="shared" si="416"/>
        <v>1</v>
      </c>
      <c r="AY646" s="15">
        <f t="shared" si="417"/>
        <v>1</v>
      </c>
      <c r="AZ646" s="15">
        <f t="shared" si="418"/>
        <v>1</v>
      </c>
      <c r="BA646" s="15">
        <f t="shared" si="419"/>
        <v>1</v>
      </c>
      <c r="BB646" s="15">
        <f t="shared" si="426"/>
        <v>0</v>
      </c>
      <c r="BC646" s="15" t="str">
        <f t="shared" si="427"/>
        <v/>
      </c>
      <c r="BD646" s="15" t="str">
        <f t="shared" si="428"/>
        <v/>
      </c>
      <c r="BE646" s="11" t="e">
        <f t="shared" si="420"/>
        <v>#VALUE!</v>
      </c>
      <c r="BF646" s="11" t="e">
        <f t="shared" si="421"/>
        <v>#VALUE!</v>
      </c>
      <c r="BG646" s="11" t="e">
        <f t="shared" si="422"/>
        <v>#VALUE!</v>
      </c>
      <c r="BH646" t="str">
        <f t="shared" si="423"/>
        <v/>
      </c>
      <c r="BI646" t="str" cm="1">
        <f t="array" ref="BI646">_xlfn.IFS(
  L646&gt;0,"Critical Fail",
  M646&gt;0,"Important (Coaching)",
  TRUE,"Clean Pass"
)</f>
        <v>Clean Pass</v>
      </c>
      <c r="BJ646" t="str">
        <f t="shared" si="424"/>
        <v>NA</v>
      </c>
    </row>
    <row r="647" spans="1:62" x14ac:dyDescent="0.3">
      <c r="A647">
        <v>703965</v>
      </c>
      <c r="K647" t="str">
        <f t="shared" si="425"/>
        <v>Pass</v>
      </c>
      <c r="L647" s="15">
        <f t="shared" si="390"/>
        <v>0</v>
      </c>
      <c r="M647" s="15">
        <f t="shared" si="391"/>
        <v>0</v>
      </c>
      <c r="Z647" s="15">
        <f t="shared" si="392"/>
        <v>1</v>
      </c>
      <c r="AA647" s="15">
        <f t="shared" si="393"/>
        <v>1</v>
      </c>
      <c r="AB647" s="15">
        <f t="shared" si="394"/>
        <v>1</v>
      </c>
      <c r="AC647" s="15">
        <f t="shared" si="395"/>
        <v>1</v>
      </c>
      <c r="AD647" s="15">
        <f t="shared" si="396"/>
        <v>1</v>
      </c>
      <c r="AE647" s="15">
        <f t="shared" si="397"/>
        <v>1</v>
      </c>
      <c r="AF647" s="15">
        <f t="shared" si="398"/>
        <v>1</v>
      </c>
      <c r="AG647" s="15">
        <f t="shared" si="399"/>
        <v>1</v>
      </c>
      <c r="AH647" s="15">
        <f t="shared" si="400"/>
        <v>1</v>
      </c>
      <c r="AI647" s="15">
        <f t="shared" si="401"/>
        <v>1</v>
      </c>
      <c r="AJ647" s="15">
        <f t="shared" si="402"/>
        <v>1</v>
      </c>
      <c r="AK647" s="15">
        <f t="shared" si="403"/>
        <v>1</v>
      </c>
      <c r="AL647" s="15">
        <f t="shared" si="404"/>
        <v>1</v>
      </c>
      <c r="AM647" s="15">
        <f t="shared" si="405"/>
        <v>1</v>
      </c>
      <c r="AN647" s="15">
        <f t="shared" si="406"/>
        <v>1</v>
      </c>
      <c r="AO647" s="15">
        <f t="shared" si="407"/>
        <v>1</v>
      </c>
      <c r="AP647" s="15">
        <f t="shared" si="408"/>
        <v>1</v>
      </c>
      <c r="AQ647" s="15">
        <f t="shared" si="409"/>
        <v>1</v>
      </c>
      <c r="AR647" s="15">
        <f t="shared" si="410"/>
        <v>1</v>
      </c>
      <c r="AS647" s="15">
        <f t="shared" si="411"/>
        <v>1</v>
      </c>
      <c r="AT647" s="15">
        <f t="shared" si="412"/>
        <v>1</v>
      </c>
      <c r="AU647" s="15">
        <f t="shared" si="413"/>
        <v>1</v>
      </c>
      <c r="AV647" s="15">
        <f t="shared" si="414"/>
        <v>1</v>
      </c>
      <c r="AW647" s="15">
        <f t="shared" si="415"/>
        <v>1</v>
      </c>
      <c r="AX647" s="15">
        <f t="shared" si="416"/>
        <v>1</v>
      </c>
      <c r="AY647" s="15">
        <f t="shared" si="417"/>
        <v>1</v>
      </c>
      <c r="AZ647" s="15">
        <f t="shared" si="418"/>
        <v>1</v>
      </c>
      <c r="BA647" s="15">
        <f t="shared" si="419"/>
        <v>1</v>
      </c>
      <c r="BB647" s="15">
        <f t="shared" si="426"/>
        <v>0</v>
      </c>
      <c r="BC647" s="15" t="str">
        <f t="shared" si="427"/>
        <v/>
      </c>
      <c r="BD647" s="15" t="str">
        <f t="shared" si="428"/>
        <v/>
      </c>
      <c r="BE647" s="11" t="e">
        <f t="shared" si="420"/>
        <v>#VALUE!</v>
      </c>
      <c r="BF647" s="11" t="e">
        <f t="shared" si="421"/>
        <v>#VALUE!</v>
      </c>
      <c r="BG647" s="11" t="e">
        <f t="shared" si="422"/>
        <v>#VALUE!</v>
      </c>
      <c r="BH647" t="str">
        <f t="shared" si="423"/>
        <v/>
      </c>
      <c r="BI647" t="str" cm="1">
        <f t="array" ref="BI647">_xlfn.IFS(
  L647&gt;0,"Critical Fail",
  M647&gt;0,"Important (Coaching)",
  TRUE,"Clean Pass"
)</f>
        <v>Clean Pass</v>
      </c>
      <c r="BJ647" t="str">
        <f t="shared" si="424"/>
        <v>NA</v>
      </c>
    </row>
    <row r="648" spans="1:62" x14ac:dyDescent="0.3">
      <c r="A648">
        <v>544433</v>
      </c>
      <c r="K648" t="str">
        <f t="shared" si="425"/>
        <v>Pass</v>
      </c>
      <c r="L648" s="15">
        <f t="shared" si="390"/>
        <v>0</v>
      </c>
      <c r="M648" s="15">
        <f t="shared" si="391"/>
        <v>0</v>
      </c>
      <c r="Z648" s="15">
        <f t="shared" si="392"/>
        <v>1</v>
      </c>
      <c r="AA648" s="15">
        <f t="shared" si="393"/>
        <v>1</v>
      </c>
      <c r="AB648" s="15">
        <f t="shared" si="394"/>
        <v>1</v>
      </c>
      <c r="AC648" s="15">
        <f t="shared" si="395"/>
        <v>1</v>
      </c>
      <c r="AD648" s="15">
        <f t="shared" si="396"/>
        <v>1</v>
      </c>
      <c r="AE648" s="15">
        <f t="shared" si="397"/>
        <v>1</v>
      </c>
      <c r="AF648" s="15">
        <f t="shared" si="398"/>
        <v>1</v>
      </c>
      <c r="AG648" s="15">
        <f t="shared" si="399"/>
        <v>1</v>
      </c>
      <c r="AH648" s="15">
        <f t="shared" si="400"/>
        <v>1</v>
      </c>
      <c r="AI648" s="15">
        <f t="shared" si="401"/>
        <v>1</v>
      </c>
      <c r="AJ648" s="15">
        <f t="shared" si="402"/>
        <v>1</v>
      </c>
      <c r="AK648" s="15">
        <f t="shared" si="403"/>
        <v>1</v>
      </c>
      <c r="AL648" s="15">
        <f t="shared" si="404"/>
        <v>1</v>
      </c>
      <c r="AM648" s="15">
        <f t="shared" si="405"/>
        <v>1</v>
      </c>
      <c r="AN648" s="15">
        <f t="shared" si="406"/>
        <v>1</v>
      </c>
      <c r="AO648" s="15">
        <f t="shared" si="407"/>
        <v>1</v>
      </c>
      <c r="AP648" s="15">
        <f t="shared" si="408"/>
        <v>1</v>
      </c>
      <c r="AQ648" s="15">
        <f t="shared" si="409"/>
        <v>1</v>
      </c>
      <c r="AR648" s="15">
        <f t="shared" si="410"/>
        <v>1</v>
      </c>
      <c r="AS648" s="15">
        <f t="shared" si="411"/>
        <v>1</v>
      </c>
      <c r="AT648" s="15">
        <f t="shared" si="412"/>
        <v>1</v>
      </c>
      <c r="AU648" s="15">
        <f t="shared" si="413"/>
        <v>1</v>
      </c>
      <c r="AV648" s="15">
        <f t="shared" si="414"/>
        <v>1</v>
      </c>
      <c r="AW648" s="15">
        <f t="shared" si="415"/>
        <v>1</v>
      </c>
      <c r="AX648" s="15">
        <f t="shared" si="416"/>
        <v>1</v>
      </c>
      <c r="AY648" s="15">
        <f t="shared" si="417"/>
        <v>1</v>
      </c>
      <c r="AZ648" s="15">
        <f t="shared" si="418"/>
        <v>1</v>
      </c>
      <c r="BA648" s="15">
        <f t="shared" si="419"/>
        <v>1</v>
      </c>
      <c r="BB648" s="15">
        <f t="shared" si="426"/>
        <v>0</v>
      </c>
      <c r="BC648" s="15" t="str">
        <f t="shared" si="427"/>
        <v/>
      </c>
      <c r="BD648" s="15" t="str">
        <f t="shared" si="428"/>
        <v/>
      </c>
      <c r="BE648" s="11" t="e">
        <f t="shared" si="420"/>
        <v>#VALUE!</v>
      </c>
      <c r="BF648" s="11" t="e">
        <f t="shared" si="421"/>
        <v>#VALUE!</v>
      </c>
      <c r="BG648" s="11" t="e">
        <f t="shared" si="422"/>
        <v>#VALUE!</v>
      </c>
      <c r="BH648" t="str">
        <f t="shared" si="423"/>
        <v/>
      </c>
      <c r="BI648" t="str" cm="1">
        <f t="array" ref="BI648">_xlfn.IFS(
  L648&gt;0,"Critical Fail",
  M648&gt;0,"Important (Coaching)",
  TRUE,"Clean Pass"
)</f>
        <v>Clean Pass</v>
      </c>
      <c r="BJ648" t="str">
        <f t="shared" si="424"/>
        <v>NA</v>
      </c>
    </row>
    <row r="649" spans="1:62" x14ac:dyDescent="0.3">
      <c r="A649">
        <v>258942</v>
      </c>
      <c r="K649" t="str">
        <f t="shared" si="425"/>
        <v>Pass</v>
      </c>
      <c r="L649" s="15">
        <f t="shared" si="390"/>
        <v>0</v>
      </c>
      <c r="M649" s="15">
        <f t="shared" si="391"/>
        <v>0</v>
      </c>
      <c r="Z649" s="15">
        <f t="shared" si="392"/>
        <v>1</v>
      </c>
      <c r="AA649" s="15">
        <f t="shared" si="393"/>
        <v>1</v>
      </c>
      <c r="AB649" s="15">
        <f t="shared" si="394"/>
        <v>1</v>
      </c>
      <c r="AC649" s="15">
        <f t="shared" si="395"/>
        <v>1</v>
      </c>
      <c r="AD649" s="15">
        <f t="shared" si="396"/>
        <v>1</v>
      </c>
      <c r="AE649" s="15">
        <f t="shared" si="397"/>
        <v>1</v>
      </c>
      <c r="AF649" s="15">
        <f t="shared" si="398"/>
        <v>1</v>
      </c>
      <c r="AG649" s="15">
        <f t="shared" si="399"/>
        <v>1</v>
      </c>
      <c r="AH649" s="15">
        <f t="shared" si="400"/>
        <v>1</v>
      </c>
      <c r="AI649" s="15">
        <f t="shared" si="401"/>
        <v>1</v>
      </c>
      <c r="AJ649" s="15">
        <f t="shared" si="402"/>
        <v>1</v>
      </c>
      <c r="AK649" s="15">
        <f t="shared" si="403"/>
        <v>1</v>
      </c>
      <c r="AL649" s="15">
        <f t="shared" si="404"/>
        <v>1</v>
      </c>
      <c r="AM649" s="15">
        <f t="shared" si="405"/>
        <v>1</v>
      </c>
      <c r="AN649" s="15">
        <f t="shared" si="406"/>
        <v>1</v>
      </c>
      <c r="AO649" s="15">
        <f t="shared" si="407"/>
        <v>1</v>
      </c>
      <c r="AP649" s="15">
        <f t="shared" si="408"/>
        <v>1</v>
      </c>
      <c r="AQ649" s="15">
        <f t="shared" si="409"/>
        <v>1</v>
      </c>
      <c r="AR649" s="15">
        <f t="shared" si="410"/>
        <v>1</v>
      </c>
      <c r="AS649" s="15">
        <f t="shared" si="411"/>
        <v>1</v>
      </c>
      <c r="AT649" s="15">
        <f t="shared" si="412"/>
        <v>1</v>
      </c>
      <c r="AU649" s="15">
        <f t="shared" si="413"/>
        <v>1</v>
      </c>
      <c r="AV649" s="15">
        <f t="shared" si="414"/>
        <v>1</v>
      </c>
      <c r="AW649" s="15">
        <f t="shared" si="415"/>
        <v>1</v>
      </c>
      <c r="AX649" s="15">
        <f t="shared" si="416"/>
        <v>1</v>
      </c>
      <c r="AY649" s="15">
        <f t="shared" si="417"/>
        <v>1</v>
      </c>
      <c r="AZ649" s="15">
        <f t="shared" si="418"/>
        <v>1</v>
      </c>
      <c r="BA649" s="15">
        <f t="shared" si="419"/>
        <v>1</v>
      </c>
      <c r="BB649" s="15">
        <f t="shared" si="426"/>
        <v>0</v>
      </c>
      <c r="BC649" s="15" t="str">
        <f t="shared" si="427"/>
        <v/>
      </c>
      <c r="BD649" s="15" t="str">
        <f t="shared" si="428"/>
        <v/>
      </c>
      <c r="BE649" s="11" t="e">
        <f t="shared" si="420"/>
        <v>#VALUE!</v>
      </c>
      <c r="BF649" s="11" t="e">
        <f t="shared" si="421"/>
        <v>#VALUE!</v>
      </c>
      <c r="BG649" s="11" t="e">
        <f t="shared" si="422"/>
        <v>#VALUE!</v>
      </c>
      <c r="BH649" t="str">
        <f t="shared" si="423"/>
        <v/>
      </c>
      <c r="BI649" t="str" cm="1">
        <f t="array" ref="BI649">_xlfn.IFS(
  L649&gt;0,"Critical Fail",
  M649&gt;0,"Important (Coaching)",
  TRUE,"Clean Pass"
)</f>
        <v>Clean Pass</v>
      </c>
      <c r="BJ649" t="str">
        <f t="shared" si="424"/>
        <v>NA</v>
      </c>
    </row>
    <row r="650" spans="1:62" x14ac:dyDescent="0.3">
      <c r="A650">
        <v>485402</v>
      </c>
      <c r="K650" t="str">
        <f t="shared" si="425"/>
        <v>Pass</v>
      </c>
      <c r="L650" s="15">
        <f t="shared" si="390"/>
        <v>0</v>
      </c>
      <c r="M650" s="15">
        <f t="shared" si="391"/>
        <v>0</v>
      </c>
      <c r="Z650" s="15">
        <f t="shared" si="392"/>
        <v>1</v>
      </c>
      <c r="AA650" s="15">
        <f t="shared" si="393"/>
        <v>1</v>
      </c>
      <c r="AB650" s="15">
        <f t="shared" si="394"/>
        <v>1</v>
      </c>
      <c r="AC650" s="15">
        <f t="shared" si="395"/>
        <v>1</v>
      </c>
      <c r="AD650" s="15">
        <f t="shared" si="396"/>
        <v>1</v>
      </c>
      <c r="AE650" s="15">
        <f t="shared" si="397"/>
        <v>1</v>
      </c>
      <c r="AF650" s="15">
        <f t="shared" si="398"/>
        <v>1</v>
      </c>
      <c r="AG650" s="15">
        <f t="shared" si="399"/>
        <v>1</v>
      </c>
      <c r="AH650" s="15">
        <f t="shared" si="400"/>
        <v>1</v>
      </c>
      <c r="AI650" s="15">
        <f t="shared" si="401"/>
        <v>1</v>
      </c>
      <c r="AJ650" s="15">
        <f t="shared" si="402"/>
        <v>1</v>
      </c>
      <c r="AK650" s="15">
        <f t="shared" si="403"/>
        <v>1</v>
      </c>
      <c r="AL650" s="15">
        <f t="shared" si="404"/>
        <v>1</v>
      </c>
      <c r="AM650" s="15">
        <f t="shared" si="405"/>
        <v>1</v>
      </c>
      <c r="AN650" s="15">
        <f t="shared" si="406"/>
        <v>1</v>
      </c>
      <c r="AO650" s="15">
        <f t="shared" si="407"/>
        <v>1</v>
      </c>
      <c r="AP650" s="15">
        <f t="shared" si="408"/>
        <v>1</v>
      </c>
      <c r="AQ650" s="15">
        <f t="shared" si="409"/>
        <v>1</v>
      </c>
      <c r="AR650" s="15">
        <f t="shared" si="410"/>
        <v>1</v>
      </c>
      <c r="AS650" s="15">
        <f t="shared" si="411"/>
        <v>1</v>
      </c>
      <c r="AT650" s="15">
        <f t="shared" si="412"/>
        <v>1</v>
      </c>
      <c r="AU650" s="15">
        <f t="shared" si="413"/>
        <v>1</v>
      </c>
      <c r="AV650" s="15">
        <f t="shared" si="414"/>
        <v>1</v>
      </c>
      <c r="AW650" s="15">
        <f t="shared" si="415"/>
        <v>1</v>
      </c>
      <c r="AX650" s="15">
        <f t="shared" si="416"/>
        <v>1</v>
      </c>
      <c r="AY650" s="15">
        <f t="shared" si="417"/>
        <v>1</v>
      </c>
      <c r="AZ650" s="15">
        <f t="shared" si="418"/>
        <v>1</v>
      </c>
      <c r="BA650" s="15">
        <f t="shared" si="419"/>
        <v>1</v>
      </c>
      <c r="BB650" s="15">
        <f t="shared" si="426"/>
        <v>0</v>
      </c>
      <c r="BC650" s="15" t="str">
        <f t="shared" si="427"/>
        <v/>
      </c>
      <c r="BD650" s="15" t="str">
        <f t="shared" si="428"/>
        <v/>
      </c>
      <c r="BE650" s="11" t="e">
        <f t="shared" si="420"/>
        <v>#VALUE!</v>
      </c>
      <c r="BF650" s="11" t="e">
        <f t="shared" si="421"/>
        <v>#VALUE!</v>
      </c>
      <c r="BG650" s="11" t="e">
        <f t="shared" si="422"/>
        <v>#VALUE!</v>
      </c>
      <c r="BH650" t="str">
        <f t="shared" si="423"/>
        <v/>
      </c>
      <c r="BI650" t="str" cm="1">
        <f t="array" ref="BI650">_xlfn.IFS(
  L650&gt;0,"Critical Fail",
  M650&gt;0,"Important (Coaching)",
  TRUE,"Clean Pass"
)</f>
        <v>Clean Pass</v>
      </c>
      <c r="BJ650" t="str">
        <f t="shared" si="424"/>
        <v>NA</v>
      </c>
    </row>
    <row r="651" spans="1:62" x14ac:dyDescent="0.3">
      <c r="A651">
        <v>216873</v>
      </c>
      <c r="K651" t="str">
        <f t="shared" si="425"/>
        <v>Pass</v>
      </c>
      <c r="L651" s="15">
        <f t="shared" si="390"/>
        <v>0</v>
      </c>
      <c r="M651" s="15">
        <f t="shared" si="391"/>
        <v>0</v>
      </c>
      <c r="Z651" s="15">
        <f t="shared" si="392"/>
        <v>1</v>
      </c>
      <c r="AA651" s="15">
        <f t="shared" si="393"/>
        <v>1</v>
      </c>
      <c r="AB651" s="15">
        <f t="shared" si="394"/>
        <v>1</v>
      </c>
      <c r="AC651" s="15">
        <f t="shared" si="395"/>
        <v>1</v>
      </c>
      <c r="AD651" s="15">
        <f t="shared" si="396"/>
        <v>1</v>
      </c>
      <c r="AE651" s="15">
        <f t="shared" si="397"/>
        <v>1</v>
      </c>
      <c r="AF651" s="15">
        <f t="shared" si="398"/>
        <v>1</v>
      </c>
      <c r="AG651" s="15">
        <f t="shared" si="399"/>
        <v>1</v>
      </c>
      <c r="AH651" s="15">
        <f t="shared" si="400"/>
        <v>1</v>
      </c>
      <c r="AI651" s="15">
        <f t="shared" si="401"/>
        <v>1</v>
      </c>
      <c r="AJ651" s="15">
        <f t="shared" si="402"/>
        <v>1</v>
      </c>
      <c r="AK651" s="15">
        <f t="shared" si="403"/>
        <v>1</v>
      </c>
      <c r="AL651" s="15">
        <f t="shared" si="404"/>
        <v>1</v>
      </c>
      <c r="AM651" s="15">
        <f t="shared" si="405"/>
        <v>1</v>
      </c>
      <c r="AN651" s="15">
        <f t="shared" si="406"/>
        <v>1</v>
      </c>
      <c r="AO651" s="15">
        <f t="shared" si="407"/>
        <v>1</v>
      </c>
      <c r="AP651" s="15">
        <f t="shared" si="408"/>
        <v>1</v>
      </c>
      <c r="AQ651" s="15">
        <f t="shared" si="409"/>
        <v>1</v>
      </c>
      <c r="AR651" s="15">
        <f t="shared" si="410"/>
        <v>1</v>
      </c>
      <c r="AS651" s="15">
        <f t="shared" si="411"/>
        <v>1</v>
      </c>
      <c r="AT651" s="15">
        <f t="shared" si="412"/>
        <v>1</v>
      </c>
      <c r="AU651" s="15">
        <f t="shared" si="413"/>
        <v>1</v>
      </c>
      <c r="AV651" s="15">
        <f t="shared" si="414"/>
        <v>1</v>
      </c>
      <c r="AW651" s="15">
        <f t="shared" si="415"/>
        <v>1</v>
      </c>
      <c r="AX651" s="15">
        <f t="shared" si="416"/>
        <v>1</v>
      </c>
      <c r="AY651" s="15">
        <f t="shared" si="417"/>
        <v>1</v>
      </c>
      <c r="AZ651" s="15">
        <f t="shared" si="418"/>
        <v>1</v>
      </c>
      <c r="BA651" s="15">
        <f t="shared" si="419"/>
        <v>1</v>
      </c>
      <c r="BB651" s="15">
        <f t="shared" si="426"/>
        <v>0</v>
      </c>
      <c r="BC651" s="15" t="str">
        <f t="shared" si="427"/>
        <v/>
      </c>
      <c r="BD651" s="15" t="str">
        <f t="shared" si="428"/>
        <v/>
      </c>
      <c r="BE651" s="11" t="e">
        <f t="shared" si="420"/>
        <v>#VALUE!</v>
      </c>
      <c r="BF651" s="11" t="e">
        <f t="shared" si="421"/>
        <v>#VALUE!</v>
      </c>
      <c r="BG651" s="11" t="e">
        <f t="shared" si="422"/>
        <v>#VALUE!</v>
      </c>
      <c r="BH651" t="str">
        <f t="shared" si="423"/>
        <v/>
      </c>
      <c r="BI651" t="str" cm="1">
        <f t="array" ref="BI651">_xlfn.IFS(
  L651&gt;0,"Critical Fail",
  M651&gt;0,"Important (Coaching)",
  TRUE,"Clean Pass"
)</f>
        <v>Clean Pass</v>
      </c>
      <c r="BJ651" t="str">
        <f t="shared" si="424"/>
        <v>NA</v>
      </c>
    </row>
    <row r="652" spans="1:62" x14ac:dyDescent="0.3">
      <c r="A652">
        <v>250980</v>
      </c>
      <c r="K652" t="str">
        <f t="shared" si="425"/>
        <v>Pass</v>
      </c>
      <c r="L652" s="15">
        <f t="shared" si="390"/>
        <v>0</v>
      </c>
      <c r="M652" s="15">
        <f t="shared" si="391"/>
        <v>0</v>
      </c>
      <c r="Z652" s="15">
        <f t="shared" si="392"/>
        <v>1</v>
      </c>
      <c r="AA652" s="15">
        <f t="shared" si="393"/>
        <v>1</v>
      </c>
      <c r="AB652" s="15">
        <f t="shared" si="394"/>
        <v>1</v>
      </c>
      <c r="AC652" s="15">
        <f t="shared" si="395"/>
        <v>1</v>
      </c>
      <c r="AD652" s="15">
        <f t="shared" si="396"/>
        <v>1</v>
      </c>
      <c r="AE652" s="15">
        <f t="shared" si="397"/>
        <v>1</v>
      </c>
      <c r="AF652" s="15">
        <f t="shared" si="398"/>
        <v>1</v>
      </c>
      <c r="AG652" s="15">
        <f t="shared" si="399"/>
        <v>1</v>
      </c>
      <c r="AH652" s="15">
        <f t="shared" si="400"/>
        <v>1</v>
      </c>
      <c r="AI652" s="15">
        <f t="shared" si="401"/>
        <v>1</v>
      </c>
      <c r="AJ652" s="15">
        <f t="shared" si="402"/>
        <v>1</v>
      </c>
      <c r="AK652" s="15">
        <f t="shared" si="403"/>
        <v>1</v>
      </c>
      <c r="AL652" s="15">
        <f t="shared" si="404"/>
        <v>1</v>
      </c>
      <c r="AM652" s="15">
        <f t="shared" si="405"/>
        <v>1</v>
      </c>
      <c r="AN652" s="15">
        <f t="shared" si="406"/>
        <v>1</v>
      </c>
      <c r="AO652" s="15">
        <f t="shared" si="407"/>
        <v>1</v>
      </c>
      <c r="AP652" s="15">
        <f t="shared" si="408"/>
        <v>1</v>
      </c>
      <c r="AQ652" s="15">
        <f t="shared" si="409"/>
        <v>1</v>
      </c>
      <c r="AR652" s="15">
        <f t="shared" si="410"/>
        <v>1</v>
      </c>
      <c r="AS652" s="15">
        <f t="shared" si="411"/>
        <v>1</v>
      </c>
      <c r="AT652" s="15">
        <f t="shared" si="412"/>
        <v>1</v>
      </c>
      <c r="AU652" s="15">
        <f t="shared" si="413"/>
        <v>1</v>
      </c>
      <c r="AV652" s="15">
        <f t="shared" si="414"/>
        <v>1</v>
      </c>
      <c r="AW652" s="15">
        <f t="shared" si="415"/>
        <v>1</v>
      </c>
      <c r="AX652" s="15">
        <f t="shared" si="416"/>
        <v>1</v>
      </c>
      <c r="AY652" s="15">
        <f t="shared" si="417"/>
        <v>1</v>
      </c>
      <c r="AZ652" s="15">
        <f t="shared" si="418"/>
        <v>1</v>
      </c>
      <c r="BA652" s="15">
        <f t="shared" si="419"/>
        <v>1</v>
      </c>
      <c r="BB652" s="15">
        <f t="shared" si="426"/>
        <v>0</v>
      </c>
      <c r="BC652" s="15" t="str">
        <f t="shared" si="427"/>
        <v/>
      </c>
      <c r="BD652" s="15" t="str">
        <f t="shared" si="428"/>
        <v/>
      </c>
      <c r="BE652" s="11" t="e">
        <f t="shared" si="420"/>
        <v>#VALUE!</v>
      </c>
      <c r="BF652" s="11" t="e">
        <f t="shared" si="421"/>
        <v>#VALUE!</v>
      </c>
      <c r="BG652" s="11" t="e">
        <f t="shared" si="422"/>
        <v>#VALUE!</v>
      </c>
      <c r="BH652" t="str">
        <f t="shared" si="423"/>
        <v/>
      </c>
      <c r="BI652" t="str" cm="1">
        <f t="array" ref="BI652">_xlfn.IFS(
  L652&gt;0,"Critical Fail",
  M652&gt;0,"Important (Coaching)",
  TRUE,"Clean Pass"
)</f>
        <v>Clean Pass</v>
      </c>
      <c r="BJ652" t="str">
        <f t="shared" si="424"/>
        <v>NA</v>
      </c>
    </row>
    <row r="653" spans="1:62" x14ac:dyDescent="0.3">
      <c r="A653">
        <v>597140</v>
      </c>
      <c r="K653" t="str">
        <f t="shared" si="425"/>
        <v>Pass</v>
      </c>
      <c r="L653" s="15">
        <f t="shared" si="390"/>
        <v>0</v>
      </c>
      <c r="M653" s="15">
        <f t="shared" si="391"/>
        <v>0</v>
      </c>
      <c r="Z653" s="15">
        <f t="shared" si="392"/>
        <v>1</v>
      </c>
      <c r="AA653" s="15">
        <f t="shared" si="393"/>
        <v>1</v>
      </c>
      <c r="AB653" s="15">
        <f t="shared" si="394"/>
        <v>1</v>
      </c>
      <c r="AC653" s="15">
        <f t="shared" si="395"/>
        <v>1</v>
      </c>
      <c r="AD653" s="15">
        <f t="shared" si="396"/>
        <v>1</v>
      </c>
      <c r="AE653" s="15">
        <f t="shared" si="397"/>
        <v>1</v>
      </c>
      <c r="AF653" s="15">
        <f t="shared" si="398"/>
        <v>1</v>
      </c>
      <c r="AG653" s="15">
        <f t="shared" si="399"/>
        <v>1</v>
      </c>
      <c r="AH653" s="15">
        <f t="shared" si="400"/>
        <v>1</v>
      </c>
      <c r="AI653" s="15">
        <f t="shared" si="401"/>
        <v>1</v>
      </c>
      <c r="AJ653" s="15">
        <f t="shared" si="402"/>
        <v>1</v>
      </c>
      <c r="AK653" s="15">
        <f t="shared" si="403"/>
        <v>1</v>
      </c>
      <c r="AL653" s="15">
        <f t="shared" si="404"/>
        <v>1</v>
      </c>
      <c r="AM653" s="15">
        <f t="shared" si="405"/>
        <v>1</v>
      </c>
      <c r="AN653" s="15">
        <f t="shared" si="406"/>
        <v>1</v>
      </c>
      <c r="AO653" s="15">
        <f t="shared" si="407"/>
        <v>1</v>
      </c>
      <c r="AP653" s="15">
        <f t="shared" si="408"/>
        <v>1</v>
      </c>
      <c r="AQ653" s="15">
        <f t="shared" si="409"/>
        <v>1</v>
      </c>
      <c r="AR653" s="15">
        <f t="shared" si="410"/>
        <v>1</v>
      </c>
      <c r="AS653" s="15">
        <f t="shared" si="411"/>
        <v>1</v>
      </c>
      <c r="AT653" s="15">
        <f t="shared" si="412"/>
        <v>1</v>
      </c>
      <c r="AU653" s="15">
        <f t="shared" si="413"/>
        <v>1</v>
      </c>
      <c r="AV653" s="15">
        <f t="shared" si="414"/>
        <v>1</v>
      </c>
      <c r="AW653" s="15">
        <f t="shared" si="415"/>
        <v>1</v>
      </c>
      <c r="AX653" s="15">
        <f t="shared" si="416"/>
        <v>1</v>
      </c>
      <c r="AY653" s="15">
        <f t="shared" si="417"/>
        <v>1</v>
      </c>
      <c r="AZ653" s="15">
        <f t="shared" si="418"/>
        <v>1</v>
      </c>
      <c r="BA653" s="15">
        <f t="shared" si="419"/>
        <v>1</v>
      </c>
      <c r="BB653" s="15">
        <f t="shared" si="426"/>
        <v>0</v>
      </c>
      <c r="BC653" s="15" t="str">
        <f t="shared" si="427"/>
        <v/>
      </c>
      <c r="BD653" s="15" t="str">
        <f t="shared" si="428"/>
        <v/>
      </c>
      <c r="BE653" s="11" t="e">
        <f t="shared" si="420"/>
        <v>#VALUE!</v>
      </c>
      <c r="BF653" s="11" t="e">
        <f t="shared" si="421"/>
        <v>#VALUE!</v>
      </c>
      <c r="BG653" s="11" t="e">
        <f t="shared" si="422"/>
        <v>#VALUE!</v>
      </c>
      <c r="BH653" t="str">
        <f t="shared" si="423"/>
        <v/>
      </c>
      <c r="BI653" t="str" cm="1">
        <f t="array" ref="BI653">_xlfn.IFS(
  L653&gt;0,"Critical Fail",
  M653&gt;0,"Important (Coaching)",
  TRUE,"Clean Pass"
)</f>
        <v>Clean Pass</v>
      </c>
      <c r="BJ653" t="str">
        <f t="shared" si="424"/>
        <v>NA</v>
      </c>
    </row>
    <row r="654" spans="1:62" x14ac:dyDescent="0.3">
      <c r="A654">
        <v>111350</v>
      </c>
      <c r="K654" t="str">
        <f t="shared" si="425"/>
        <v>Pass</v>
      </c>
      <c r="L654" s="15">
        <f t="shared" si="390"/>
        <v>0</v>
      </c>
      <c r="M654" s="15">
        <f t="shared" si="391"/>
        <v>0</v>
      </c>
      <c r="Z654" s="15">
        <f t="shared" si="392"/>
        <v>1</v>
      </c>
      <c r="AA654" s="15">
        <f t="shared" si="393"/>
        <v>1</v>
      </c>
      <c r="AB654" s="15">
        <f t="shared" si="394"/>
        <v>1</v>
      </c>
      <c r="AC654" s="15">
        <f t="shared" si="395"/>
        <v>1</v>
      </c>
      <c r="AD654" s="15">
        <f t="shared" si="396"/>
        <v>1</v>
      </c>
      <c r="AE654" s="15">
        <f t="shared" si="397"/>
        <v>1</v>
      </c>
      <c r="AF654" s="15">
        <f t="shared" si="398"/>
        <v>1</v>
      </c>
      <c r="AG654" s="15">
        <f t="shared" si="399"/>
        <v>1</v>
      </c>
      <c r="AH654" s="15">
        <f t="shared" si="400"/>
        <v>1</v>
      </c>
      <c r="AI654" s="15">
        <f t="shared" si="401"/>
        <v>1</v>
      </c>
      <c r="AJ654" s="15">
        <f t="shared" si="402"/>
        <v>1</v>
      </c>
      <c r="AK654" s="15">
        <f t="shared" si="403"/>
        <v>1</v>
      </c>
      <c r="AL654" s="15">
        <f t="shared" si="404"/>
        <v>1</v>
      </c>
      <c r="AM654" s="15">
        <f t="shared" si="405"/>
        <v>1</v>
      </c>
      <c r="AN654" s="15">
        <f t="shared" si="406"/>
        <v>1</v>
      </c>
      <c r="AO654" s="15">
        <f t="shared" si="407"/>
        <v>1</v>
      </c>
      <c r="AP654" s="15">
        <f t="shared" si="408"/>
        <v>1</v>
      </c>
      <c r="AQ654" s="15">
        <f t="shared" si="409"/>
        <v>1</v>
      </c>
      <c r="AR654" s="15">
        <f t="shared" si="410"/>
        <v>1</v>
      </c>
      <c r="AS654" s="15">
        <f t="shared" si="411"/>
        <v>1</v>
      </c>
      <c r="AT654" s="15">
        <f t="shared" si="412"/>
        <v>1</v>
      </c>
      <c r="AU654" s="15">
        <f t="shared" si="413"/>
        <v>1</v>
      </c>
      <c r="AV654" s="15">
        <f t="shared" si="414"/>
        <v>1</v>
      </c>
      <c r="AW654" s="15">
        <f t="shared" si="415"/>
        <v>1</v>
      </c>
      <c r="AX654" s="15">
        <f t="shared" si="416"/>
        <v>1</v>
      </c>
      <c r="AY654" s="15">
        <f t="shared" si="417"/>
        <v>1</v>
      </c>
      <c r="AZ654" s="15">
        <f t="shared" si="418"/>
        <v>1</v>
      </c>
      <c r="BA654" s="15">
        <f t="shared" si="419"/>
        <v>1</v>
      </c>
      <c r="BB654" s="15">
        <f t="shared" si="426"/>
        <v>0</v>
      </c>
      <c r="BC654" s="15" t="str">
        <f t="shared" si="427"/>
        <v/>
      </c>
      <c r="BD654" s="15" t="str">
        <f t="shared" si="428"/>
        <v/>
      </c>
      <c r="BE654" s="11" t="e">
        <f t="shared" si="420"/>
        <v>#VALUE!</v>
      </c>
      <c r="BF654" s="11" t="e">
        <f t="shared" si="421"/>
        <v>#VALUE!</v>
      </c>
      <c r="BG654" s="11" t="e">
        <f t="shared" si="422"/>
        <v>#VALUE!</v>
      </c>
      <c r="BH654" t="str">
        <f t="shared" si="423"/>
        <v/>
      </c>
      <c r="BI654" t="str" cm="1">
        <f t="array" ref="BI654">_xlfn.IFS(
  L654&gt;0,"Critical Fail",
  M654&gt;0,"Important (Coaching)",
  TRUE,"Clean Pass"
)</f>
        <v>Clean Pass</v>
      </c>
      <c r="BJ654" t="str">
        <f t="shared" si="424"/>
        <v>NA</v>
      </c>
    </row>
    <row r="655" spans="1:62" x14ac:dyDescent="0.3">
      <c r="A655">
        <v>478808</v>
      </c>
      <c r="K655" t="str">
        <f t="shared" si="425"/>
        <v>Pass</v>
      </c>
      <c r="L655" s="15">
        <f t="shared" si="390"/>
        <v>0</v>
      </c>
      <c r="M655" s="15">
        <f t="shared" si="391"/>
        <v>0</v>
      </c>
      <c r="Z655" s="15">
        <f t="shared" si="392"/>
        <v>1</v>
      </c>
      <c r="AA655" s="15">
        <f t="shared" si="393"/>
        <v>1</v>
      </c>
      <c r="AB655" s="15">
        <f t="shared" si="394"/>
        <v>1</v>
      </c>
      <c r="AC655" s="15">
        <f t="shared" si="395"/>
        <v>1</v>
      </c>
      <c r="AD655" s="15">
        <f t="shared" si="396"/>
        <v>1</v>
      </c>
      <c r="AE655" s="15">
        <f t="shared" si="397"/>
        <v>1</v>
      </c>
      <c r="AF655" s="15">
        <f t="shared" si="398"/>
        <v>1</v>
      </c>
      <c r="AG655" s="15">
        <f t="shared" si="399"/>
        <v>1</v>
      </c>
      <c r="AH655" s="15">
        <f t="shared" si="400"/>
        <v>1</v>
      </c>
      <c r="AI655" s="15">
        <f t="shared" si="401"/>
        <v>1</v>
      </c>
      <c r="AJ655" s="15">
        <f t="shared" si="402"/>
        <v>1</v>
      </c>
      <c r="AK655" s="15">
        <f t="shared" si="403"/>
        <v>1</v>
      </c>
      <c r="AL655" s="15">
        <f t="shared" si="404"/>
        <v>1</v>
      </c>
      <c r="AM655" s="15">
        <f t="shared" si="405"/>
        <v>1</v>
      </c>
      <c r="AN655" s="15">
        <f t="shared" si="406"/>
        <v>1</v>
      </c>
      <c r="AO655" s="15">
        <f t="shared" si="407"/>
        <v>1</v>
      </c>
      <c r="AP655" s="15">
        <f t="shared" si="408"/>
        <v>1</v>
      </c>
      <c r="AQ655" s="15">
        <f t="shared" si="409"/>
        <v>1</v>
      </c>
      <c r="AR655" s="15">
        <f t="shared" si="410"/>
        <v>1</v>
      </c>
      <c r="AS655" s="15">
        <f t="shared" si="411"/>
        <v>1</v>
      </c>
      <c r="AT655" s="15">
        <f t="shared" si="412"/>
        <v>1</v>
      </c>
      <c r="AU655" s="15">
        <f t="shared" si="413"/>
        <v>1</v>
      </c>
      <c r="AV655" s="15">
        <f t="shared" si="414"/>
        <v>1</v>
      </c>
      <c r="AW655" s="15">
        <f t="shared" si="415"/>
        <v>1</v>
      </c>
      <c r="AX655" s="15">
        <f t="shared" si="416"/>
        <v>1</v>
      </c>
      <c r="AY655" s="15">
        <f t="shared" si="417"/>
        <v>1</v>
      </c>
      <c r="AZ655" s="15">
        <f t="shared" si="418"/>
        <v>1</v>
      </c>
      <c r="BA655" s="15">
        <f t="shared" si="419"/>
        <v>1</v>
      </c>
      <c r="BB655" s="15">
        <f t="shared" si="426"/>
        <v>0</v>
      </c>
      <c r="BC655" s="15" t="str">
        <f t="shared" si="427"/>
        <v/>
      </c>
      <c r="BD655" s="15" t="str">
        <f t="shared" si="428"/>
        <v/>
      </c>
      <c r="BE655" s="11" t="e">
        <f t="shared" si="420"/>
        <v>#VALUE!</v>
      </c>
      <c r="BF655" s="11" t="e">
        <f t="shared" si="421"/>
        <v>#VALUE!</v>
      </c>
      <c r="BG655" s="11" t="e">
        <f t="shared" si="422"/>
        <v>#VALUE!</v>
      </c>
      <c r="BH655" t="str">
        <f t="shared" si="423"/>
        <v/>
      </c>
      <c r="BI655" t="str" cm="1">
        <f t="array" ref="BI655">_xlfn.IFS(
  L655&gt;0,"Critical Fail",
  M655&gt;0,"Important (Coaching)",
  TRUE,"Clean Pass"
)</f>
        <v>Clean Pass</v>
      </c>
      <c r="BJ655" t="str">
        <f t="shared" si="424"/>
        <v>NA</v>
      </c>
    </row>
    <row r="656" spans="1:62" x14ac:dyDescent="0.3">
      <c r="A656">
        <v>526632</v>
      </c>
      <c r="K656" t="str">
        <f t="shared" si="425"/>
        <v>Pass</v>
      </c>
      <c r="L656" s="15">
        <f t="shared" si="390"/>
        <v>0</v>
      </c>
      <c r="M656" s="15">
        <f t="shared" si="391"/>
        <v>0</v>
      </c>
      <c r="Z656" s="15">
        <f t="shared" si="392"/>
        <v>1</v>
      </c>
      <c r="AA656" s="15">
        <f t="shared" si="393"/>
        <v>1</v>
      </c>
      <c r="AB656" s="15">
        <f t="shared" si="394"/>
        <v>1</v>
      </c>
      <c r="AC656" s="15">
        <f t="shared" si="395"/>
        <v>1</v>
      </c>
      <c r="AD656" s="15">
        <f t="shared" si="396"/>
        <v>1</v>
      </c>
      <c r="AE656" s="15">
        <f t="shared" si="397"/>
        <v>1</v>
      </c>
      <c r="AF656" s="15">
        <f t="shared" si="398"/>
        <v>1</v>
      </c>
      <c r="AG656" s="15">
        <f t="shared" si="399"/>
        <v>1</v>
      </c>
      <c r="AH656" s="15">
        <f t="shared" si="400"/>
        <v>1</v>
      </c>
      <c r="AI656" s="15">
        <f t="shared" si="401"/>
        <v>1</v>
      </c>
      <c r="AJ656" s="15">
        <f t="shared" si="402"/>
        <v>1</v>
      </c>
      <c r="AK656" s="15">
        <f t="shared" si="403"/>
        <v>1</v>
      </c>
      <c r="AL656" s="15">
        <f t="shared" si="404"/>
        <v>1</v>
      </c>
      <c r="AM656" s="15">
        <f t="shared" si="405"/>
        <v>1</v>
      </c>
      <c r="AN656" s="15">
        <f t="shared" si="406"/>
        <v>1</v>
      </c>
      <c r="AO656" s="15">
        <f t="shared" si="407"/>
        <v>1</v>
      </c>
      <c r="AP656" s="15">
        <f t="shared" si="408"/>
        <v>1</v>
      </c>
      <c r="AQ656" s="15">
        <f t="shared" si="409"/>
        <v>1</v>
      </c>
      <c r="AR656" s="15">
        <f t="shared" si="410"/>
        <v>1</v>
      </c>
      <c r="AS656" s="15">
        <f t="shared" si="411"/>
        <v>1</v>
      </c>
      <c r="AT656" s="15">
        <f t="shared" si="412"/>
        <v>1</v>
      </c>
      <c r="AU656" s="15">
        <f t="shared" si="413"/>
        <v>1</v>
      </c>
      <c r="AV656" s="15">
        <f t="shared" si="414"/>
        <v>1</v>
      </c>
      <c r="AW656" s="15">
        <f t="shared" si="415"/>
        <v>1</v>
      </c>
      <c r="AX656" s="15">
        <f t="shared" si="416"/>
        <v>1</v>
      </c>
      <c r="AY656" s="15">
        <f t="shared" si="417"/>
        <v>1</v>
      </c>
      <c r="AZ656" s="15">
        <f t="shared" si="418"/>
        <v>1</v>
      </c>
      <c r="BA656" s="15">
        <f t="shared" si="419"/>
        <v>1</v>
      </c>
      <c r="BB656" s="15">
        <f t="shared" si="426"/>
        <v>0</v>
      </c>
      <c r="BC656" s="15" t="str">
        <f t="shared" si="427"/>
        <v/>
      </c>
      <c r="BD656" s="15" t="str">
        <f t="shared" si="428"/>
        <v/>
      </c>
      <c r="BE656" s="11" t="e">
        <f t="shared" si="420"/>
        <v>#VALUE!</v>
      </c>
      <c r="BF656" s="11" t="e">
        <f t="shared" si="421"/>
        <v>#VALUE!</v>
      </c>
      <c r="BG656" s="11" t="e">
        <f t="shared" si="422"/>
        <v>#VALUE!</v>
      </c>
      <c r="BH656" t="str">
        <f t="shared" si="423"/>
        <v/>
      </c>
      <c r="BI656" t="str" cm="1">
        <f t="array" ref="BI656">_xlfn.IFS(
  L656&gt;0,"Critical Fail",
  M656&gt;0,"Important (Coaching)",
  TRUE,"Clean Pass"
)</f>
        <v>Clean Pass</v>
      </c>
      <c r="BJ656" t="str">
        <f t="shared" si="424"/>
        <v>NA</v>
      </c>
    </row>
    <row r="657" spans="1:62" x14ac:dyDescent="0.3">
      <c r="A657">
        <v>878010</v>
      </c>
      <c r="K657" t="str">
        <f t="shared" si="425"/>
        <v>Pass</v>
      </c>
      <c r="L657" s="15">
        <f t="shared" si="390"/>
        <v>0</v>
      </c>
      <c r="M657" s="15">
        <f t="shared" si="391"/>
        <v>0</v>
      </c>
      <c r="Z657" s="15">
        <f t="shared" si="392"/>
        <v>1</v>
      </c>
      <c r="AA657" s="15">
        <f t="shared" si="393"/>
        <v>1</v>
      </c>
      <c r="AB657" s="15">
        <f t="shared" si="394"/>
        <v>1</v>
      </c>
      <c r="AC657" s="15">
        <f t="shared" si="395"/>
        <v>1</v>
      </c>
      <c r="AD657" s="15">
        <f t="shared" si="396"/>
        <v>1</v>
      </c>
      <c r="AE657" s="15">
        <f t="shared" si="397"/>
        <v>1</v>
      </c>
      <c r="AF657" s="15">
        <f t="shared" si="398"/>
        <v>1</v>
      </c>
      <c r="AG657" s="15">
        <f t="shared" si="399"/>
        <v>1</v>
      </c>
      <c r="AH657" s="15">
        <f t="shared" si="400"/>
        <v>1</v>
      </c>
      <c r="AI657" s="15">
        <f t="shared" si="401"/>
        <v>1</v>
      </c>
      <c r="AJ657" s="15">
        <f t="shared" si="402"/>
        <v>1</v>
      </c>
      <c r="AK657" s="15">
        <f t="shared" si="403"/>
        <v>1</v>
      </c>
      <c r="AL657" s="15">
        <f t="shared" si="404"/>
        <v>1</v>
      </c>
      <c r="AM657" s="15">
        <f t="shared" si="405"/>
        <v>1</v>
      </c>
      <c r="AN657" s="15">
        <f t="shared" si="406"/>
        <v>1</v>
      </c>
      <c r="AO657" s="15">
        <f t="shared" si="407"/>
        <v>1</v>
      </c>
      <c r="AP657" s="15">
        <f t="shared" si="408"/>
        <v>1</v>
      </c>
      <c r="AQ657" s="15">
        <f t="shared" si="409"/>
        <v>1</v>
      </c>
      <c r="AR657" s="15">
        <f t="shared" si="410"/>
        <v>1</v>
      </c>
      <c r="AS657" s="15">
        <f t="shared" si="411"/>
        <v>1</v>
      </c>
      <c r="AT657" s="15">
        <f t="shared" si="412"/>
        <v>1</v>
      </c>
      <c r="AU657" s="15">
        <f t="shared" si="413"/>
        <v>1</v>
      </c>
      <c r="AV657" s="15">
        <f t="shared" si="414"/>
        <v>1</v>
      </c>
      <c r="AW657" s="15">
        <f t="shared" si="415"/>
        <v>1</v>
      </c>
      <c r="AX657" s="15">
        <f t="shared" si="416"/>
        <v>1</v>
      </c>
      <c r="AY657" s="15">
        <f t="shared" si="417"/>
        <v>1</v>
      </c>
      <c r="AZ657" s="15">
        <f t="shared" si="418"/>
        <v>1</v>
      </c>
      <c r="BA657" s="15">
        <f t="shared" si="419"/>
        <v>1</v>
      </c>
      <c r="BB657" s="15">
        <f t="shared" si="426"/>
        <v>0</v>
      </c>
      <c r="BC657" s="15" t="str">
        <f t="shared" si="427"/>
        <v/>
      </c>
      <c r="BD657" s="15" t="str">
        <f t="shared" si="428"/>
        <v/>
      </c>
      <c r="BE657" s="11" t="e">
        <f t="shared" si="420"/>
        <v>#VALUE!</v>
      </c>
      <c r="BF657" s="11" t="e">
        <f t="shared" si="421"/>
        <v>#VALUE!</v>
      </c>
      <c r="BG657" s="11" t="e">
        <f t="shared" si="422"/>
        <v>#VALUE!</v>
      </c>
      <c r="BH657" t="str">
        <f t="shared" si="423"/>
        <v/>
      </c>
      <c r="BI657" t="str" cm="1">
        <f t="array" ref="BI657">_xlfn.IFS(
  L657&gt;0,"Critical Fail",
  M657&gt;0,"Important (Coaching)",
  TRUE,"Clean Pass"
)</f>
        <v>Clean Pass</v>
      </c>
      <c r="BJ657" t="str">
        <f t="shared" si="424"/>
        <v>NA</v>
      </c>
    </row>
    <row r="658" spans="1:62" x14ac:dyDescent="0.3">
      <c r="A658">
        <v>992193</v>
      </c>
      <c r="K658" t="str">
        <f t="shared" si="425"/>
        <v>Pass</v>
      </c>
      <c r="L658" s="15">
        <f t="shared" si="390"/>
        <v>0</v>
      </c>
      <c r="M658" s="15">
        <f t="shared" si="391"/>
        <v>0</v>
      </c>
      <c r="Z658" s="15">
        <f t="shared" si="392"/>
        <v>1</v>
      </c>
      <c r="AA658" s="15">
        <f t="shared" si="393"/>
        <v>1</v>
      </c>
      <c r="AB658" s="15">
        <f t="shared" si="394"/>
        <v>1</v>
      </c>
      <c r="AC658" s="15">
        <f t="shared" si="395"/>
        <v>1</v>
      </c>
      <c r="AD658" s="15">
        <f t="shared" si="396"/>
        <v>1</v>
      </c>
      <c r="AE658" s="15">
        <f t="shared" si="397"/>
        <v>1</v>
      </c>
      <c r="AF658" s="15">
        <f t="shared" si="398"/>
        <v>1</v>
      </c>
      <c r="AG658" s="15">
        <f t="shared" si="399"/>
        <v>1</v>
      </c>
      <c r="AH658" s="15">
        <f t="shared" si="400"/>
        <v>1</v>
      </c>
      <c r="AI658" s="15">
        <f t="shared" si="401"/>
        <v>1</v>
      </c>
      <c r="AJ658" s="15">
        <f t="shared" si="402"/>
        <v>1</v>
      </c>
      <c r="AK658" s="15">
        <f t="shared" si="403"/>
        <v>1</v>
      </c>
      <c r="AL658" s="15">
        <f t="shared" si="404"/>
        <v>1</v>
      </c>
      <c r="AM658" s="15">
        <f t="shared" si="405"/>
        <v>1</v>
      </c>
      <c r="AN658" s="15">
        <f t="shared" si="406"/>
        <v>1</v>
      </c>
      <c r="AO658" s="15">
        <f t="shared" si="407"/>
        <v>1</v>
      </c>
      <c r="AP658" s="15">
        <f t="shared" si="408"/>
        <v>1</v>
      </c>
      <c r="AQ658" s="15">
        <f t="shared" si="409"/>
        <v>1</v>
      </c>
      <c r="AR658" s="15">
        <f t="shared" si="410"/>
        <v>1</v>
      </c>
      <c r="AS658" s="15">
        <f t="shared" si="411"/>
        <v>1</v>
      </c>
      <c r="AT658" s="15">
        <f t="shared" si="412"/>
        <v>1</v>
      </c>
      <c r="AU658" s="15">
        <f t="shared" si="413"/>
        <v>1</v>
      </c>
      <c r="AV658" s="15">
        <f t="shared" si="414"/>
        <v>1</v>
      </c>
      <c r="AW658" s="15">
        <f t="shared" si="415"/>
        <v>1</v>
      </c>
      <c r="AX658" s="15">
        <f t="shared" si="416"/>
        <v>1</v>
      </c>
      <c r="AY658" s="15">
        <f t="shared" si="417"/>
        <v>1</v>
      </c>
      <c r="AZ658" s="15">
        <f t="shared" si="418"/>
        <v>1</v>
      </c>
      <c r="BA658" s="15">
        <f t="shared" si="419"/>
        <v>1</v>
      </c>
      <c r="BB658" s="15">
        <f t="shared" si="426"/>
        <v>0</v>
      </c>
      <c r="BC658" s="15" t="str">
        <f t="shared" si="427"/>
        <v/>
      </c>
      <c r="BD658" s="15" t="str">
        <f t="shared" si="428"/>
        <v/>
      </c>
      <c r="BE658" s="11" t="e">
        <f t="shared" si="420"/>
        <v>#VALUE!</v>
      </c>
      <c r="BF658" s="11" t="e">
        <f t="shared" si="421"/>
        <v>#VALUE!</v>
      </c>
      <c r="BG658" s="11" t="e">
        <f t="shared" si="422"/>
        <v>#VALUE!</v>
      </c>
      <c r="BH658" t="str">
        <f t="shared" si="423"/>
        <v/>
      </c>
      <c r="BI658" t="str" cm="1">
        <f t="array" ref="BI658">_xlfn.IFS(
  L658&gt;0,"Critical Fail",
  M658&gt;0,"Important (Coaching)",
  TRUE,"Clean Pass"
)</f>
        <v>Clean Pass</v>
      </c>
      <c r="BJ658" t="str">
        <f t="shared" si="424"/>
        <v>NA</v>
      </c>
    </row>
    <row r="659" spans="1:62" x14ac:dyDescent="0.3">
      <c r="A659">
        <v>242925</v>
      </c>
      <c r="K659" t="str">
        <f t="shared" si="425"/>
        <v>Pass</v>
      </c>
      <c r="L659" s="15">
        <f t="shared" si="390"/>
        <v>0</v>
      </c>
      <c r="M659" s="15">
        <f t="shared" si="391"/>
        <v>0</v>
      </c>
      <c r="Z659" s="15">
        <f t="shared" si="392"/>
        <v>1</v>
      </c>
      <c r="AA659" s="15">
        <f t="shared" si="393"/>
        <v>1</v>
      </c>
      <c r="AB659" s="15">
        <f t="shared" si="394"/>
        <v>1</v>
      </c>
      <c r="AC659" s="15">
        <f t="shared" si="395"/>
        <v>1</v>
      </c>
      <c r="AD659" s="15">
        <f t="shared" si="396"/>
        <v>1</v>
      </c>
      <c r="AE659" s="15">
        <f t="shared" si="397"/>
        <v>1</v>
      </c>
      <c r="AF659" s="15">
        <f t="shared" si="398"/>
        <v>1</v>
      </c>
      <c r="AG659" s="15">
        <f t="shared" si="399"/>
        <v>1</v>
      </c>
      <c r="AH659" s="15">
        <f t="shared" si="400"/>
        <v>1</v>
      </c>
      <c r="AI659" s="15">
        <f t="shared" si="401"/>
        <v>1</v>
      </c>
      <c r="AJ659" s="15">
        <f t="shared" si="402"/>
        <v>1</v>
      </c>
      <c r="AK659" s="15">
        <f t="shared" si="403"/>
        <v>1</v>
      </c>
      <c r="AL659" s="15">
        <f t="shared" si="404"/>
        <v>1</v>
      </c>
      <c r="AM659" s="15">
        <f t="shared" si="405"/>
        <v>1</v>
      </c>
      <c r="AN659" s="15">
        <f t="shared" si="406"/>
        <v>1</v>
      </c>
      <c r="AO659" s="15">
        <f t="shared" si="407"/>
        <v>1</v>
      </c>
      <c r="AP659" s="15">
        <f t="shared" si="408"/>
        <v>1</v>
      </c>
      <c r="AQ659" s="15">
        <f t="shared" si="409"/>
        <v>1</v>
      </c>
      <c r="AR659" s="15">
        <f t="shared" si="410"/>
        <v>1</v>
      </c>
      <c r="AS659" s="15">
        <f t="shared" si="411"/>
        <v>1</v>
      </c>
      <c r="AT659" s="15">
        <f t="shared" si="412"/>
        <v>1</v>
      </c>
      <c r="AU659" s="15">
        <f t="shared" si="413"/>
        <v>1</v>
      </c>
      <c r="AV659" s="15">
        <f t="shared" si="414"/>
        <v>1</v>
      </c>
      <c r="AW659" s="15">
        <f t="shared" si="415"/>
        <v>1</v>
      </c>
      <c r="AX659" s="15">
        <f t="shared" si="416"/>
        <v>1</v>
      </c>
      <c r="AY659" s="15">
        <f t="shared" si="417"/>
        <v>1</v>
      </c>
      <c r="AZ659" s="15">
        <f t="shared" si="418"/>
        <v>1</v>
      </c>
      <c r="BA659" s="15">
        <f t="shared" si="419"/>
        <v>1</v>
      </c>
      <c r="BB659" s="15">
        <f t="shared" si="426"/>
        <v>0</v>
      </c>
      <c r="BC659" s="15" t="str">
        <f t="shared" si="427"/>
        <v/>
      </c>
      <c r="BD659" s="15" t="str">
        <f t="shared" si="428"/>
        <v/>
      </c>
      <c r="BE659" s="11" t="e">
        <f t="shared" si="420"/>
        <v>#VALUE!</v>
      </c>
      <c r="BF659" s="11" t="e">
        <f t="shared" si="421"/>
        <v>#VALUE!</v>
      </c>
      <c r="BG659" s="11" t="e">
        <f t="shared" si="422"/>
        <v>#VALUE!</v>
      </c>
      <c r="BH659" t="str">
        <f t="shared" si="423"/>
        <v/>
      </c>
      <c r="BI659" t="str" cm="1">
        <f t="array" ref="BI659">_xlfn.IFS(
  L659&gt;0,"Critical Fail",
  M659&gt;0,"Important (Coaching)",
  TRUE,"Clean Pass"
)</f>
        <v>Clean Pass</v>
      </c>
      <c r="BJ659" t="str">
        <f t="shared" si="424"/>
        <v>NA</v>
      </c>
    </row>
    <row r="660" spans="1:62" x14ac:dyDescent="0.3">
      <c r="A660">
        <v>656855</v>
      </c>
      <c r="K660" t="str">
        <f t="shared" si="425"/>
        <v>Pass</v>
      </c>
      <c r="L660" s="15">
        <f t="shared" si="390"/>
        <v>0</v>
      </c>
      <c r="M660" s="15">
        <f t="shared" si="391"/>
        <v>0</v>
      </c>
      <c r="Z660" s="15">
        <f t="shared" si="392"/>
        <v>1</v>
      </c>
      <c r="AA660" s="15">
        <f t="shared" si="393"/>
        <v>1</v>
      </c>
      <c r="AB660" s="15">
        <f t="shared" si="394"/>
        <v>1</v>
      </c>
      <c r="AC660" s="15">
        <f t="shared" si="395"/>
        <v>1</v>
      </c>
      <c r="AD660" s="15">
        <f t="shared" si="396"/>
        <v>1</v>
      </c>
      <c r="AE660" s="15">
        <f t="shared" si="397"/>
        <v>1</v>
      </c>
      <c r="AF660" s="15">
        <f t="shared" si="398"/>
        <v>1</v>
      </c>
      <c r="AG660" s="15">
        <f t="shared" si="399"/>
        <v>1</v>
      </c>
      <c r="AH660" s="15">
        <f t="shared" si="400"/>
        <v>1</v>
      </c>
      <c r="AI660" s="15">
        <f t="shared" si="401"/>
        <v>1</v>
      </c>
      <c r="AJ660" s="15">
        <f t="shared" si="402"/>
        <v>1</v>
      </c>
      <c r="AK660" s="15">
        <f t="shared" si="403"/>
        <v>1</v>
      </c>
      <c r="AL660" s="15">
        <f t="shared" si="404"/>
        <v>1</v>
      </c>
      <c r="AM660" s="15">
        <f t="shared" si="405"/>
        <v>1</v>
      </c>
      <c r="AN660" s="15">
        <f t="shared" si="406"/>
        <v>1</v>
      </c>
      <c r="AO660" s="15">
        <f t="shared" si="407"/>
        <v>1</v>
      </c>
      <c r="AP660" s="15">
        <f t="shared" si="408"/>
        <v>1</v>
      </c>
      <c r="AQ660" s="15">
        <f t="shared" si="409"/>
        <v>1</v>
      </c>
      <c r="AR660" s="15">
        <f t="shared" si="410"/>
        <v>1</v>
      </c>
      <c r="AS660" s="15">
        <f t="shared" si="411"/>
        <v>1</v>
      </c>
      <c r="AT660" s="15">
        <f t="shared" si="412"/>
        <v>1</v>
      </c>
      <c r="AU660" s="15">
        <f t="shared" si="413"/>
        <v>1</v>
      </c>
      <c r="AV660" s="15">
        <f t="shared" si="414"/>
        <v>1</v>
      </c>
      <c r="AW660" s="15">
        <f t="shared" si="415"/>
        <v>1</v>
      </c>
      <c r="AX660" s="15">
        <f t="shared" si="416"/>
        <v>1</v>
      </c>
      <c r="AY660" s="15">
        <f t="shared" si="417"/>
        <v>1</v>
      </c>
      <c r="AZ660" s="15">
        <f t="shared" si="418"/>
        <v>1</v>
      </c>
      <c r="BA660" s="15">
        <f t="shared" si="419"/>
        <v>1</v>
      </c>
      <c r="BB660" s="15">
        <f t="shared" si="426"/>
        <v>0</v>
      </c>
      <c r="BC660" s="15" t="str">
        <f t="shared" si="427"/>
        <v/>
      </c>
      <c r="BD660" s="15" t="str">
        <f t="shared" si="428"/>
        <v/>
      </c>
      <c r="BE660" s="11" t="e">
        <f t="shared" si="420"/>
        <v>#VALUE!</v>
      </c>
      <c r="BF660" s="11" t="e">
        <f t="shared" si="421"/>
        <v>#VALUE!</v>
      </c>
      <c r="BG660" s="11" t="e">
        <f t="shared" si="422"/>
        <v>#VALUE!</v>
      </c>
      <c r="BH660" t="str">
        <f t="shared" si="423"/>
        <v/>
      </c>
      <c r="BI660" t="str" cm="1">
        <f t="array" ref="BI660">_xlfn.IFS(
  L660&gt;0,"Critical Fail",
  M660&gt;0,"Important (Coaching)",
  TRUE,"Clean Pass"
)</f>
        <v>Clean Pass</v>
      </c>
      <c r="BJ660" t="str">
        <f t="shared" si="424"/>
        <v>NA</v>
      </c>
    </row>
    <row r="661" spans="1:62" x14ac:dyDescent="0.3">
      <c r="A661">
        <v>103194</v>
      </c>
      <c r="K661" t="str">
        <f t="shared" si="425"/>
        <v>Pass</v>
      </c>
      <c r="L661" s="15">
        <f t="shared" si="390"/>
        <v>0</v>
      </c>
      <c r="M661" s="15">
        <f t="shared" si="391"/>
        <v>0</v>
      </c>
      <c r="Z661" s="15">
        <f t="shared" si="392"/>
        <v>1</v>
      </c>
      <c r="AA661" s="15">
        <f t="shared" si="393"/>
        <v>1</v>
      </c>
      <c r="AB661" s="15">
        <f t="shared" si="394"/>
        <v>1</v>
      </c>
      <c r="AC661" s="15">
        <f t="shared" si="395"/>
        <v>1</v>
      </c>
      <c r="AD661" s="15">
        <f t="shared" si="396"/>
        <v>1</v>
      </c>
      <c r="AE661" s="15">
        <f t="shared" si="397"/>
        <v>1</v>
      </c>
      <c r="AF661" s="15">
        <f t="shared" si="398"/>
        <v>1</v>
      </c>
      <c r="AG661" s="15">
        <f t="shared" si="399"/>
        <v>1</v>
      </c>
      <c r="AH661" s="15">
        <f t="shared" si="400"/>
        <v>1</v>
      </c>
      <c r="AI661" s="15">
        <f t="shared" si="401"/>
        <v>1</v>
      </c>
      <c r="AJ661" s="15">
        <f t="shared" si="402"/>
        <v>1</v>
      </c>
      <c r="AK661" s="15">
        <f t="shared" si="403"/>
        <v>1</v>
      </c>
      <c r="AL661" s="15">
        <f t="shared" si="404"/>
        <v>1</v>
      </c>
      <c r="AM661" s="15">
        <f t="shared" si="405"/>
        <v>1</v>
      </c>
      <c r="AN661" s="15">
        <f t="shared" si="406"/>
        <v>1</v>
      </c>
      <c r="AO661" s="15">
        <f t="shared" si="407"/>
        <v>1</v>
      </c>
      <c r="AP661" s="15">
        <f t="shared" si="408"/>
        <v>1</v>
      </c>
      <c r="AQ661" s="15">
        <f t="shared" si="409"/>
        <v>1</v>
      </c>
      <c r="AR661" s="15">
        <f t="shared" si="410"/>
        <v>1</v>
      </c>
      <c r="AS661" s="15">
        <f t="shared" si="411"/>
        <v>1</v>
      </c>
      <c r="AT661" s="15">
        <f t="shared" si="412"/>
        <v>1</v>
      </c>
      <c r="AU661" s="15">
        <f t="shared" si="413"/>
        <v>1</v>
      </c>
      <c r="AV661" s="15">
        <f t="shared" si="414"/>
        <v>1</v>
      </c>
      <c r="AW661" s="15">
        <f t="shared" si="415"/>
        <v>1</v>
      </c>
      <c r="AX661" s="15">
        <f t="shared" si="416"/>
        <v>1</v>
      </c>
      <c r="AY661" s="15">
        <f t="shared" si="417"/>
        <v>1</v>
      </c>
      <c r="AZ661" s="15">
        <f t="shared" si="418"/>
        <v>1</v>
      </c>
      <c r="BA661" s="15">
        <f t="shared" si="419"/>
        <v>1</v>
      </c>
      <c r="BB661" s="15">
        <f t="shared" si="426"/>
        <v>0</v>
      </c>
      <c r="BC661" s="15" t="str">
        <f t="shared" si="427"/>
        <v/>
      </c>
      <c r="BD661" s="15" t="str">
        <f t="shared" si="428"/>
        <v/>
      </c>
      <c r="BE661" s="11" t="e">
        <f t="shared" si="420"/>
        <v>#VALUE!</v>
      </c>
      <c r="BF661" s="11" t="e">
        <f t="shared" si="421"/>
        <v>#VALUE!</v>
      </c>
      <c r="BG661" s="11" t="e">
        <f t="shared" si="422"/>
        <v>#VALUE!</v>
      </c>
      <c r="BH661" t="str">
        <f t="shared" si="423"/>
        <v/>
      </c>
      <c r="BI661" t="str" cm="1">
        <f t="array" ref="BI661">_xlfn.IFS(
  L661&gt;0,"Critical Fail",
  M661&gt;0,"Important (Coaching)",
  TRUE,"Clean Pass"
)</f>
        <v>Clean Pass</v>
      </c>
      <c r="BJ661" t="str">
        <f t="shared" si="424"/>
        <v>NA</v>
      </c>
    </row>
    <row r="662" spans="1:62" x14ac:dyDescent="0.3">
      <c r="A662">
        <v>775478</v>
      </c>
      <c r="K662" t="str">
        <f t="shared" si="425"/>
        <v>Pass</v>
      </c>
      <c r="L662" s="15">
        <f t="shared" si="390"/>
        <v>0</v>
      </c>
      <c r="M662" s="15">
        <f t="shared" si="391"/>
        <v>0</v>
      </c>
      <c r="Z662" s="15">
        <f t="shared" si="392"/>
        <v>1</v>
      </c>
      <c r="AA662" s="15">
        <f t="shared" si="393"/>
        <v>1</v>
      </c>
      <c r="AB662" s="15">
        <f t="shared" si="394"/>
        <v>1</v>
      </c>
      <c r="AC662" s="15">
        <f t="shared" si="395"/>
        <v>1</v>
      </c>
      <c r="AD662" s="15">
        <f t="shared" si="396"/>
        <v>1</v>
      </c>
      <c r="AE662" s="15">
        <f t="shared" si="397"/>
        <v>1</v>
      </c>
      <c r="AF662" s="15">
        <f t="shared" si="398"/>
        <v>1</v>
      </c>
      <c r="AG662" s="15">
        <f t="shared" si="399"/>
        <v>1</v>
      </c>
      <c r="AH662" s="15">
        <f t="shared" si="400"/>
        <v>1</v>
      </c>
      <c r="AI662" s="15">
        <f t="shared" si="401"/>
        <v>1</v>
      </c>
      <c r="AJ662" s="15">
        <f t="shared" si="402"/>
        <v>1</v>
      </c>
      <c r="AK662" s="15">
        <f t="shared" si="403"/>
        <v>1</v>
      </c>
      <c r="AL662" s="15">
        <f t="shared" si="404"/>
        <v>1</v>
      </c>
      <c r="AM662" s="15">
        <f t="shared" si="405"/>
        <v>1</v>
      </c>
      <c r="AN662" s="15">
        <f t="shared" si="406"/>
        <v>1</v>
      </c>
      <c r="AO662" s="15">
        <f t="shared" si="407"/>
        <v>1</v>
      </c>
      <c r="AP662" s="15">
        <f t="shared" si="408"/>
        <v>1</v>
      </c>
      <c r="AQ662" s="15">
        <f t="shared" si="409"/>
        <v>1</v>
      </c>
      <c r="AR662" s="15">
        <f t="shared" si="410"/>
        <v>1</v>
      </c>
      <c r="AS662" s="15">
        <f t="shared" si="411"/>
        <v>1</v>
      </c>
      <c r="AT662" s="15">
        <f t="shared" si="412"/>
        <v>1</v>
      </c>
      <c r="AU662" s="15">
        <f t="shared" si="413"/>
        <v>1</v>
      </c>
      <c r="AV662" s="15">
        <f t="shared" si="414"/>
        <v>1</v>
      </c>
      <c r="AW662" s="15">
        <f t="shared" si="415"/>
        <v>1</v>
      </c>
      <c r="AX662" s="15">
        <f t="shared" si="416"/>
        <v>1</v>
      </c>
      <c r="AY662" s="15">
        <f t="shared" si="417"/>
        <v>1</v>
      </c>
      <c r="AZ662" s="15">
        <f t="shared" si="418"/>
        <v>1</v>
      </c>
      <c r="BA662" s="15">
        <f t="shared" si="419"/>
        <v>1</v>
      </c>
      <c r="BB662" s="15">
        <f t="shared" si="426"/>
        <v>0</v>
      </c>
      <c r="BC662" s="15" t="str">
        <f t="shared" si="427"/>
        <v/>
      </c>
      <c r="BD662" s="15" t="str">
        <f t="shared" si="428"/>
        <v/>
      </c>
      <c r="BE662" s="11" t="e">
        <f t="shared" si="420"/>
        <v>#VALUE!</v>
      </c>
      <c r="BF662" s="11" t="e">
        <f t="shared" si="421"/>
        <v>#VALUE!</v>
      </c>
      <c r="BG662" s="11" t="e">
        <f t="shared" si="422"/>
        <v>#VALUE!</v>
      </c>
      <c r="BH662" t="str">
        <f t="shared" si="423"/>
        <v/>
      </c>
      <c r="BI662" t="str" cm="1">
        <f t="array" ref="BI662">_xlfn.IFS(
  L662&gt;0,"Critical Fail",
  M662&gt;0,"Important (Coaching)",
  TRUE,"Clean Pass"
)</f>
        <v>Clean Pass</v>
      </c>
      <c r="BJ662" t="str">
        <f t="shared" si="424"/>
        <v>NA</v>
      </c>
    </row>
    <row r="663" spans="1:62" x14ac:dyDescent="0.3">
      <c r="A663">
        <v>861969</v>
      </c>
      <c r="K663" t="str">
        <f t="shared" si="425"/>
        <v>Pass</v>
      </c>
      <c r="L663" s="15">
        <f t="shared" si="390"/>
        <v>0</v>
      </c>
      <c r="M663" s="15">
        <f t="shared" si="391"/>
        <v>0</v>
      </c>
      <c r="Z663" s="15">
        <f t="shared" si="392"/>
        <v>1</v>
      </c>
      <c r="AA663" s="15">
        <f t="shared" si="393"/>
        <v>1</v>
      </c>
      <c r="AB663" s="15">
        <f t="shared" si="394"/>
        <v>1</v>
      </c>
      <c r="AC663" s="15">
        <f t="shared" si="395"/>
        <v>1</v>
      </c>
      <c r="AD663" s="15">
        <f t="shared" si="396"/>
        <v>1</v>
      </c>
      <c r="AE663" s="15">
        <f t="shared" si="397"/>
        <v>1</v>
      </c>
      <c r="AF663" s="15">
        <f t="shared" si="398"/>
        <v>1</v>
      </c>
      <c r="AG663" s="15">
        <f t="shared" si="399"/>
        <v>1</v>
      </c>
      <c r="AH663" s="15">
        <f t="shared" si="400"/>
        <v>1</v>
      </c>
      <c r="AI663" s="15">
        <f t="shared" si="401"/>
        <v>1</v>
      </c>
      <c r="AJ663" s="15">
        <f t="shared" si="402"/>
        <v>1</v>
      </c>
      <c r="AK663" s="15">
        <f t="shared" si="403"/>
        <v>1</v>
      </c>
      <c r="AL663" s="15">
        <f t="shared" si="404"/>
        <v>1</v>
      </c>
      <c r="AM663" s="15">
        <f t="shared" si="405"/>
        <v>1</v>
      </c>
      <c r="AN663" s="15">
        <f t="shared" si="406"/>
        <v>1</v>
      </c>
      <c r="AO663" s="15">
        <f t="shared" si="407"/>
        <v>1</v>
      </c>
      <c r="AP663" s="15">
        <f t="shared" si="408"/>
        <v>1</v>
      </c>
      <c r="AQ663" s="15">
        <f t="shared" si="409"/>
        <v>1</v>
      </c>
      <c r="AR663" s="15">
        <f t="shared" si="410"/>
        <v>1</v>
      </c>
      <c r="AS663" s="15">
        <f t="shared" si="411"/>
        <v>1</v>
      </c>
      <c r="AT663" s="15">
        <f t="shared" si="412"/>
        <v>1</v>
      </c>
      <c r="AU663" s="15">
        <f t="shared" si="413"/>
        <v>1</v>
      </c>
      <c r="AV663" s="15">
        <f t="shared" si="414"/>
        <v>1</v>
      </c>
      <c r="AW663" s="15">
        <f t="shared" si="415"/>
        <v>1</v>
      </c>
      <c r="AX663" s="15">
        <f t="shared" si="416"/>
        <v>1</v>
      </c>
      <c r="AY663" s="15">
        <f t="shared" si="417"/>
        <v>1</v>
      </c>
      <c r="AZ663" s="15">
        <f t="shared" si="418"/>
        <v>1</v>
      </c>
      <c r="BA663" s="15">
        <f t="shared" si="419"/>
        <v>1</v>
      </c>
      <c r="BB663" s="15">
        <f t="shared" si="426"/>
        <v>0</v>
      </c>
      <c r="BC663" s="15" t="str">
        <f t="shared" si="427"/>
        <v/>
      </c>
      <c r="BD663" s="15" t="str">
        <f t="shared" si="428"/>
        <v/>
      </c>
      <c r="BE663" s="11" t="e">
        <f t="shared" si="420"/>
        <v>#VALUE!</v>
      </c>
      <c r="BF663" s="11" t="e">
        <f t="shared" si="421"/>
        <v>#VALUE!</v>
      </c>
      <c r="BG663" s="11" t="e">
        <f t="shared" si="422"/>
        <v>#VALUE!</v>
      </c>
      <c r="BH663" t="str">
        <f t="shared" si="423"/>
        <v/>
      </c>
      <c r="BI663" t="str" cm="1">
        <f t="array" ref="BI663">_xlfn.IFS(
  L663&gt;0,"Critical Fail",
  M663&gt;0,"Important (Coaching)",
  TRUE,"Clean Pass"
)</f>
        <v>Clean Pass</v>
      </c>
      <c r="BJ663" t="str">
        <f t="shared" si="424"/>
        <v>NA</v>
      </c>
    </row>
    <row r="664" spans="1:62" x14ac:dyDescent="0.3">
      <c r="A664">
        <v>993213</v>
      </c>
      <c r="K664" t="str">
        <f t="shared" si="425"/>
        <v>Pass</v>
      </c>
      <c r="L664" s="15">
        <f t="shared" si="390"/>
        <v>0</v>
      </c>
      <c r="M664" s="15">
        <f t="shared" si="391"/>
        <v>0</v>
      </c>
      <c r="Z664" s="15">
        <f t="shared" si="392"/>
        <v>1</v>
      </c>
      <c r="AA664" s="15">
        <f t="shared" si="393"/>
        <v>1</v>
      </c>
      <c r="AB664" s="15">
        <f t="shared" si="394"/>
        <v>1</v>
      </c>
      <c r="AC664" s="15">
        <f t="shared" si="395"/>
        <v>1</v>
      </c>
      <c r="AD664" s="15">
        <f t="shared" si="396"/>
        <v>1</v>
      </c>
      <c r="AE664" s="15">
        <f t="shared" si="397"/>
        <v>1</v>
      </c>
      <c r="AF664" s="15">
        <f t="shared" si="398"/>
        <v>1</v>
      </c>
      <c r="AG664" s="15">
        <f t="shared" si="399"/>
        <v>1</v>
      </c>
      <c r="AH664" s="15">
        <f t="shared" si="400"/>
        <v>1</v>
      </c>
      <c r="AI664" s="15">
        <f t="shared" si="401"/>
        <v>1</v>
      </c>
      <c r="AJ664" s="15">
        <f t="shared" si="402"/>
        <v>1</v>
      </c>
      <c r="AK664" s="15">
        <f t="shared" si="403"/>
        <v>1</v>
      </c>
      <c r="AL664" s="15">
        <f t="shared" si="404"/>
        <v>1</v>
      </c>
      <c r="AM664" s="15">
        <f t="shared" si="405"/>
        <v>1</v>
      </c>
      <c r="AN664" s="15">
        <f t="shared" si="406"/>
        <v>1</v>
      </c>
      <c r="AO664" s="15">
        <f t="shared" si="407"/>
        <v>1</v>
      </c>
      <c r="AP664" s="15">
        <f t="shared" si="408"/>
        <v>1</v>
      </c>
      <c r="AQ664" s="15">
        <f t="shared" si="409"/>
        <v>1</v>
      </c>
      <c r="AR664" s="15">
        <f t="shared" si="410"/>
        <v>1</v>
      </c>
      <c r="AS664" s="15">
        <f t="shared" si="411"/>
        <v>1</v>
      </c>
      <c r="AT664" s="15">
        <f t="shared" si="412"/>
        <v>1</v>
      </c>
      <c r="AU664" s="15">
        <f t="shared" si="413"/>
        <v>1</v>
      </c>
      <c r="AV664" s="15">
        <f t="shared" si="414"/>
        <v>1</v>
      </c>
      <c r="AW664" s="15">
        <f t="shared" si="415"/>
        <v>1</v>
      </c>
      <c r="AX664" s="15">
        <f t="shared" si="416"/>
        <v>1</v>
      </c>
      <c r="AY664" s="15">
        <f t="shared" si="417"/>
        <v>1</v>
      </c>
      <c r="AZ664" s="15">
        <f t="shared" si="418"/>
        <v>1</v>
      </c>
      <c r="BA664" s="15">
        <f t="shared" si="419"/>
        <v>1</v>
      </c>
      <c r="BB664" s="15">
        <f t="shared" si="426"/>
        <v>0</v>
      </c>
      <c r="BC664" s="15" t="str">
        <f t="shared" si="427"/>
        <v/>
      </c>
      <c r="BD664" s="15" t="str">
        <f t="shared" si="428"/>
        <v/>
      </c>
      <c r="BE664" s="11" t="e">
        <f t="shared" si="420"/>
        <v>#VALUE!</v>
      </c>
      <c r="BF664" s="11" t="e">
        <f t="shared" si="421"/>
        <v>#VALUE!</v>
      </c>
      <c r="BG664" s="11" t="e">
        <f t="shared" si="422"/>
        <v>#VALUE!</v>
      </c>
      <c r="BH664" t="str">
        <f t="shared" si="423"/>
        <v/>
      </c>
      <c r="BI664" t="str" cm="1">
        <f t="array" ref="BI664">_xlfn.IFS(
  L664&gt;0,"Critical Fail",
  M664&gt;0,"Important (Coaching)",
  TRUE,"Clean Pass"
)</f>
        <v>Clean Pass</v>
      </c>
      <c r="BJ664" t="str">
        <f t="shared" si="424"/>
        <v>NA</v>
      </c>
    </row>
    <row r="665" spans="1:62" x14ac:dyDescent="0.3">
      <c r="A665">
        <v>621376</v>
      </c>
      <c r="K665" t="str">
        <f t="shared" si="425"/>
        <v>Pass</v>
      </c>
      <c r="L665" s="15">
        <f t="shared" si="390"/>
        <v>0</v>
      </c>
      <c r="M665" s="15">
        <f t="shared" si="391"/>
        <v>0</v>
      </c>
      <c r="Z665" s="15">
        <f t="shared" si="392"/>
        <v>1</v>
      </c>
      <c r="AA665" s="15">
        <f t="shared" si="393"/>
        <v>1</v>
      </c>
      <c r="AB665" s="15">
        <f t="shared" si="394"/>
        <v>1</v>
      </c>
      <c r="AC665" s="15">
        <f t="shared" si="395"/>
        <v>1</v>
      </c>
      <c r="AD665" s="15">
        <f t="shared" si="396"/>
        <v>1</v>
      </c>
      <c r="AE665" s="15">
        <f t="shared" si="397"/>
        <v>1</v>
      </c>
      <c r="AF665" s="15">
        <f t="shared" si="398"/>
        <v>1</v>
      </c>
      <c r="AG665" s="15">
        <f t="shared" si="399"/>
        <v>1</v>
      </c>
      <c r="AH665" s="15">
        <f t="shared" si="400"/>
        <v>1</v>
      </c>
      <c r="AI665" s="15">
        <f t="shared" si="401"/>
        <v>1</v>
      </c>
      <c r="AJ665" s="15">
        <f t="shared" si="402"/>
        <v>1</v>
      </c>
      <c r="AK665" s="15">
        <f t="shared" si="403"/>
        <v>1</v>
      </c>
      <c r="AL665" s="15">
        <f t="shared" si="404"/>
        <v>1</v>
      </c>
      <c r="AM665" s="15">
        <f t="shared" si="405"/>
        <v>1</v>
      </c>
      <c r="AN665" s="15">
        <f t="shared" si="406"/>
        <v>1</v>
      </c>
      <c r="AO665" s="15">
        <f t="shared" si="407"/>
        <v>1</v>
      </c>
      <c r="AP665" s="15">
        <f t="shared" si="408"/>
        <v>1</v>
      </c>
      <c r="AQ665" s="15">
        <f t="shared" si="409"/>
        <v>1</v>
      </c>
      <c r="AR665" s="15">
        <f t="shared" si="410"/>
        <v>1</v>
      </c>
      <c r="AS665" s="15">
        <f t="shared" si="411"/>
        <v>1</v>
      </c>
      <c r="AT665" s="15">
        <f t="shared" si="412"/>
        <v>1</v>
      </c>
      <c r="AU665" s="15">
        <f t="shared" si="413"/>
        <v>1</v>
      </c>
      <c r="AV665" s="15">
        <f t="shared" si="414"/>
        <v>1</v>
      </c>
      <c r="AW665" s="15">
        <f t="shared" si="415"/>
        <v>1</v>
      </c>
      <c r="AX665" s="15">
        <f t="shared" si="416"/>
        <v>1</v>
      </c>
      <c r="AY665" s="15">
        <f t="shared" si="417"/>
        <v>1</v>
      </c>
      <c r="AZ665" s="15">
        <f t="shared" si="418"/>
        <v>1</v>
      </c>
      <c r="BA665" s="15">
        <f t="shared" si="419"/>
        <v>1</v>
      </c>
      <c r="BB665" s="15">
        <f t="shared" si="426"/>
        <v>0</v>
      </c>
      <c r="BC665" s="15" t="str">
        <f t="shared" si="427"/>
        <v/>
      </c>
      <c r="BD665" s="15" t="str">
        <f t="shared" si="428"/>
        <v/>
      </c>
      <c r="BE665" s="11" t="e">
        <f t="shared" si="420"/>
        <v>#VALUE!</v>
      </c>
      <c r="BF665" s="11" t="e">
        <f t="shared" si="421"/>
        <v>#VALUE!</v>
      </c>
      <c r="BG665" s="11" t="e">
        <f t="shared" si="422"/>
        <v>#VALUE!</v>
      </c>
      <c r="BH665" t="str">
        <f t="shared" si="423"/>
        <v/>
      </c>
      <c r="BI665" t="str" cm="1">
        <f t="array" ref="BI665">_xlfn.IFS(
  L665&gt;0,"Critical Fail",
  M665&gt;0,"Important (Coaching)",
  TRUE,"Clean Pass"
)</f>
        <v>Clean Pass</v>
      </c>
      <c r="BJ665" t="str">
        <f t="shared" si="424"/>
        <v>NA</v>
      </c>
    </row>
    <row r="666" spans="1:62" x14ac:dyDescent="0.3">
      <c r="A666">
        <v>154831</v>
      </c>
      <c r="K666" t="str">
        <f t="shared" si="425"/>
        <v>Pass</v>
      </c>
      <c r="L666" s="15">
        <f t="shared" ref="L666:L729" si="429">COUNTA(N666,P666,R666)</f>
        <v>0</v>
      </c>
      <c r="M666" s="15">
        <f t="shared" ref="M666:M729" si="430">COUNTA(T666,V666,X666)</f>
        <v>0</v>
      </c>
      <c r="Z666" s="15">
        <f t="shared" ref="Z666:Z729" si="431">IF(AND(G666="DV",ISNUMBER(SEARCH("C1",N666&amp;P666&amp;R666&amp;T666&amp;V666&amp;X666))),0,1)</f>
        <v>1</v>
      </c>
      <c r="AA666" s="15">
        <f t="shared" ref="AA666:AA729" si="432">IF(AND(G666="DV",ISNUMBER(SEARCH("C2",N666&amp;P666&amp;R666&amp;T666&amp;V666&amp;X666))),0,1)</f>
        <v>1</v>
      </c>
      <c r="AB666" s="15">
        <f t="shared" ref="AB666:AB729" si="433">IF(AND(G666="DV",ISNUMBER(SEARCH("C3",N666&amp;P666&amp;R666&amp;T666&amp;V666&amp;X666))),0,1)</f>
        <v>1</v>
      </c>
      <c r="AC666" s="15">
        <f t="shared" ref="AC666:AC729" si="434">IF(AND(G666="DV",ISNUMBER(SEARCH("C4",N666&amp;P666&amp;R666&amp;T666&amp;V666&amp;X666))),0,1)</f>
        <v>1</v>
      </c>
      <c r="AD666" s="15">
        <f t="shared" ref="AD666:AD729" si="435">IF(AND(G666="DV",ISNUMBER(SEARCH("C5",N666&amp;P666&amp;R666&amp;T666&amp;V666&amp;X666))),0,1)</f>
        <v>1</v>
      </c>
      <c r="AE666" s="15">
        <f t="shared" ref="AE666:AE729" si="436">IF(AND(G666="DV",ISNUMBER(SEARCH("C6",N666&amp;P666&amp;R666&amp;T666&amp;V666&amp;X666))),0,1)</f>
        <v>1</v>
      </c>
      <c r="AF666" s="15">
        <f t="shared" ref="AF666:AF729" si="437">IF(AND(G666="DV",ISNUMBER(SEARCH("C7",N666&amp;P666&amp;R666&amp;T666&amp;V666&amp;X666))),0,1)</f>
        <v>1</v>
      </c>
      <c r="AG666" s="15">
        <f t="shared" ref="AG666:AG729" si="438">IF(AND(G666="DV",ISNUMBER(SEARCH("C8",N666&amp;P666&amp;R666&amp;T666&amp;V666&amp;X666))),0,1)</f>
        <v>1</v>
      </c>
      <c r="AH666" s="15">
        <f t="shared" ref="AH666:AH729" si="439">IF(AND(G666="DV",ISNUMBER(SEARCH("C9",N666&amp;P666&amp;R666&amp;T666&amp;V666&amp;X666))),0,1)</f>
        <v>1</v>
      </c>
      <c r="AI666" s="15">
        <f t="shared" ref="AI666:AI729" si="440">IF(AND(G666="DV",ISNUMBER(SEARCH("I1",N666&amp;P666&amp;R666&amp;T666&amp;V666&amp;X666))),0,1)</f>
        <v>1</v>
      </c>
      <c r="AJ666" s="15">
        <f t="shared" ref="AJ666:AJ729" si="441">IF(AND(G666="DV",ISNUMBER(SEARCH("I2",N666&amp;P666&amp;R666&amp;T666&amp;V666&amp;X666))),0,1)</f>
        <v>1</v>
      </c>
      <c r="AK666" s="15">
        <f t="shared" ref="AK666:AK729" si="442">IF(AND(G666="DV",ISNUMBER(SEARCH("I3",N666&amp;P666&amp;R666&amp;T666&amp;V666&amp;X666))),0,1)</f>
        <v>1</v>
      </c>
      <c r="AL666" s="15">
        <f t="shared" ref="AL666:AL729" si="443">IF(AND(G666="AL",ISNUMBER(SEARCH("C1",N666&amp;P666&amp;R666&amp;T666&amp;V666&amp;X666))),0,1)</f>
        <v>1</v>
      </c>
      <c r="AM666" s="15">
        <f t="shared" ref="AM666:AM729" si="444">IF(AND(G666="AL",ISNUMBER(SEARCH("C2",N666&amp;P666&amp;R666&amp;T666&amp;V666&amp;X666))),0,1)</f>
        <v>1</v>
      </c>
      <c r="AN666" s="15">
        <f t="shared" ref="AN666:AN729" si="445">IF(AND(G666="AL",ISNUMBER(SEARCH("C3",N666&amp;P666&amp;R666&amp;T666&amp;V666&amp;X666))),0,1)</f>
        <v>1</v>
      </c>
      <c r="AO666" s="15">
        <f t="shared" ref="AO666:AO729" si="446">IF(AND(G666="AL",ISNUMBER(SEARCH("C4",N666&amp;P666&amp;R666&amp;T666&amp;V666&amp;X666))),0,1)</f>
        <v>1</v>
      </c>
      <c r="AP666" s="15">
        <f t="shared" ref="AP666:AP729" si="447">IF(AND(G666="AL",ISNUMBER(SEARCH("C5",N666&amp;P666&amp;R666&amp;T666&amp;V666&amp;X666))),0,1)</f>
        <v>1</v>
      </c>
      <c r="AQ666" s="15">
        <f t="shared" ref="AQ666:AQ729" si="448">IF(AND(G666="AL",ISNUMBER(SEARCH("C6",N666&amp;P666&amp;R666&amp;T666&amp;V666&amp;X666))),0,1)</f>
        <v>1</v>
      </c>
      <c r="AR666" s="15">
        <f t="shared" ref="AR666:AR729" si="449">IF(AND(G666="AL",ISNUMBER(SEARCH("C7",N666&amp;P666&amp;R666&amp;T666&amp;V666&amp;X666))),0,1)</f>
        <v>1</v>
      </c>
      <c r="AS666" s="15">
        <f t="shared" ref="AS666:AS729" si="450">IF(AND(G666="AL",ISNUMBER(SEARCH("C8",N666&amp;P666&amp;R666&amp;T666&amp;V666&amp;X666))),0,1)</f>
        <v>1</v>
      </c>
      <c r="AT666" s="15">
        <f t="shared" ref="AT666:AT729" si="451">IF(AND(G666="AL",ISNUMBER(SEARCH("C9",N666&amp;P666&amp;R666&amp;T666&amp;V666&amp;X666))),0,1)</f>
        <v>1</v>
      </c>
      <c r="AU666" s="15">
        <f t="shared" ref="AU666:AU729" si="452">IF(AND(G666="AL",ISNUMBER(SEARCH("C10",N666&amp;P666&amp;R666&amp;T666&amp;V666&amp;X666))),0,1)</f>
        <v>1</v>
      </c>
      <c r="AV666" s="15">
        <f t="shared" ref="AV666:AV729" si="453">IF(AND(G666="AL",ISNUMBER(SEARCH("C11",N666&amp;P666&amp;R666&amp;T666&amp;V666&amp;X666))),0,1)</f>
        <v>1</v>
      </c>
      <c r="AW666" s="15">
        <f t="shared" ref="AW666:AW729" si="454">IF(AND(G666="AL",ISNUMBER(SEARCH("C12",N666&amp;P666&amp;R666&amp;T666&amp;V666&amp;X666))),0,1)</f>
        <v>1</v>
      </c>
      <c r="AX666" s="15">
        <f t="shared" ref="AX666:AX729" si="455">IF(AND(G666="AL",ISNUMBER(SEARCH("C13",N666&amp;P666&amp;R666&amp;T666&amp;V666&amp;X666))),0,1)</f>
        <v>1</v>
      </c>
      <c r="AY666" s="15">
        <f t="shared" ref="AY666:AY729" si="456">IF(AND(G666="AL",ISNUMBER(SEARCH("I1",N666&amp;P666&amp;R666&amp;T666&amp;V666&amp;X666))),0,1)</f>
        <v>1</v>
      </c>
      <c r="AZ666" s="15">
        <f t="shared" ref="AZ666:AZ729" si="457">IF(AND(G666="AL",ISNUMBER(SEARCH("I2",N666&amp;P666&amp;R666&amp;T666&amp;V666&amp;X666))),0,1)</f>
        <v>1</v>
      </c>
      <c r="BA666" s="15">
        <f t="shared" ref="BA666:BA729" si="458">IF(AND(G666="AL",ISNUMBER(SEARCH("I3",N666&amp;P666&amp;R666&amp;T666&amp;V666&amp;X666))),0,1)</f>
        <v>1</v>
      </c>
      <c r="BB666" s="15">
        <f t="shared" si="426"/>
        <v>0</v>
      </c>
      <c r="BC666" s="15" t="str">
        <f t="shared" si="427"/>
        <v/>
      </c>
      <c r="BD666" s="15" t="str">
        <f t="shared" si="428"/>
        <v/>
      </c>
      <c r="BE666" s="11" t="e">
        <f t="shared" ref="BE666:BE729" si="459">IF(BC666=0,1,(BC666-L666)/BC666)</f>
        <v>#VALUE!</v>
      </c>
      <c r="BF666" s="11" t="e">
        <f t="shared" ref="BF666:BF729" si="460">IF(BD666=0,1,(BD666-M666)/BD666)</f>
        <v>#VALUE!</v>
      </c>
      <c r="BG666" s="11" t="e">
        <f t="shared" ref="BG666:BG729" si="461">(BE666*0.7)+(BF666*0.3)</f>
        <v>#VALUE!</v>
      </c>
      <c r="BH666" t="str">
        <f t="shared" ref="BH666:BH729" si="462">_xlfn.TEXTJOIN(",",TRUE,N666,P666,R666)</f>
        <v/>
      </c>
      <c r="BI666" t="str" cm="1">
        <f t="array" ref="BI666">_xlfn.IFS(
  L666&gt;0,"Critical Fail",
  M666&gt;0,"Important (Coaching)",
  TRUE,"Clean Pass"
)</f>
        <v>Clean Pass</v>
      </c>
      <c r="BJ666" t="str">
        <f t="shared" ref="BJ666:BJ729" si="463">IF(COUNTA(N666:Y666)=0,"NA",_xlfn.TEXTJOIN(",",TRUE,N666:Y666))</f>
        <v>NA</v>
      </c>
    </row>
    <row r="667" spans="1:62" x14ac:dyDescent="0.3">
      <c r="A667">
        <v>692201</v>
      </c>
      <c r="K667" t="str">
        <f t="shared" si="425"/>
        <v>Pass</v>
      </c>
      <c r="L667" s="15">
        <f t="shared" si="429"/>
        <v>0</v>
      </c>
      <c r="M667" s="15">
        <f t="shared" si="430"/>
        <v>0</v>
      </c>
      <c r="Z667" s="15">
        <f t="shared" si="431"/>
        <v>1</v>
      </c>
      <c r="AA667" s="15">
        <f t="shared" si="432"/>
        <v>1</v>
      </c>
      <c r="AB667" s="15">
        <f t="shared" si="433"/>
        <v>1</v>
      </c>
      <c r="AC667" s="15">
        <f t="shared" si="434"/>
        <v>1</v>
      </c>
      <c r="AD667" s="15">
        <f t="shared" si="435"/>
        <v>1</v>
      </c>
      <c r="AE667" s="15">
        <f t="shared" si="436"/>
        <v>1</v>
      </c>
      <c r="AF667" s="15">
        <f t="shared" si="437"/>
        <v>1</v>
      </c>
      <c r="AG667" s="15">
        <f t="shared" si="438"/>
        <v>1</v>
      </c>
      <c r="AH667" s="15">
        <f t="shared" si="439"/>
        <v>1</v>
      </c>
      <c r="AI667" s="15">
        <f t="shared" si="440"/>
        <v>1</v>
      </c>
      <c r="AJ667" s="15">
        <f t="shared" si="441"/>
        <v>1</v>
      </c>
      <c r="AK667" s="15">
        <f t="shared" si="442"/>
        <v>1</v>
      </c>
      <c r="AL667" s="15">
        <f t="shared" si="443"/>
        <v>1</v>
      </c>
      <c r="AM667" s="15">
        <f t="shared" si="444"/>
        <v>1</v>
      </c>
      <c r="AN667" s="15">
        <f t="shared" si="445"/>
        <v>1</v>
      </c>
      <c r="AO667" s="15">
        <f t="shared" si="446"/>
        <v>1</v>
      </c>
      <c r="AP667" s="15">
        <f t="shared" si="447"/>
        <v>1</v>
      </c>
      <c r="AQ667" s="15">
        <f t="shared" si="448"/>
        <v>1</v>
      </c>
      <c r="AR667" s="15">
        <f t="shared" si="449"/>
        <v>1</v>
      </c>
      <c r="AS667" s="15">
        <f t="shared" si="450"/>
        <v>1</v>
      </c>
      <c r="AT667" s="15">
        <f t="shared" si="451"/>
        <v>1</v>
      </c>
      <c r="AU667" s="15">
        <f t="shared" si="452"/>
        <v>1</v>
      </c>
      <c r="AV667" s="15">
        <f t="shared" si="453"/>
        <v>1</v>
      </c>
      <c r="AW667" s="15">
        <f t="shared" si="454"/>
        <v>1</v>
      </c>
      <c r="AX667" s="15">
        <f t="shared" si="455"/>
        <v>1</v>
      </c>
      <c r="AY667" s="15">
        <f t="shared" si="456"/>
        <v>1</v>
      </c>
      <c r="AZ667" s="15">
        <f t="shared" si="457"/>
        <v>1</v>
      </c>
      <c r="BA667" s="15">
        <f t="shared" si="458"/>
        <v>1</v>
      </c>
      <c r="BB667" s="15">
        <f t="shared" si="426"/>
        <v>0</v>
      </c>
      <c r="BC667" s="15" t="str">
        <f t="shared" si="427"/>
        <v/>
      </c>
      <c r="BD667" s="15" t="str">
        <f t="shared" si="428"/>
        <v/>
      </c>
      <c r="BE667" s="11" t="e">
        <f t="shared" si="459"/>
        <v>#VALUE!</v>
      </c>
      <c r="BF667" s="11" t="e">
        <f t="shared" si="460"/>
        <v>#VALUE!</v>
      </c>
      <c r="BG667" s="11" t="e">
        <f t="shared" si="461"/>
        <v>#VALUE!</v>
      </c>
      <c r="BH667" t="str">
        <f t="shared" si="462"/>
        <v/>
      </c>
      <c r="BI667" t="str" cm="1">
        <f t="array" ref="BI667">_xlfn.IFS(
  L667&gt;0,"Critical Fail",
  M667&gt;0,"Important (Coaching)",
  TRUE,"Clean Pass"
)</f>
        <v>Clean Pass</v>
      </c>
      <c r="BJ667" t="str">
        <f t="shared" si="463"/>
        <v>NA</v>
      </c>
    </row>
    <row r="668" spans="1:62" x14ac:dyDescent="0.3">
      <c r="A668">
        <v>493474</v>
      </c>
      <c r="K668" t="str">
        <f t="shared" si="425"/>
        <v>Pass</v>
      </c>
      <c r="L668" s="15">
        <f t="shared" si="429"/>
        <v>0</v>
      </c>
      <c r="M668" s="15">
        <f t="shared" si="430"/>
        <v>0</v>
      </c>
      <c r="Z668" s="15">
        <f t="shared" si="431"/>
        <v>1</v>
      </c>
      <c r="AA668" s="15">
        <f t="shared" si="432"/>
        <v>1</v>
      </c>
      <c r="AB668" s="15">
        <f t="shared" si="433"/>
        <v>1</v>
      </c>
      <c r="AC668" s="15">
        <f t="shared" si="434"/>
        <v>1</v>
      </c>
      <c r="AD668" s="15">
        <f t="shared" si="435"/>
        <v>1</v>
      </c>
      <c r="AE668" s="15">
        <f t="shared" si="436"/>
        <v>1</v>
      </c>
      <c r="AF668" s="15">
        <f t="shared" si="437"/>
        <v>1</v>
      </c>
      <c r="AG668" s="15">
        <f t="shared" si="438"/>
        <v>1</v>
      </c>
      <c r="AH668" s="15">
        <f t="shared" si="439"/>
        <v>1</v>
      </c>
      <c r="AI668" s="15">
        <f t="shared" si="440"/>
        <v>1</v>
      </c>
      <c r="AJ668" s="15">
        <f t="shared" si="441"/>
        <v>1</v>
      </c>
      <c r="AK668" s="15">
        <f t="shared" si="442"/>
        <v>1</v>
      </c>
      <c r="AL668" s="15">
        <f t="shared" si="443"/>
        <v>1</v>
      </c>
      <c r="AM668" s="15">
        <f t="shared" si="444"/>
        <v>1</v>
      </c>
      <c r="AN668" s="15">
        <f t="shared" si="445"/>
        <v>1</v>
      </c>
      <c r="AO668" s="15">
        <f t="shared" si="446"/>
        <v>1</v>
      </c>
      <c r="AP668" s="15">
        <f t="shared" si="447"/>
        <v>1</v>
      </c>
      <c r="AQ668" s="15">
        <f t="shared" si="448"/>
        <v>1</v>
      </c>
      <c r="AR668" s="15">
        <f t="shared" si="449"/>
        <v>1</v>
      </c>
      <c r="AS668" s="15">
        <f t="shared" si="450"/>
        <v>1</v>
      </c>
      <c r="AT668" s="15">
        <f t="shared" si="451"/>
        <v>1</v>
      </c>
      <c r="AU668" s="15">
        <f t="shared" si="452"/>
        <v>1</v>
      </c>
      <c r="AV668" s="15">
        <f t="shared" si="453"/>
        <v>1</v>
      </c>
      <c r="AW668" s="15">
        <f t="shared" si="454"/>
        <v>1</v>
      </c>
      <c r="AX668" s="15">
        <f t="shared" si="455"/>
        <v>1</v>
      </c>
      <c r="AY668" s="15">
        <f t="shared" si="456"/>
        <v>1</v>
      </c>
      <c r="AZ668" s="15">
        <f t="shared" si="457"/>
        <v>1</v>
      </c>
      <c r="BA668" s="15">
        <f t="shared" si="458"/>
        <v>1</v>
      </c>
      <c r="BB668" s="15">
        <f t="shared" si="426"/>
        <v>0</v>
      </c>
      <c r="BC668" s="15" t="str">
        <f t="shared" si="427"/>
        <v/>
      </c>
      <c r="BD668" s="15" t="str">
        <f t="shared" si="428"/>
        <v/>
      </c>
      <c r="BE668" s="11" t="e">
        <f t="shared" si="459"/>
        <v>#VALUE!</v>
      </c>
      <c r="BF668" s="11" t="e">
        <f t="shared" si="460"/>
        <v>#VALUE!</v>
      </c>
      <c r="BG668" s="11" t="e">
        <f t="shared" si="461"/>
        <v>#VALUE!</v>
      </c>
      <c r="BH668" t="str">
        <f t="shared" si="462"/>
        <v/>
      </c>
      <c r="BI668" t="str" cm="1">
        <f t="array" ref="BI668">_xlfn.IFS(
  L668&gt;0,"Critical Fail",
  M668&gt;0,"Important (Coaching)",
  TRUE,"Clean Pass"
)</f>
        <v>Clean Pass</v>
      </c>
      <c r="BJ668" t="str">
        <f t="shared" si="463"/>
        <v>NA</v>
      </c>
    </row>
    <row r="669" spans="1:62" x14ac:dyDescent="0.3">
      <c r="A669">
        <v>648762</v>
      </c>
      <c r="K669" t="str">
        <f t="shared" si="425"/>
        <v>Pass</v>
      </c>
      <c r="L669" s="15">
        <f t="shared" si="429"/>
        <v>0</v>
      </c>
      <c r="M669" s="15">
        <f t="shared" si="430"/>
        <v>0</v>
      </c>
      <c r="Z669" s="15">
        <f t="shared" si="431"/>
        <v>1</v>
      </c>
      <c r="AA669" s="15">
        <f t="shared" si="432"/>
        <v>1</v>
      </c>
      <c r="AB669" s="15">
        <f t="shared" si="433"/>
        <v>1</v>
      </c>
      <c r="AC669" s="15">
        <f t="shared" si="434"/>
        <v>1</v>
      </c>
      <c r="AD669" s="15">
        <f t="shared" si="435"/>
        <v>1</v>
      </c>
      <c r="AE669" s="15">
        <f t="shared" si="436"/>
        <v>1</v>
      </c>
      <c r="AF669" s="15">
        <f t="shared" si="437"/>
        <v>1</v>
      </c>
      <c r="AG669" s="15">
        <f t="shared" si="438"/>
        <v>1</v>
      </c>
      <c r="AH669" s="15">
        <f t="shared" si="439"/>
        <v>1</v>
      </c>
      <c r="AI669" s="15">
        <f t="shared" si="440"/>
        <v>1</v>
      </c>
      <c r="AJ669" s="15">
        <f t="shared" si="441"/>
        <v>1</v>
      </c>
      <c r="AK669" s="15">
        <f t="shared" si="442"/>
        <v>1</v>
      </c>
      <c r="AL669" s="15">
        <f t="shared" si="443"/>
        <v>1</v>
      </c>
      <c r="AM669" s="15">
        <f t="shared" si="444"/>
        <v>1</v>
      </c>
      <c r="AN669" s="15">
        <f t="shared" si="445"/>
        <v>1</v>
      </c>
      <c r="AO669" s="15">
        <f t="shared" si="446"/>
        <v>1</v>
      </c>
      <c r="AP669" s="15">
        <f t="shared" si="447"/>
        <v>1</v>
      </c>
      <c r="AQ669" s="15">
        <f t="shared" si="448"/>
        <v>1</v>
      </c>
      <c r="AR669" s="15">
        <f t="shared" si="449"/>
        <v>1</v>
      </c>
      <c r="AS669" s="15">
        <f t="shared" si="450"/>
        <v>1</v>
      </c>
      <c r="AT669" s="15">
        <f t="shared" si="451"/>
        <v>1</v>
      </c>
      <c r="AU669" s="15">
        <f t="shared" si="452"/>
        <v>1</v>
      </c>
      <c r="AV669" s="15">
        <f t="shared" si="453"/>
        <v>1</v>
      </c>
      <c r="AW669" s="15">
        <f t="shared" si="454"/>
        <v>1</v>
      </c>
      <c r="AX669" s="15">
        <f t="shared" si="455"/>
        <v>1</v>
      </c>
      <c r="AY669" s="15">
        <f t="shared" si="456"/>
        <v>1</v>
      </c>
      <c r="AZ669" s="15">
        <f t="shared" si="457"/>
        <v>1</v>
      </c>
      <c r="BA669" s="15">
        <f t="shared" si="458"/>
        <v>1</v>
      </c>
      <c r="BB669" s="15">
        <f t="shared" si="426"/>
        <v>0</v>
      </c>
      <c r="BC669" s="15" t="str">
        <f t="shared" si="427"/>
        <v/>
      </c>
      <c r="BD669" s="15" t="str">
        <f t="shared" si="428"/>
        <v/>
      </c>
      <c r="BE669" s="11" t="e">
        <f t="shared" si="459"/>
        <v>#VALUE!</v>
      </c>
      <c r="BF669" s="11" t="e">
        <f t="shared" si="460"/>
        <v>#VALUE!</v>
      </c>
      <c r="BG669" s="11" t="e">
        <f t="shared" si="461"/>
        <v>#VALUE!</v>
      </c>
      <c r="BH669" t="str">
        <f t="shared" si="462"/>
        <v/>
      </c>
      <c r="BI669" t="str" cm="1">
        <f t="array" ref="BI669">_xlfn.IFS(
  L669&gt;0,"Critical Fail",
  M669&gt;0,"Important (Coaching)",
  TRUE,"Clean Pass"
)</f>
        <v>Clean Pass</v>
      </c>
      <c r="BJ669" t="str">
        <f t="shared" si="463"/>
        <v>NA</v>
      </c>
    </row>
    <row r="670" spans="1:62" x14ac:dyDescent="0.3">
      <c r="A670">
        <v>810634</v>
      </c>
      <c r="K670" t="str">
        <f t="shared" si="425"/>
        <v>Pass</v>
      </c>
      <c r="L670" s="15">
        <f t="shared" si="429"/>
        <v>0</v>
      </c>
      <c r="M670" s="15">
        <f t="shared" si="430"/>
        <v>0</v>
      </c>
      <c r="Z670" s="15">
        <f t="shared" si="431"/>
        <v>1</v>
      </c>
      <c r="AA670" s="15">
        <f t="shared" si="432"/>
        <v>1</v>
      </c>
      <c r="AB670" s="15">
        <f t="shared" si="433"/>
        <v>1</v>
      </c>
      <c r="AC670" s="15">
        <f t="shared" si="434"/>
        <v>1</v>
      </c>
      <c r="AD670" s="15">
        <f t="shared" si="435"/>
        <v>1</v>
      </c>
      <c r="AE670" s="15">
        <f t="shared" si="436"/>
        <v>1</v>
      </c>
      <c r="AF670" s="15">
        <f t="shared" si="437"/>
        <v>1</v>
      </c>
      <c r="AG670" s="15">
        <f t="shared" si="438"/>
        <v>1</v>
      </c>
      <c r="AH670" s="15">
        <f t="shared" si="439"/>
        <v>1</v>
      </c>
      <c r="AI670" s="15">
        <f t="shared" si="440"/>
        <v>1</v>
      </c>
      <c r="AJ670" s="15">
        <f t="shared" si="441"/>
        <v>1</v>
      </c>
      <c r="AK670" s="15">
        <f t="shared" si="442"/>
        <v>1</v>
      </c>
      <c r="AL670" s="15">
        <f t="shared" si="443"/>
        <v>1</v>
      </c>
      <c r="AM670" s="15">
        <f t="shared" si="444"/>
        <v>1</v>
      </c>
      <c r="AN670" s="15">
        <f t="shared" si="445"/>
        <v>1</v>
      </c>
      <c r="AO670" s="15">
        <f t="shared" si="446"/>
        <v>1</v>
      </c>
      <c r="AP670" s="15">
        <f t="shared" si="447"/>
        <v>1</v>
      </c>
      <c r="AQ670" s="15">
        <f t="shared" si="448"/>
        <v>1</v>
      </c>
      <c r="AR670" s="15">
        <f t="shared" si="449"/>
        <v>1</v>
      </c>
      <c r="AS670" s="15">
        <f t="shared" si="450"/>
        <v>1</v>
      </c>
      <c r="AT670" s="15">
        <f t="shared" si="451"/>
        <v>1</v>
      </c>
      <c r="AU670" s="15">
        <f t="shared" si="452"/>
        <v>1</v>
      </c>
      <c r="AV670" s="15">
        <f t="shared" si="453"/>
        <v>1</v>
      </c>
      <c r="AW670" s="15">
        <f t="shared" si="454"/>
        <v>1</v>
      </c>
      <c r="AX670" s="15">
        <f t="shared" si="455"/>
        <v>1</v>
      </c>
      <c r="AY670" s="15">
        <f t="shared" si="456"/>
        <v>1</v>
      </c>
      <c r="AZ670" s="15">
        <f t="shared" si="457"/>
        <v>1</v>
      </c>
      <c r="BA670" s="15">
        <f t="shared" si="458"/>
        <v>1</v>
      </c>
      <c r="BB670" s="15">
        <f t="shared" si="426"/>
        <v>0</v>
      </c>
      <c r="BC670" s="15" t="str">
        <f t="shared" si="427"/>
        <v/>
      </c>
      <c r="BD670" s="15" t="str">
        <f t="shared" si="428"/>
        <v/>
      </c>
      <c r="BE670" s="11" t="e">
        <f t="shared" si="459"/>
        <v>#VALUE!</v>
      </c>
      <c r="BF670" s="11" t="e">
        <f t="shared" si="460"/>
        <v>#VALUE!</v>
      </c>
      <c r="BG670" s="11" t="e">
        <f t="shared" si="461"/>
        <v>#VALUE!</v>
      </c>
      <c r="BH670" t="str">
        <f t="shared" si="462"/>
        <v/>
      </c>
      <c r="BI670" t="str" cm="1">
        <f t="array" ref="BI670">_xlfn.IFS(
  L670&gt;0,"Critical Fail",
  M670&gt;0,"Important (Coaching)",
  TRUE,"Clean Pass"
)</f>
        <v>Clean Pass</v>
      </c>
      <c r="BJ670" t="str">
        <f t="shared" si="463"/>
        <v>NA</v>
      </c>
    </row>
    <row r="671" spans="1:62" x14ac:dyDescent="0.3">
      <c r="A671">
        <v>845745</v>
      </c>
      <c r="K671" t="str">
        <f t="shared" si="425"/>
        <v>Pass</v>
      </c>
      <c r="L671" s="15">
        <f t="shared" si="429"/>
        <v>0</v>
      </c>
      <c r="M671" s="15">
        <f t="shared" si="430"/>
        <v>0</v>
      </c>
      <c r="Z671" s="15">
        <f t="shared" si="431"/>
        <v>1</v>
      </c>
      <c r="AA671" s="15">
        <f t="shared" si="432"/>
        <v>1</v>
      </c>
      <c r="AB671" s="15">
        <f t="shared" si="433"/>
        <v>1</v>
      </c>
      <c r="AC671" s="15">
        <f t="shared" si="434"/>
        <v>1</v>
      </c>
      <c r="AD671" s="15">
        <f t="shared" si="435"/>
        <v>1</v>
      </c>
      <c r="AE671" s="15">
        <f t="shared" si="436"/>
        <v>1</v>
      </c>
      <c r="AF671" s="15">
        <f t="shared" si="437"/>
        <v>1</v>
      </c>
      <c r="AG671" s="15">
        <f t="shared" si="438"/>
        <v>1</v>
      </c>
      <c r="AH671" s="15">
        <f t="shared" si="439"/>
        <v>1</v>
      </c>
      <c r="AI671" s="15">
        <f t="shared" si="440"/>
        <v>1</v>
      </c>
      <c r="AJ671" s="15">
        <f t="shared" si="441"/>
        <v>1</v>
      </c>
      <c r="AK671" s="15">
        <f t="shared" si="442"/>
        <v>1</v>
      </c>
      <c r="AL671" s="15">
        <f t="shared" si="443"/>
        <v>1</v>
      </c>
      <c r="AM671" s="15">
        <f t="shared" si="444"/>
        <v>1</v>
      </c>
      <c r="AN671" s="15">
        <f t="shared" si="445"/>
        <v>1</v>
      </c>
      <c r="AO671" s="15">
        <f t="shared" si="446"/>
        <v>1</v>
      </c>
      <c r="AP671" s="15">
        <f t="shared" si="447"/>
        <v>1</v>
      </c>
      <c r="AQ671" s="15">
        <f t="shared" si="448"/>
        <v>1</v>
      </c>
      <c r="AR671" s="15">
        <f t="shared" si="449"/>
        <v>1</v>
      </c>
      <c r="AS671" s="15">
        <f t="shared" si="450"/>
        <v>1</v>
      </c>
      <c r="AT671" s="15">
        <f t="shared" si="451"/>
        <v>1</v>
      </c>
      <c r="AU671" s="15">
        <f t="shared" si="452"/>
        <v>1</v>
      </c>
      <c r="AV671" s="15">
        <f t="shared" si="453"/>
        <v>1</v>
      </c>
      <c r="AW671" s="15">
        <f t="shared" si="454"/>
        <v>1</v>
      </c>
      <c r="AX671" s="15">
        <f t="shared" si="455"/>
        <v>1</v>
      </c>
      <c r="AY671" s="15">
        <f t="shared" si="456"/>
        <v>1</v>
      </c>
      <c r="AZ671" s="15">
        <f t="shared" si="457"/>
        <v>1</v>
      </c>
      <c r="BA671" s="15">
        <f t="shared" si="458"/>
        <v>1</v>
      </c>
      <c r="BB671" s="15">
        <f t="shared" si="426"/>
        <v>0</v>
      </c>
      <c r="BC671" s="15" t="str">
        <f t="shared" si="427"/>
        <v/>
      </c>
      <c r="BD671" s="15" t="str">
        <f t="shared" si="428"/>
        <v/>
      </c>
      <c r="BE671" s="11" t="e">
        <f t="shared" si="459"/>
        <v>#VALUE!</v>
      </c>
      <c r="BF671" s="11" t="e">
        <f t="shared" si="460"/>
        <v>#VALUE!</v>
      </c>
      <c r="BG671" s="11" t="e">
        <f t="shared" si="461"/>
        <v>#VALUE!</v>
      </c>
      <c r="BH671" t="str">
        <f t="shared" si="462"/>
        <v/>
      </c>
      <c r="BI671" t="str" cm="1">
        <f t="array" ref="BI671">_xlfn.IFS(
  L671&gt;0,"Critical Fail",
  M671&gt;0,"Important (Coaching)",
  TRUE,"Clean Pass"
)</f>
        <v>Clean Pass</v>
      </c>
      <c r="BJ671" t="str">
        <f t="shared" si="463"/>
        <v>NA</v>
      </c>
    </row>
    <row r="672" spans="1:62" x14ac:dyDescent="0.3">
      <c r="A672">
        <v>166604</v>
      </c>
      <c r="K672" t="str">
        <f t="shared" si="425"/>
        <v>Pass</v>
      </c>
      <c r="L672" s="15">
        <f t="shared" si="429"/>
        <v>0</v>
      </c>
      <c r="M672" s="15">
        <f t="shared" si="430"/>
        <v>0</v>
      </c>
      <c r="Z672" s="15">
        <f t="shared" si="431"/>
        <v>1</v>
      </c>
      <c r="AA672" s="15">
        <f t="shared" si="432"/>
        <v>1</v>
      </c>
      <c r="AB672" s="15">
        <f t="shared" si="433"/>
        <v>1</v>
      </c>
      <c r="AC672" s="15">
        <f t="shared" si="434"/>
        <v>1</v>
      </c>
      <c r="AD672" s="15">
        <f t="shared" si="435"/>
        <v>1</v>
      </c>
      <c r="AE672" s="15">
        <f t="shared" si="436"/>
        <v>1</v>
      </c>
      <c r="AF672" s="15">
        <f t="shared" si="437"/>
        <v>1</v>
      </c>
      <c r="AG672" s="15">
        <f t="shared" si="438"/>
        <v>1</v>
      </c>
      <c r="AH672" s="15">
        <f t="shared" si="439"/>
        <v>1</v>
      </c>
      <c r="AI672" s="15">
        <f t="shared" si="440"/>
        <v>1</v>
      </c>
      <c r="AJ672" s="15">
        <f t="shared" si="441"/>
        <v>1</v>
      </c>
      <c r="AK672" s="15">
        <f t="shared" si="442"/>
        <v>1</v>
      </c>
      <c r="AL672" s="15">
        <f t="shared" si="443"/>
        <v>1</v>
      </c>
      <c r="AM672" s="15">
        <f t="shared" si="444"/>
        <v>1</v>
      </c>
      <c r="AN672" s="15">
        <f t="shared" si="445"/>
        <v>1</v>
      </c>
      <c r="AO672" s="15">
        <f t="shared" si="446"/>
        <v>1</v>
      </c>
      <c r="AP672" s="15">
        <f t="shared" si="447"/>
        <v>1</v>
      </c>
      <c r="AQ672" s="15">
        <f t="shared" si="448"/>
        <v>1</v>
      </c>
      <c r="AR672" s="15">
        <f t="shared" si="449"/>
        <v>1</v>
      </c>
      <c r="AS672" s="15">
        <f t="shared" si="450"/>
        <v>1</v>
      </c>
      <c r="AT672" s="15">
        <f t="shared" si="451"/>
        <v>1</v>
      </c>
      <c r="AU672" s="15">
        <f t="shared" si="452"/>
        <v>1</v>
      </c>
      <c r="AV672" s="15">
        <f t="shared" si="453"/>
        <v>1</v>
      </c>
      <c r="AW672" s="15">
        <f t="shared" si="454"/>
        <v>1</v>
      </c>
      <c r="AX672" s="15">
        <f t="shared" si="455"/>
        <v>1</v>
      </c>
      <c r="AY672" s="15">
        <f t="shared" si="456"/>
        <v>1</v>
      </c>
      <c r="AZ672" s="15">
        <f t="shared" si="457"/>
        <v>1</v>
      </c>
      <c r="BA672" s="15">
        <f t="shared" si="458"/>
        <v>1</v>
      </c>
      <c r="BB672" s="15">
        <f t="shared" si="426"/>
        <v>0</v>
      </c>
      <c r="BC672" s="15" t="str">
        <f t="shared" si="427"/>
        <v/>
      </c>
      <c r="BD672" s="15" t="str">
        <f t="shared" si="428"/>
        <v/>
      </c>
      <c r="BE672" s="11" t="e">
        <f t="shared" si="459"/>
        <v>#VALUE!</v>
      </c>
      <c r="BF672" s="11" t="e">
        <f t="shared" si="460"/>
        <v>#VALUE!</v>
      </c>
      <c r="BG672" s="11" t="e">
        <f t="shared" si="461"/>
        <v>#VALUE!</v>
      </c>
      <c r="BH672" t="str">
        <f t="shared" si="462"/>
        <v/>
      </c>
      <c r="BI672" t="str" cm="1">
        <f t="array" ref="BI672">_xlfn.IFS(
  L672&gt;0,"Critical Fail",
  M672&gt;0,"Important (Coaching)",
  TRUE,"Clean Pass"
)</f>
        <v>Clean Pass</v>
      </c>
      <c r="BJ672" t="str">
        <f t="shared" si="463"/>
        <v>NA</v>
      </c>
    </row>
    <row r="673" spans="1:62" x14ac:dyDescent="0.3">
      <c r="A673">
        <v>840638</v>
      </c>
      <c r="K673" t="str">
        <f t="shared" si="425"/>
        <v>Pass</v>
      </c>
      <c r="L673" s="15">
        <f t="shared" si="429"/>
        <v>0</v>
      </c>
      <c r="M673" s="15">
        <f t="shared" si="430"/>
        <v>0</v>
      </c>
      <c r="Z673" s="15">
        <f t="shared" si="431"/>
        <v>1</v>
      </c>
      <c r="AA673" s="15">
        <f t="shared" si="432"/>
        <v>1</v>
      </c>
      <c r="AB673" s="15">
        <f t="shared" si="433"/>
        <v>1</v>
      </c>
      <c r="AC673" s="15">
        <f t="shared" si="434"/>
        <v>1</v>
      </c>
      <c r="AD673" s="15">
        <f t="shared" si="435"/>
        <v>1</v>
      </c>
      <c r="AE673" s="15">
        <f t="shared" si="436"/>
        <v>1</v>
      </c>
      <c r="AF673" s="15">
        <f t="shared" si="437"/>
        <v>1</v>
      </c>
      <c r="AG673" s="15">
        <f t="shared" si="438"/>
        <v>1</v>
      </c>
      <c r="AH673" s="15">
        <f t="shared" si="439"/>
        <v>1</v>
      </c>
      <c r="AI673" s="15">
        <f t="shared" si="440"/>
        <v>1</v>
      </c>
      <c r="AJ673" s="15">
        <f t="shared" si="441"/>
        <v>1</v>
      </c>
      <c r="AK673" s="15">
        <f t="shared" si="442"/>
        <v>1</v>
      </c>
      <c r="AL673" s="15">
        <f t="shared" si="443"/>
        <v>1</v>
      </c>
      <c r="AM673" s="15">
        <f t="shared" si="444"/>
        <v>1</v>
      </c>
      <c r="AN673" s="15">
        <f t="shared" si="445"/>
        <v>1</v>
      </c>
      <c r="AO673" s="15">
        <f t="shared" si="446"/>
        <v>1</v>
      </c>
      <c r="AP673" s="15">
        <f t="shared" si="447"/>
        <v>1</v>
      </c>
      <c r="AQ673" s="15">
        <f t="shared" si="448"/>
        <v>1</v>
      </c>
      <c r="AR673" s="15">
        <f t="shared" si="449"/>
        <v>1</v>
      </c>
      <c r="AS673" s="15">
        <f t="shared" si="450"/>
        <v>1</v>
      </c>
      <c r="AT673" s="15">
        <f t="shared" si="451"/>
        <v>1</v>
      </c>
      <c r="AU673" s="15">
        <f t="shared" si="452"/>
        <v>1</v>
      </c>
      <c r="AV673" s="15">
        <f t="shared" si="453"/>
        <v>1</v>
      </c>
      <c r="AW673" s="15">
        <f t="shared" si="454"/>
        <v>1</v>
      </c>
      <c r="AX673" s="15">
        <f t="shared" si="455"/>
        <v>1</v>
      </c>
      <c r="AY673" s="15">
        <f t="shared" si="456"/>
        <v>1</v>
      </c>
      <c r="AZ673" s="15">
        <f t="shared" si="457"/>
        <v>1</v>
      </c>
      <c r="BA673" s="15">
        <f t="shared" si="458"/>
        <v>1</v>
      </c>
      <c r="BB673" s="15">
        <f t="shared" si="426"/>
        <v>0</v>
      </c>
      <c r="BC673" s="15" t="str">
        <f t="shared" si="427"/>
        <v/>
      </c>
      <c r="BD673" s="15" t="str">
        <f t="shared" si="428"/>
        <v/>
      </c>
      <c r="BE673" s="11" t="e">
        <f t="shared" si="459"/>
        <v>#VALUE!</v>
      </c>
      <c r="BF673" s="11" t="e">
        <f t="shared" si="460"/>
        <v>#VALUE!</v>
      </c>
      <c r="BG673" s="11" t="e">
        <f t="shared" si="461"/>
        <v>#VALUE!</v>
      </c>
      <c r="BH673" t="str">
        <f t="shared" si="462"/>
        <v/>
      </c>
      <c r="BI673" t="str" cm="1">
        <f t="array" ref="BI673">_xlfn.IFS(
  L673&gt;0,"Critical Fail",
  M673&gt;0,"Important (Coaching)",
  TRUE,"Clean Pass"
)</f>
        <v>Clean Pass</v>
      </c>
      <c r="BJ673" t="str">
        <f t="shared" si="463"/>
        <v>NA</v>
      </c>
    </row>
    <row r="674" spans="1:62" x14ac:dyDescent="0.3">
      <c r="A674">
        <v>431467</v>
      </c>
      <c r="K674" t="str">
        <f t="shared" si="425"/>
        <v>Pass</v>
      </c>
      <c r="L674" s="15">
        <f t="shared" si="429"/>
        <v>0</v>
      </c>
      <c r="M674" s="15">
        <f t="shared" si="430"/>
        <v>0</v>
      </c>
      <c r="Z674" s="15">
        <f t="shared" si="431"/>
        <v>1</v>
      </c>
      <c r="AA674" s="15">
        <f t="shared" si="432"/>
        <v>1</v>
      </c>
      <c r="AB674" s="15">
        <f t="shared" si="433"/>
        <v>1</v>
      </c>
      <c r="AC674" s="15">
        <f t="shared" si="434"/>
        <v>1</v>
      </c>
      <c r="AD674" s="15">
        <f t="shared" si="435"/>
        <v>1</v>
      </c>
      <c r="AE674" s="15">
        <f t="shared" si="436"/>
        <v>1</v>
      </c>
      <c r="AF674" s="15">
        <f t="shared" si="437"/>
        <v>1</v>
      </c>
      <c r="AG674" s="15">
        <f t="shared" si="438"/>
        <v>1</v>
      </c>
      <c r="AH674" s="15">
        <f t="shared" si="439"/>
        <v>1</v>
      </c>
      <c r="AI674" s="15">
        <f t="shared" si="440"/>
        <v>1</v>
      </c>
      <c r="AJ674" s="15">
        <f t="shared" si="441"/>
        <v>1</v>
      </c>
      <c r="AK674" s="15">
        <f t="shared" si="442"/>
        <v>1</v>
      </c>
      <c r="AL674" s="15">
        <f t="shared" si="443"/>
        <v>1</v>
      </c>
      <c r="AM674" s="15">
        <f t="shared" si="444"/>
        <v>1</v>
      </c>
      <c r="AN674" s="15">
        <f t="shared" si="445"/>
        <v>1</v>
      </c>
      <c r="AO674" s="15">
        <f t="shared" si="446"/>
        <v>1</v>
      </c>
      <c r="AP674" s="15">
        <f t="shared" si="447"/>
        <v>1</v>
      </c>
      <c r="AQ674" s="15">
        <f t="shared" si="448"/>
        <v>1</v>
      </c>
      <c r="AR674" s="15">
        <f t="shared" si="449"/>
        <v>1</v>
      </c>
      <c r="AS674" s="15">
        <f t="shared" si="450"/>
        <v>1</v>
      </c>
      <c r="AT674" s="15">
        <f t="shared" si="451"/>
        <v>1</v>
      </c>
      <c r="AU674" s="15">
        <f t="shared" si="452"/>
        <v>1</v>
      </c>
      <c r="AV674" s="15">
        <f t="shared" si="453"/>
        <v>1</v>
      </c>
      <c r="AW674" s="15">
        <f t="shared" si="454"/>
        <v>1</v>
      </c>
      <c r="AX674" s="15">
        <f t="shared" si="455"/>
        <v>1</v>
      </c>
      <c r="AY674" s="15">
        <f t="shared" si="456"/>
        <v>1</v>
      </c>
      <c r="AZ674" s="15">
        <f t="shared" si="457"/>
        <v>1</v>
      </c>
      <c r="BA674" s="15">
        <f t="shared" si="458"/>
        <v>1</v>
      </c>
      <c r="BB674" s="15">
        <f t="shared" si="426"/>
        <v>0</v>
      </c>
      <c r="BC674" s="15" t="str">
        <f t="shared" si="427"/>
        <v/>
      </c>
      <c r="BD674" s="15" t="str">
        <f t="shared" si="428"/>
        <v/>
      </c>
      <c r="BE674" s="11" t="e">
        <f t="shared" si="459"/>
        <v>#VALUE!</v>
      </c>
      <c r="BF674" s="11" t="e">
        <f t="shared" si="460"/>
        <v>#VALUE!</v>
      </c>
      <c r="BG674" s="11" t="e">
        <f t="shared" si="461"/>
        <v>#VALUE!</v>
      </c>
      <c r="BH674" t="str">
        <f t="shared" si="462"/>
        <v/>
      </c>
      <c r="BI674" t="str" cm="1">
        <f t="array" ref="BI674">_xlfn.IFS(
  L674&gt;0,"Critical Fail",
  M674&gt;0,"Important (Coaching)",
  TRUE,"Clean Pass"
)</f>
        <v>Clean Pass</v>
      </c>
      <c r="BJ674" t="str">
        <f t="shared" si="463"/>
        <v>NA</v>
      </c>
    </row>
    <row r="675" spans="1:62" x14ac:dyDescent="0.3">
      <c r="A675">
        <v>776107</v>
      </c>
      <c r="K675" t="str">
        <f t="shared" si="425"/>
        <v>Pass</v>
      </c>
      <c r="L675" s="15">
        <f t="shared" si="429"/>
        <v>0</v>
      </c>
      <c r="M675" s="15">
        <f t="shared" si="430"/>
        <v>0</v>
      </c>
      <c r="Z675" s="15">
        <f t="shared" si="431"/>
        <v>1</v>
      </c>
      <c r="AA675" s="15">
        <f t="shared" si="432"/>
        <v>1</v>
      </c>
      <c r="AB675" s="15">
        <f t="shared" si="433"/>
        <v>1</v>
      </c>
      <c r="AC675" s="15">
        <f t="shared" si="434"/>
        <v>1</v>
      </c>
      <c r="AD675" s="15">
        <f t="shared" si="435"/>
        <v>1</v>
      </c>
      <c r="AE675" s="15">
        <f t="shared" si="436"/>
        <v>1</v>
      </c>
      <c r="AF675" s="15">
        <f t="shared" si="437"/>
        <v>1</v>
      </c>
      <c r="AG675" s="15">
        <f t="shared" si="438"/>
        <v>1</v>
      </c>
      <c r="AH675" s="15">
        <f t="shared" si="439"/>
        <v>1</v>
      </c>
      <c r="AI675" s="15">
        <f t="shared" si="440"/>
        <v>1</v>
      </c>
      <c r="AJ675" s="15">
        <f t="shared" si="441"/>
        <v>1</v>
      </c>
      <c r="AK675" s="15">
        <f t="shared" si="442"/>
        <v>1</v>
      </c>
      <c r="AL675" s="15">
        <f t="shared" si="443"/>
        <v>1</v>
      </c>
      <c r="AM675" s="15">
        <f t="shared" si="444"/>
        <v>1</v>
      </c>
      <c r="AN675" s="15">
        <f t="shared" si="445"/>
        <v>1</v>
      </c>
      <c r="AO675" s="15">
        <f t="shared" si="446"/>
        <v>1</v>
      </c>
      <c r="AP675" s="15">
        <f t="shared" si="447"/>
        <v>1</v>
      </c>
      <c r="AQ675" s="15">
        <f t="shared" si="448"/>
        <v>1</v>
      </c>
      <c r="AR675" s="15">
        <f t="shared" si="449"/>
        <v>1</v>
      </c>
      <c r="AS675" s="15">
        <f t="shared" si="450"/>
        <v>1</v>
      </c>
      <c r="AT675" s="15">
        <f t="shared" si="451"/>
        <v>1</v>
      </c>
      <c r="AU675" s="15">
        <f t="shared" si="452"/>
        <v>1</v>
      </c>
      <c r="AV675" s="15">
        <f t="shared" si="453"/>
        <v>1</v>
      </c>
      <c r="AW675" s="15">
        <f t="shared" si="454"/>
        <v>1</v>
      </c>
      <c r="AX675" s="15">
        <f t="shared" si="455"/>
        <v>1</v>
      </c>
      <c r="AY675" s="15">
        <f t="shared" si="456"/>
        <v>1</v>
      </c>
      <c r="AZ675" s="15">
        <f t="shared" si="457"/>
        <v>1</v>
      </c>
      <c r="BA675" s="15">
        <f t="shared" si="458"/>
        <v>1</v>
      </c>
      <c r="BB675" s="15">
        <f t="shared" si="426"/>
        <v>0</v>
      </c>
      <c r="BC675" s="15" t="str">
        <f t="shared" si="427"/>
        <v/>
      </c>
      <c r="BD675" s="15" t="str">
        <f t="shared" si="428"/>
        <v/>
      </c>
      <c r="BE675" s="11" t="e">
        <f t="shared" si="459"/>
        <v>#VALUE!</v>
      </c>
      <c r="BF675" s="11" t="e">
        <f t="shared" si="460"/>
        <v>#VALUE!</v>
      </c>
      <c r="BG675" s="11" t="e">
        <f t="shared" si="461"/>
        <v>#VALUE!</v>
      </c>
      <c r="BH675" t="str">
        <f t="shared" si="462"/>
        <v/>
      </c>
      <c r="BI675" t="str" cm="1">
        <f t="array" ref="BI675">_xlfn.IFS(
  L675&gt;0,"Critical Fail",
  M675&gt;0,"Important (Coaching)",
  TRUE,"Clean Pass"
)</f>
        <v>Clean Pass</v>
      </c>
      <c r="BJ675" t="str">
        <f t="shared" si="463"/>
        <v>NA</v>
      </c>
    </row>
    <row r="676" spans="1:62" x14ac:dyDescent="0.3">
      <c r="A676">
        <v>206191</v>
      </c>
      <c r="K676" t="str">
        <f t="shared" si="425"/>
        <v>Pass</v>
      </c>
      <c r="L676" s="15">
        <f t="shared" si="429"/>
        <v>0</v>
      </c>
      <c r="M676" s="15">
        <f t="shared" si="430"/>
        <v>0</v>
      </c>
      <c r="Z676" s="15">
        <f t="shared" si="431"/>
        <v>1</v>
      </c>
      <c r="AA676" s="15">
        <f t="shared" si="432"/>
        <v>1</v>
      </c>
      <c r="AB676" s="15">
        <f t="shared" si="433"/>
        <v>1</v>
      </c>
      <c r="AC676" s="15">
        <f t="shared" si="434"/>
        <v>1</v>
      </c>
      <c r="AD676" s="15">
        <f t="shared" si="435"/>
        <v>1</v>
      </c>
      <c r="AE676" s="15">
        <f t="shared" si="436"/>
        <v>1</v>
      </c>
      <c r="AF676" s="15">
        <f t="shared" si="437"/>
        <v>1</v>
      </c>
      <c r="AG676" s="15">
        <f t="shared" si="438"/>
        <v>1</v>
      </c>
      <c r="AH676" s="15">
        <f t="shared" si="439"/>
        <v>1</v>
      </c>
      <c r="AI676" s="15">
        <f t="shared" si="440"/>
        <v>1</v>
      </c>
      <c r="AJ676" s="15">
        <f t="shared" si="441"/>
        <v>1</v>
      </c>
      <c r="AK676" s="15">
        <f t="shared" si="442"/>
        <v>1</v>
      </c>
      <c r="AL676" s="15">
        <f t="shared" si="443"/>
        <v>1</v>
      </c>
      <c r="AM676" s="15">
        <f t="shared" si="444"/>
        <v>1</v>
      </c>
      <c r="AN676" s="15">
        <f t="shared" si="445"/>
        <v>1</v>
      </c>
      <c r="AO676" s="15">
        <f t="shared" si="446"/>
        <v>1</v>
      </c>
      <c r="AP676" s="15">
        <f t="shared" si="447"/>
        <v>1</v>
      </c>
      <c r="AQ676" s="15">
        <f t="shared" si="448"/>
        <v>1</v>
      </c>
      <c r="AR676" s="15">
        <f t="shared" si="449"/>
        <v>1</v>
      </c>
      <c r="AS676" s="15">
        <f t="shared" si="450"/>
        <v>1</v>
      </c>
      <c r="AT676" s="15">
        <f t="shared" si="451"/>
        <v>1</v>
      </c>
      <c r="AU676" s="15">
        <f t="shared" si="452"/>
        <v>1</v>
      </c>
      <c r="AV676" s="15">
        <f t="shared" si="453"/>
        <v>1</v>
      </c>
      <c r="AW676" s="15">
        <f t="shared" si="454"/>
        <v>1</v>
      </c>
      <c r="AX676" s="15">
        <f t="shared" si="455"/>
        <v>1</v>
      </c>
      <c r="AY676" s="15">
        <f t="shared" si="456"/>
        <v>1</v>
      </c>
      <c r="AZ676" s="15">
        <f t="shared" si="457"/>
        <v>1</v>
      </c>
      <c r="BA676" s="15">
        <f t="shared" si="458"/>
        <v>1</v>
      </c>
      <c r="BB676" s="15">
        <f t="shared" si="426"/>
        <v>0</v>
      </c>
      <c r="BC676" s="15" t="str">
        <f t="shared" si="427"/>
        <v/>
      </c>
      <c r="BD676" s="15" t="str">
        <f t="shared" si="428"/>
        <v/>
      </c>
      <c r="BE676" s="11" t="e">
        <f t="shared" si="459"/>
        <v>#VALUE!</v>
      </c>
      <c r="BF676" s="11" t="e">
        <f t="shared" si="460"/>
        <v>#VALUE!</v>
      </c>
      <c r="BG676" s="11" t="e">
        <f t="shared" si="461"/>
        <v>#VALUE!</v>
      </c>
      <c r="BH676" t="str">
        <f t="shared" si="462"/>
        <v/>
      </c>
      <c r="BI676" t="str" cm="1">
        <f t="array" ref="BI676">_xlfn.IFS(
  L676&gt;0,"Critical Fail",
  M676&gt;0,"Important (Coaching)",
  TRUE,"Clean Pass"
)</f>
        <v>Clean Pass</v>
      </c>
      <c r="BJ676" t="str">
        <f t="shared" si="463"/>
        <v>NA</v>
      </c>
    </row>
    <row r="677" spans="1:62" x14ac:dyDescent="0.3">
      <c r="A677">
        <v>884304</v>
      </c>
      <c r="K677" t="str">
        <f t="shared" si="425"/>
        <v>Pass</v>
      </c>
      <c r="L677" s="15">
        <f t="shared" si="429"/>
        <v>0</v>
      </c>
      <c r="M677" s="15">
        <f t="shared" si="430"/>
        <v>0</v>
      </c>
      <c r="Z677" s="15">
        <f t="shared" si="431"/>
        <v>1</v>
      </c>
      <c r="AA677" s="15">
        <f t="shared" si="432"/>
        <v>1</v>
      </c>
      <c r="AB677" s="15">
        <f t="shared" si="433"/>
        <v>1</v>
      </c>
      <c r="AC677" s="15">
        <f t="shared" si="434"/>
        <v>1</v>
      </c>
      <c r="AD677" s="15">
        <f t="shared" si="435"/>
        <v>1</v>
      </c>
      <c r="AE677" s="15">
        <f t="shared" si="436"/>
        <v>1</v>
      </c>
      <c r="AF677" s="15">
        <f t="shared" si="437"/>
        <v>1</v>
      </c>
      <c r="AG677" s="15">
        <f t="shared" si="438"/>
        <v>1</v>
      </c>
      <c r="AH677" s="15">
        <f t="shared" si="439"/>
        <v>1</v>
      </c>
      <c r="AI677" s="15">
        <f t="shared" si="440"/>
        <v>1</v>
      </c>
      <c r="AJ677" s="15">
        <f t="shared" si="441"/>
        <v>1</v>
      </c>
      <c r="AK677" s="15">
        <f t="shared" si="442"/>
        <v>1</v>
      </c>
      <c r="AL677" s="15">
        <f t="shared" si="443"/>
        <v>1</v>
      </c>
      <c r="AM677" s="15">
        <f t="shared" si="444"/>
        <v>1</v>
      </c>
      <c r="AN677" s="15">
        <f t="shared" si="445"/>
        <v>1</v>
      </c>
      <c r="AO677" s="15">
        <f t="shared" si="446"/>
        <v>1</v>
      </c>
      <c r="AP677" s="15">
        <f t="shared" si="447"/>
        <v>1</v>
      </c>
      <c r="AQ677" s="15">
        <f t="shared" si="448"/>
        <v>1</v>
      </c>
      <c r="AR677" s="15">
        <f t="shared" si="449"/>
        <v>1</v>
      </c>
      <c r="AS677" s="15">
        <f t="shared" si="450"/>
        <v>1</v>
      </c>
      <c r="AT677" s="15">
        <f t="shared" si="451"/>
        <v>1</v>
      </c>
      <c r="AU677" s="15">
        <f t="shared" si="452"/>
        <v>1</v>
      </c>
      <c r="AV677" s="15">
        <f t="shared" si="453"/>
        <v>1</v>
      </c>
      <c r="AW677" s="15">
        <f t="shared" si="454"/>
        <v>1</v>
      </c>
      <c r="AX677" s="15">
        <f t="shared" si="455"/>
        <v>1</v>
      </c>
      <c r="AY677" s="15">
        <f t="shared" si="456"/>
        <v>1</v>
      </c>
      <c r="AZ677" s="15">
        <f t="shared" si="457"/>
        <v>1</v>
      </c>
      <c r="BA677" s="15">
        <f t="shared" si="458"/>
        <v>1</v>
      </c>
      <c r="BB677" s="15">
        <f t="shared" si="426"/>
        <v>0</v>
      </c>
      <c r="BC677" s="15" t="str">
        <f t="shared" si="427"/>
        <v/>
      </c>
      <c r="BD677" s="15" t="str">
        <f t="shared" si="428"/>
        <v/>
      </c>
      <c r="BE677" s="11" t="e">
        <f t="shared" si="459"/>
        <v>#VALUE!</v>
      </c>
      <c r="BF677" s="11" t="e">
        <f t="shared" si="460"/>
        <v>#VALUE!</v>
      </c>
      <c r="BG677" s="11" t="e">
        <f t="shared" si="461"/>
        <v>#VALUE!</v>
      </c>
      <c r="BH677" t="str">
        <f t="shared" si="462"/>
        <v/>
      </c>
      <c r="BI677" t="str" cm="1">
        <f t="array" ref="BI677">_xlfn.IFS(
  L677&gt;0,"Critical Fail",
  M677&gt;0,"Important (Coaching)",
  TRUE,"Clean Pass"
)</f>
        <v>Clean Pass</v>
      </c>
      <c r="BJ677" t="str">
        <f t="shared" si="463"/>
        <v>NA</v>
      </c>
    </row>
    <row r="678" spans="1:62" x14ac:dyDescent="0.3">
      <c r="A678">
        <v>390089</v>
      </c>
      <c r="K678" t="str">
        <f t="shared" si="425"/>
        <v>Pass</v>
      </c>
      <c r="L678" s="15">
        <f t="shared" si="429"/>
        <v>0</v>
      </c>
      <c r="M678" s="15">
        <f t="shared" si="430"/>
        <v>0</v>
      </c>
      <c r="Z678" s="15">
        <f t="shared" si="431"/>
        <v>1</v>
      </c>
      <c r="AA678" s="15">
        <f t="shared" si="432"/>
        <v>1</v>
      </c>
      <c r="AB678" s="15">
        <f t="shared" si="433"/>
        <v>1</v>
      </c>
      <c r="AC678" s="15">
        <f t="shared" si="434"/>
        <v>1</v>
      </c>
      <c r="AD678" s="15">
        <f t="shared" si="435"/>
        <v>1</v>
      </c>
      <c r="AE678" s="15">
        <f t="shared" si="436"/>
        <v>1</v>
      </c>
      <c r="AF678" s="15">
        <f t="shared" si="437"/>
        <v>1</v>
      </c>
      <c r="AG678" s="15">
        <f t="shared" si="438"/>
        <v>1</v>
      </c>
      <c r="AH678" s="15">
        <f t="shared" si="439"/>
        <v>1</v>
      </c>
      <c r="AI678" s="15">
        <f t="shared" si="440"/>
        <v>1</v>
      </c>
      <c r="AJ678" s="15">
        <f t="shared" si="441"/>
        <v>1</v>
      </c>
      <c r="AK678" s="15">
        <f t="shared" si="442"/>
        <v>1</v>
      </c>
      <c r="AL678" s="15">
        <f t="shared" si="443"/>
        <v>1</v>
      </c>
      <c r="AM678" s="15">
        <f t="shared" si="444"/>
        <v>1</v>
      </c>
      <c r="AN678" s="15">
        <f t="shared" si="445"/>
        <v>1</v>
      </c>
      <c r="AO678" s="15">
        <f t="shared" si="446"/>
        <v>1</v>
      </c>
      <c r="AP678" s="15">
        <f t="shared" si="447"/>
        <v>1</v>
      </c>
      <c r="AQ678" s="15">
        <f t="shared" si="448"/>
        <v>1</v>
      </c>
      <c r="AR678" s="15">
        <f t="shared" si="449"/>
        <v>1</v>
      </c>
      <c r="AS678" s="15">
        <f t="shared" si="450"/>
        <v>1</v>
      </c>
      <c r="AT678" s="15">
        <f t="shared" si="451"/>
        <v>1</v>
      </c>
      <c r="AU678" s="15">
        <f t="shared" si="452"/>
        <v>1</v>
      </c>
      <c r="AV678" s="15">
        <f t="shared" si="453"/>
        <v>1</v>
      </c>
      <c r="AW678" s="15">
        <f t="shared" si="454"/>
        <v>1</v>
      </c>
      <c r="AX678" s="15">
        <f t="shared" si="455"/>
        <v>1</v>
      </c>
      <c r="AY678" s="15">
        <f t="shared" si="456"/>
        <v>1</v>
      </c>
      <c r="AZ678" s="15">
        <f t="shared" si="457"/>
        <v>1</v>
      </c>
      <c r="BA678" s="15">
        <f t="shared" si="458"/>
        <v>1</v>
      </c>
      <c r="BB678" s="15">
        <f t="shared" si="426"/>
        <v>0</v>
      </c>
      <c r="BC678" s="15" t="str">
        <f t="shared" si="427"/>
        <v/>
      </c>
      <c r="BD678" s="15" t="str">
        <f t="shared" si="428"/>
        <v/>
      </c>
      <c r="BE678" s="11" t="e">
        <f t="shared" si="459"/>
        <v>#VALUE!</v>
      </c>
      <c r="BF678" s="11" t="e">
        <f t="shared" si="460"/>
        <v>#VALUE!</v>
      </c>
      <c r="BG678" s="11" t="e">
        <f t="shared" si="461"/>
        <v>#VALUE!</v>
      </c>
      <c r="BH678" t="str">
        <f t="shared" si="462"/>
        <v/>
      </c>
      <c r="BI678" t="str" cm="1">
        <f t="array" ref="BI678">_xlfn.IFS(
  L678&gt;0,"Critical Fail",
  M678&gt;0,"Important (Coaching)",
  TRUE,"Clean Pass"
)</f>
        <v>Clean Pass</v>
      </c>
      <c r="BJ678" t="str">
        <f t="shared" si="463"/>
        <v>NA</v>
      </c>
    </row>
    <row r="679" spans="1:62" x14ac:dyDescent="0.3">
      <c r="A679">
        <v>114737</v>
      </c>
      <c r="K679" t="str">
        <f t="shared" si="425"/>
        <v>Pass</v>
      </c>
      <c r="L679" s="15">
        <f t="shared" si="429"/>
        <v>0</v>
      </c>
      <c r="M679" s="15">
        <f t="shared" si="430"/>
        <v>0</v>
      </c>
      <c r="Z679" s="15">
        <f t="shared" si="431"/>
        <v>1</v>
      </c>
      <c r="AA679" s="15">
        <f t="shared" si="432"/>
        <v>1</v>
      </c>
      <c r="AB679" s="15">
        <f t="shared" si="433"/>
        <v>1</v>
      </c>
      <c r="AC679" s="15">
        <f t="shared" si="434"/>
        <v>1</v>
      </c>
      <c r="AD679" s="15">
        <f t="shared" si="435"/>
        <v>1</v>
      </c>
      <c r="AE679" s="15">
        <f t="shared" si="436"/>
        <v>1</v>
      </c>
      <c r="AF679" s="15">
        <f t="shared" si="437"/>
        <v>1</v>
      </c>
      <c r="AG679" s="15">
        <f t="shared" si="438"/>
        <v>1</v>
      </c>
      <c r="AH679" s="15">
        <f t="shared" si="439"/>
        <v>1</v>
      </c>
      <c r="AI679" s="15">
        <f t="shared" si="440"/>
        <v>1</v>
      </c>
      <c r="AJ679" s="15">
        <f t="shared" si="441"/>
        <v>1</v>
      </c>
      <c r="AK679" s="15">
        <f t="shared" si="442"/>
        <v>1</v>
      </c>
      <c r="AL679" s="15">
        <f t="shared" si="443"/>
        <v>1</v>
      </c>
      <c r="AM679" s="15">
        <f t="shared" si="444"/>
        <v>1</v>
      </c>
      <c r="AN679" s="15">
        <f t="shared" si="445"/>
        <v>1</v>
      </c>
      <c r="AO679" s="15">
        <f t="shared" si="446"/>
        <v>1</v>
      </c>
      <c r="AP679" s="15">
        <f t="shared" si="447"/>
        <v>1</v>
      </c>
      <c r="AQ679" s="15">
        <f t="shared" si="448"/>
        <v>1</v>
      </c>
      <c r="AR679" s="15">
        <f t="shared" si="449"/>
        <v>1</v>
      </c>
      <c r="AS679" s="15">
        <f t="shared" si="450"/>
        <v>1</v>
      </c>
      <c r="AT679" s="15">
        <f t="shared" si="451"/>
        <v>1</v>
      </c>
      <c r="AU679" s="15">
        <f t="shared" si="452"/>
        <v>1</v>
      </c>
      <c r="AV679" s="15">
        <f t="shared" si="453"/>
        <v>1</v>
      </c>
      <c r="AW679" s="15">
        <f t="shared" si="454"/>
        <v>1</v>
      </c>
      <c r="AX679" s="15">
        <f t="shared" si="455"/>
        <v>1</v>
      </c>
      <c r="AY679" s="15">
        <f t="shared" si="456"/>
        <v>1</v>
      </c>
      <c r="AZ679" s="15">
        <f t="shared" si="457"/>
        <v>1</v>
      </c>
      <c r="BA679" s="15">
        <f t="shared" si="458"/>
        <v>1</v>
      </c>
      <c r="BB679" s="15">
        <f t="shared" si="426"/>
        <v>0</v>
      </c>
      <c r="BC679" s="15" t="str">
        <f t="shared" si="427"/>
        <v/>
      </c>
      <c r="BD679" s="15" t="str">
        <f t="shared" si="428"/>
        <v/>
      </c>
      <c r="BE679" s="11" t="e">
        <f t="shared" si="459"/>
        <v>#VALUE!</v>
      </c>
      <c r="BF679" s="11" t="e">
        <f t="shared" si="460"/>
        <v>#VALUE!</v>
      </c>
      <c r="BG679" s="11" t="e">
        <f t="shared" si="461"/>
        <v>#VALUE!</v>
      </c>
      <c r="BH679" t="str">
        <f t="shared" si="462"/>
        <v/>
      </c>
      <c r="BI679" t="str" cm="1">
        <f t="array" ref="BI679">_xlfn.IFS(
  L679&gt;0,"Critical Fail",
  M679&gt;0,"Important (Coaching)",
  TRUE,"Clean Pass"
)</f>
        <v>Clean Pass</v>
      </c>
      <c r="BJ679" t="str">
        <f t="shared" si="463"/>
        <v>NA</v>
      </c>
    </row>
    <row r="680" spans="1:62" x14ac:dyDescent="0.3">
      <c r="A680">
        <v>468720</v>
      </c>
      <c r="K680" t="str">
        <f t="shared" si="425"/>
        <v>Pass</v>
      </c>
      <c r="L680" s="15">
        <f t="shared" si="429"/>
        <v>0</v>
      </c>
      <c r="M680" s="15">
        <f t="shared" si="430"/>
        <v>0</v>
      </c>
      <c r="Z680" s="15">
        <f t="shared" si="431"/>
        <v>1</v>
      </c>
      <c r="AA680" s="15">
        <f t="shared" si="432"/>
        <v>1</v>
      </c>
      <c r="AB680" s="15">
        <f t="shared" si="433"/>
        <v>1</v>
      </c>
      <c r="AC680" s="15">
        <f t="shared" si="434"/>
        <v>1</v>
      </c>
      <c r="AD680" s="15">
        <f t="shared" si="435"/>
        <v>1</v>
      </c>
      <c r="AE680" s="15">
        <f t="shared" si="436"/>
        <v>1</v>
      </c>
      <c r="AF680" s="15">
        <f t="shared" si="437"/>
        <v>1</v>
      </c>
      <c r="AG680" s="15">
        <f t="shared" si="438"/>
        <v>1</v>
      </c>
      <c r="AH680" s="15">
        <f t="shared" si="439"/>
        <v>1</v>
      </c>
      <c r="AI680" s="15">
        <f t="shared" si="440"/>
        <v>1</v>
      </c>
      <c r="AJ680" s="15">
        <f t="shared" si="441"/>
        <v>1</v>
      </c>
      <c r="AK680" s="15">
        <f t="shared" si="442"/>
        <v>1</v>
      </c>
      <c r="AL680" s="15">
        <f t="shared" si="443"/>
        <v>1</v>
      </c>
      <c r="AM680" s="15">
        <f t="shared" si="444"/>
        <v>1</v>
      </c>
      <c r="AN680" s="15">
        <f t="shared" si="445"/>
        <v>1</v>
      </c>
      <c r="AO680" s="15">
        <f t="shared" si="446"/>
        <v>1</v>
      </c>
      <c r="AP680" s="15">
        <f t="shared" si="447"/>
        <v>1</v>
      </c>
      <c r="AQ680" s="15">
        <f t="shared" si="448"/>
        <v>1</v>
      </c>
      <c r="AR680" s="15">
        <f t="shared" si="449"/>
        <v>1</v>
      </c>
      <c r="AS680" s="15">
        <f t="shared" si="450"/>
        <v>1</v>
      </c>
      <c r="AT680" s="15">
        <f t="shared" si="451"/>
        <v>1</v>
      </c>
      <c r="AU680" s="15">
        <f t="shared" si="452"/>
        <v>1</v>
      </c>
      <c r="AV680" s="15">
        <f t="shared" si="453"/>
        <v>1</v>
      </c>
      <c r="AW680" s="15">
        <f t="shared" si="454"/>
        <v>1</v>
      </c>
      <c r="AX680" s="15">
        <f t="shared" si="455"/>
        <v>1</v>
      </c>
      <c r="AY680" s="15">
        <f t="shared" si="456"/>
        <v>1</v>
      </c>
      <c r="AZ680" s="15">
        <f t="shared" si="457"/>
        <v>1</v>
      </c>
      <c r="BA680" s="15">
        <f t="shared" si="458"/>
        <v>1</v>
      </c>
      <c r="BB680" s="15">
        <f t="shared" si="426"/>
        <v>0</v>
      </c>
      <c r="BC680" s="15" t="str">
        <f t="shared" si="427"/>
        <v/>
      </c>
      <c r="BD680" s="15" t="str">
        <f t="shared" si="428"/>
        <v/>
      </c>
      <c r="BE680" s="11" t="e">
        <f t="shared" si="459"/>
        <v>#VALUE!</v>
      </c>
      <c r="BF680" s="11" t="e">
        <f t="shared" si="460"/>
        <v>#VALUE!</v>
      </c>
      <c r="BG680" s="11" t="e">
        <f t="shared" si="461"/>
        <v>#VALUE!</v>
      </c>
      <c r="BH680" t="str">
        <f t="shared" si="462"/>
        <v/>
      </c>
      <c r="BI680" t="str" cm="1">
        <f t="array" ref="BI680">_xlfn.IFS(
  L680&gt;0,"Critical Fail",
  M680&gt;0,"Important (Coaching)",
  TRUE,"Clean Pass"
)</f>
        <v>Clean Pass</v>
      </c>
      <c r="BJ680" t="str">
        <f t="shared" si="463"/>
        <v>NA</v>
      </c>
    </row>
    <row r="681" spans="1:62" x14ac:dyDescent="0.3">
      <c r="A681">
        <v>215595</v>
      </c>
      <c r="K681" t="str">
        <f t="shared" si="425"/>
        <v>Pass</v>
      </c>
      <c r="L681" s="15">
        <f t="shared" si="429"/>
        <v>0</v>
      </c>
      <c r="M681" s="15">
        <f t="shared" si="430"/>
        <v>0</v>
      </c>
      <c r="Z681" s="15">
        <f t="shared" si="431"/>
        <v>1</v>
      </c>
      <c r="AA681" s="15">
        <f t="shared" si="432"/>
        <v>1</v>
      </c>
      <c r="AB681" s="15">
        <f t="shared" si="433"/>
        <v>1</v>
      </c>
      <c r="AC681" s="15">
        <f t="shared" si="434"/>
        <v>1</v>
      </c>
      <c r="AD681" s="15">
        <f t="shared" si="435"/>
        <v>1</v>
      </c>
      <c r="AE681" s="15">
        <f t="shared" si="436"/>
        <v>1</v>
      </c>
      <c r="AF681" s="15">
        <f t="shared" si="437"/>
        <v>1</v>
      </c>
      <c r="AG681" s="15">
        <f t="shared" si="438"/>
        <v>1</v>
      </c>
      <c r="AH681" s="15">
        <f t="shared" si="439"/>
        <v>1</v>
      </c>
      <c r="AI681" s="15">
        <f t="shared" si="440"/>
        <v>1</v>
      </c>
      <c r="AJ681" s="15">
        <f t="shared" si="441"/>
        <v>1</v>
      </c>
      <c r="AK681" s="15">
        <f t="shared" si="442"/>
        <v>1</v>
      </c>
      <c r="AL681" s="15">
        <f t="shared" si="443"/>
        <v>1</v>
      </c>
      <c r="AM681" s="15">
        <f t="shared" si="444"/>
        <v>1</v>
      </c>
      <c r="AN681" s="15">
        <f t="shared" si="445"/>
        <v>1</v>
      </c>
      <c r="AO681" s="15">
        <f t="shared" si="446"/>
        <v>1</v>
      </c>
      <c r="AP681" s="15">
        <f t="shared" si="447"/>
        <v>1</v>
      </c>
      <c r="AQ681" s="15">
        <f t="shared" si="448"/>
        <v>1</v>
      </c>
      <c r="AR681" s="15">
        <f t="shared" si="449"/>
        <v>1</v>
      </c>
      <c r="AS681" s="15">
        <f t="shared" si="450"/>
        <v>1</v>
      </c>
      <c r="AT681" s="15">
        <f t="shared" si="451"/>
        <v>1</v>
      </c>
      <c r="AU681" s="15">
        <f t="shared" si="452"/>
        <v>1</v>
      </c>
      <c r="AV681" s="15">
        <f t="shared" si="453"/>
        <v>1</v>
      </c>
      <c r="AW681" s="15">
        <f t="shared" si="454"/>
        <v>1</v>
      </c>
      <c r="AX681" s="15">
        <f t="shared" si="455"/>
        <v>1</v>
      </c>
      <c r="AY681" s="15">
        <f t="shared" si="456"/>
        <v>1</v>
      </c>
      <c r="AZ681" s="15">
        <f t="shared" si="457"/>
        <v>1</v>
      </c>
      <c r="BA681" s="15">
        <f t="shared" si="458"/>
        <v>1</v>
      </c>
      <c r="BB681" s="15">
        <f t="shared" si="426"/>
        <v>0</v>
      </c>
      <c r="BC681" s="15" t="str">
        <f t="shared" si="427"/>
        <v/>
      </c>
      <c r="BD681" s="15" t="str">
        <f t="shared" si="428"/>
        <v/>
      </c>
      <c r="BE681" s="11" t="e">
        <f t="shared" si="459"/>
        <v>#VALUE!</v>
      </c>
      <c r="BF681" s="11" t="e">
        <f t="shared" si="460"/>
        <v>#VALUE!</v>
      </c>
      <c r="BG681" s="11" t="e">
        <f t="shared" si="461"/>
        <v>#VALUE!</v>
      </c>
      <c r="BH681" t="str">
        <f t="shared" si="462"/>
        <v/>
      </c>
      <c r="BI681" t="str" cm="1">
        <f t="array" ref="BI681">_xlfn.IFS(
  L681&gt;0,"Critical Fail",
  M681&gt;0,"Important (Coaching)",
  TRUE,"Clean Pass"
)</f>
        <v>Clean Pass</v>
      </c>
      <c r="BJ681" t="str">
        <f t="shared" si="463"/>
        <v>NA</v>
      </c>
    </row>
    <row r="682" spans="1:62" x14ac:dyDescent="0.3">
      <c r="A682">
        <v>360284</v>
      </c>
      <c r="K682" t="str">
        <f t="shared" si="425"/>
        <v>Pass</v>
      </c>
      <c r="L682" s="15">
        <f t="shared" si="429"/>
        <v>0</v>
      </c>
      <c r="M682" s="15">
        <f t="shared" si="430"/>
        <v>0</v>
      </c>
      <c r="Z682" s="15">
        <f t="shared" si="431"/>
        <v>1</v>
      </c>
      <c r="AA682" s="15">
        <f t="shared" si="432"/>
        <v>1</v>
      </c>
      <c r="AB682" s="15">
        <f t="shared" si="433"/>
        <v>1</v>
      </c>
      <c r="AC682" s="15">
        <f t="shared" si="434"/>
        <v>1</v>
      </c>
      <c r="AD682" s="15">
        <f t="shared" si="435"/>
        <v>1</v>
      </c>
      <c r="AE682" s="15">
        <f t="shared" si="436"/>
        <v>1</v>
      </c>
      <c r="AF682" s="15">
        <f t="shared" si="437"/>
        <v>1</v>
      </c>
      <c r="AG682" s="15">
        <f t="shared" si="438"/>
        <v>1</v>
      </c>
      <c r="AH682" s="15">
        <f t="shared" si="439"/>
        <v>1</v>
      </c>
      <c r="AI682" s="15">
        <f t="shared" si="440"/>
        <v>1</v>
      </c>
      <c r="AJ682" s="15">
        <f t="shared" si="441"/>
        <v>1</v>
      </c>
      <c r="AK682" s="15">
        <f t="shared" si="442"/>
        <v>1</v>
      </c>
      <c r="AL682" s="15">
        <f t="shared" si="443"/>
        <v>1</v>
      </c>
      <c r="AM682" s="15">
        <f t="shared" si="444"/>
        <v>1</v>
      </c>
      <c r="AN682" s="15">
        <f t="shared" si="445"/>
        <v>1</v>
      </c>
      <c r="AO682" s="15">
        <f t="shared" si="446"/>
        <v>1</v>
      </c>
      <c r="AP682" s="15">
        <f t="shared" si="447"/>
        <v>1</v>
      </c>
      <c r="AQ682" s="15">
        <f t="shared" si="448"/>
        <v>1</v>
      </c>
      <c r="AR682" s="15">
        <f t="shared" si="449"/>
        <v>1</v>
      </c>
      <c r="AS682" s="15">
        <f t="shared" si="450"/>
        <v>1</v>
      </c>
      <c r="AT682" s="15">
        <f t="shared" si="451"/>
        <v>1</v>
      </c>
      <c r="AU682" s="15">
        <f t="shared" si="452"/>
        <v>1</v>
      </c>
      <c r="AV682" s="15">
        <f t="shared" si="453"/>
        <v>1</v>
      </c>
      <c r="AW682" s="15">
        <f t="shared" si="454"/>
        <v>1</v>
      </c>
      <c r="AX682" s="15">
        <f t="shared" si="455"/>
        <v>1</v>
      </c>
      <c r="AY682" s="15">
        <f t="shared" si="456"/>
        <v>1</v>
      </c>
      <c r="AZ682" s="15">
        <f t="shared" si="457"/>
        <v>1</v>
      </c>
      <c r="BA682" s="15">
        <f t="shared" si="458"/>
        <v>1</v>
      </c>
      <c r="BB682" s="15">
        <f t="shared" si="426"/>
        <v>0</v>
      </c>
      <c r="BC682" s="15" t="str">
        <f t="shared" si="427"/>
        <v/>
      </c>
      <c r="BD682" s="15" t="str">
        <f t="shared" si="428"/>
        <v/>
      </c>
      <c r="BE682" s="11" t="e">
        <f t="shared" si="459"/>
        <v>#VALUE!</v>
      </c>
      <c r="BF682" s="11" t="e">
        <f t="shared" si="460"/>
        <v>#VALUE!</v>
      </c>
      <c r="BG682" s="11" t="e">
        <f t="shared" si="461"/>
        <v>#VALUE!</v>
      </c>
      <c r="BH682" t="str">
        <f t="shared" si="462"/>
        <v/>
      </c>
      <c r="BI682" t="str" cm="1">
        <f t="array" ref="BI682">_xlfn.IFS(
  L682&gt;0,"Critical Fail",
  M682&gt;0,"Important (Coaching)",
  TRUE,"Clean Pass"
)</f>
        <v>Clean Pass</v>
      </c>
      <c r="BJ682" t="str">
        <f t="shared" si="463"/>
        <v>NA</v>
      </c>
    </row>
    <row r="683" spans="1:62" x14ac:dyDescent="0.3">
      <c r="A683">
        <v>712103</v>
      </c>
      <c r="K683" t="str">
        <f t="shared" si="425"/>
        <v>Pass</v>
      </c>
      <c r="L683" s="15">
        <f t="shared" si="429"/>
        <v>0</v>
      </c>
      <c r="M683" s="15">
        <f t="shared" si="430"/>
        <v>0</v>
      </c>
      <c r="Z683" s="15">
        <f t="shared" si="431"/>
        <v>1</v>
      </c>
      <c r="AA683" s="15">
        <f t="shared" si="432"/>
        <v>1</v>
      </c>
      <c r="AB683" s="15">
        <f t="shared" si="433"/>
        <v>1</v>
      </c>
      <c r="AC683" s="15">
        <f t="shared" si="434"/>
        <v>1</v>
      </c>
      <c r="AD683" s="15">
        <f t="shared" si="435"/>
        <v>1</v>
      </c>
      <c r="AE683" s="15">
        <f t="shared" si="436"/>
        <v>1</v>
      </c>
      <c r="AF683" s="15">
        <f t="shared" si="437"/>
        <v>1</v>
      </c>
      <c r="AG683" s="15">
        <f t="shared" si="438"/>
        <v>1</v>
      </c>
      <c r="AH683" s="15">
        <f t="shared" si="439"/>
        <v>1</v>
      </c>
      <c r="AI683" s="15">
        <f t="shared" si="440"/>
        <v>1</v>
      </c>
      <c r="AJ683" s="15">
        <f t="shared" si="441"/>
        <v>1</v>
      </c>
      <c r="AK683" s="15">
        <f t="shared" si="442"/>
        <v>1</v>
      </c>
      <c r="AL683" s="15">
        <f t="shared" si="443"/>
        <v>1</v>
      </c>
      <c r="AM683" s="15">
        <f t="shared" si="444"/>
        <v>1</v>
      </c>
      <c r="AN683" s="15">
        <f t="shared" si="445"/>
        <v>1</v>
      </c>
      <c r="AO683" s="15">
        <f t="shared" si="446"/>
        <v>1</v>
      </c>
      <c r="AP683" s="15">
        <f t="shared" si="447"/>
        <v>1</v>
      </c>
      <c r="AQ683" s="15">
        <f t="shared" si="448"/>
        <v>1</v>
      </c>
      <c r="AR683" s="15">
        <f t="shared" si="449"/>
        <v>1</v>
      </c>
      <c r="AS683" s="15">
        <f t="shared" si="450"/>
        <v>1</v>
      </c>
      <c r="AT683" s="15">
        <f t="shared" si="451"/>
        <v>1</v>
      </c>
      <c r="AU683" s="15">
        <f t="shared" si="452"/>
        <v>1</v>
      </c>
      <c r="AV683" s="15">
        <f t="shared" si="453"/>
        <v>1</v>
      </c>
      <c r="AW683" s="15">
        <f t="shared" si="454"/>
        <v>1</v>
      </c>
      <c r="AX683" s="15">
        <f t="shared" si="455"/>
        <v>1</v>
      </c>
      <c r="AY683" s="15">
        <f t="shared" si="456"/>
        <v>1</v>
      </c>
      <c r="AZ683" s="15">
        <f t="shared" si="457"/>
        <v>1</v>
      </c>
      <c r="BA683" s="15">
        <f t="shared" si="458"/>
        <v>1</v>
      </c>
      <c r="BB683" s="15">
        <f t="shared" si="426"/>
        <v>0</v>
      </c>
      <c r="BC683" s="15" t="str">
        <f t="shared" si="427"/>
        <v/>
      </c>
      <c r="BD683" s="15" t="str">
        <f t="shared" si="428"/>
        <v/>
      </c>
      <c r="BE683" s="11" t="e">
        <f t="shared" si="459"/>
        <v>#VALUE!</v>
      </c>
      <c r="BF683" s="11" t="e">
        <f t="shared" si="460"/>
        <v>#VALUE!</v>
      </c>
      <c r="BG683" s="11" t="e">
        <f t="shared" si="461"/>
        <v>#VALUE!</v>
      </c>
      <c r="BH683" t="str">
        <f t="shared" si="462"/>
        <v/>
      </c>
      <c r="BI683" t="str" cm="1">
        <f t="array" ref="BI683">_xlfn.IFS(
  L683&gt;0,"Critical Fail",
  M683&gt;0,"Important (Coaching)",
  TRUE,"Clean Pass"
)</f>
        <v>Clean Pass</v>
      </c>
      <c r="BJ683" t="str">
        <f t="shared" si="463"/>
        <v>NA</v>
      </c>
    </row>
    <row r="684" spans="1:62" x14ac:dyDescent="0.3">
      <c r="A684">
        <v>855103</v>
      </c>
      <c r="K684" t="str">
        <f t="shared" si="425"/>
        <v>Pass</v>
      </c>
      <c r="L684" s="15">
        <f t="shared" si="429"/>
        <v>0</v>
      </c>
      <c r="M684" s="15">
        <f t="shared" si="430"/>
        <v>0</v>
      </c>
      <c r="Z684" s="15">
        <f t="shared" si="431"/>
        <v>1</v>
      </c>
      <c r="AA684" s="15">
        <f t="shared" si="432"/>
        <v>1</v>
      </c>
      <c r="AB684" s="15">
        <f t="shared" si="433"/>
        <v>1</v>
      </c>
      <c r="AC684" s="15">
        <f t="shared" si="434"/>
        <v>1</v>
      </c>
      <c r="AD684" s="15">
        <f t="shared" si="435"/>
        <v>1</v>
      </c>
      <c r="AE684" s="15">
        <f t="shared" si="436"/>
        <v>1</v>
      </c>
      <c r="AF684" s="15">
        <f t="shared" si="437"/>
        <v>1</v>
      </c>
      <c r="AG684" s="15">
        <f t="shared" si="438"/>
        <v>1</v>
      </c>
      <c r="AH684" s="15">
        <f t="shared" si="439"/>
        <v>1</v>
      </c>
      <c r="AI684" s="15">
        <f t="shared" si="440"/>
        <v>1</v>
      </c>
      <c r="AJ684" s="15">
        <f t="shared" si="441"/>
        <v>1</v>
      </c>
      <c r="AK684" s="15">
        <f t="shared" si="442"/>
        <v>1</v>
      </c>
      <c r="AL684" s="15">
        <f t="shared" si="443"/>
        <v>1</v>
      </c>
      <c r="AM684" s="15">
        <f t="shared" si="444"/>
        <v>1</v>
      </c>
      <c r="AN684" s="15">
        <f t="shared" si="445"/>
        <v>1</v>
      </c>
      <c r="AO684" s="15">
        <f t="shared" si="446"/>
        <v>1</v>
      </c>
      <c r="AP684" s="15">
        <f t="shared" si="447"/>
        <v>1</v>
      </c>
      <c r="AQ684" s="15">
        <f t="shared" si="448"/>
        <v>1</v>
      </c>
      <c r="AR684" s="15">
        <f t="shared" si="449"/>
        <v>1</v>
      </c>
      <c r="AS684" s="15">
        <f t="shared" si="450"/>
        <v>1</v>
      </c>
      <c r="AT684" s="15">
        <f t="shared" si="451"/>
        <v>1</v>
      </c>
      <c r="AU684" s="15">
        <f t="shared" si="452"/>
        <v>1</v>
      </c>
      <c r="AV684" s="15">
        <f t="shared" si="453"/>
        <v>1</v>
      </c>
      <c r="AW684" s="15">
        <f t="shared" si="454"/>
        <v>1</v>
      </c>
      <c r="AX684" s="15">
        <f t="shared" si="455"/>
        <v>1</v>
      </c>
      <c r="AY684" s="15">
        <f t="shared" si="456"/>
        <v>1</v>
      </c>
      <c r="AZ684" s="15">
        <f t="shared" si="457"/>
        <v>1</v>
      </c>
      <c r="BA684" s="15">
        <f t="shared" si="458"/>
        <v>1</v>
      </c>
      <c r="BB684" s="15">
        <f t="shared" si="426"/>
        <v>0</v>
      </c>
      <c r="BC684" s="15" t="str">
        <f t="shared" si="427"/>
        <v/>
      </c>
      <c r="BD684" s="15" t="str">
        <f t="shared" si="428"/>
        <v/>
      </c>
      <c r="BE684" s="11" t="e">
        <f t="shared" si="459"/>
        <v>#VALUE!</v>
      </c>
      <c r="BF684" s="11" t="e">
        <f t="shared" si="460"/>
        <v>#VALUE!</v>
      </c>
      <c r="BG684" s="11" t="e">
        <f t="shared" si="461"/>
        <v>#VALUE!</v>
      </c>
      <c r="BH684" t="str">
        <f t="shared" si="462"/>
        <v/>
      </c>
      <c r="BI684" t="str" cm="1">
        <f t="array" ref="BI684">_xlfn.IFS(
  L684&gt;0,"Critical Fail",
  M684&gt;0,"Important (Coaching)",
  TRUE,"Clean Pass"
)</f>
        <v>Clean Pass</v>
      </c>
      <c r="BJ684" t="str">
        <f t="shared" si="463"/>
        <v>NA</v>
      </c>
    </row>
    <row r="685" spans="1:62" x14ac:dyDescent="0.3">
      <c r="A685">
        <v>236595</v>
      </c>
      <c r="K685" t="str">
        <f t="shared" si="425"/>
        <v>Pass</v>
      </c>
      <c r="L685" s="15">
        <f t="shared" si="429"/>
        <v>0</v>
      </c>
      <c r="M685" s="15">
        <f t="shared" si="430"/>
        <v>0</v>
      </c>
      <c r="Z685" s="15">
        <f t="shared" si="431"/>
        <v>1</v>
      </c>
      <c r="AA685" s="15">
        <f t="shared" si="432"/>
        <v>1</v>
      </c>
      <c r="AB685" s="15">
        <f t="shared" si="433"/>
        <v>1</v>
      </c>
      <c r="AC685" s="15">
        <f t="shared" si="434"/>
        <v>1</v>
      </c>
      <c r="AD685" s="15">
        <f t="shared" si="435"/>
        <v>1</v>
      </c>
      <c r="AE685" s="15">
        <f t="shared" si="436"/>
        <v>1</v>
      </c>
      <c r="AF685" s="15">
        <f t="shared" si="437"/>
        <v>1</v>
      </c>
      <c r="AG685" s="15">
        <f t="shared" si="438"/>
        <v>1</v>
      </c>
      <c r="AH685" s="15">
        <f t="shared" si="439"/>
        <v>1</v>
      </c>
      <c r="AI685" s="15">
        <f t="shared" si="440"/>
        <v>1</v>
      </c>
      <c r="AJ685" s="15">
        <f t="shared" si="441"/>
        <v>1</v>
      </c>
      <c r="AK685" s="15">
        <f t="shared" si="442"/>
        <v>1</v>
      </c>
      <c r="AL685" s="15">
        <f t="shared" si="443"/>
        <v>1</v>
      </c>
      <c r="AM685" s="15">
        <f t="shared" si="444"/>
        <v>1</v>
      </c>
      <c r="AN685" s="15">
        <f t="shared" si="445"/>
        <v>1</v>
      </c>
      <c r="AO685" s="15">
        <f t="shared" si="446"/>
        <v>1</v>
      </c>
      <c r="AP685" s="15">
        <f t="shared" si="447"/>
        <v>1</v>
      </c>
      <c r="AQ685" s="15">
        <f t="shared" si="448"/>
        <v>1</v>
      </c>
      <c r="AR685" s="15">
        <f t="shared" si="449"/>
        <v>1</v>
      </c>
      <c r="AS685" s="15">
        <f t="shared" si="450"/>
        <v>1</v>
      </c>
      <c r="AT685" s="15">
        <f t="shared" si="451"/>
        <v>1</v>
      </c>
      <c r="AU685" s="15">
        <f t="shared" si="452"/>
        <v>1</v>
      </c>
      <c r="AV685" s="15">
        <f t="shared" si="453"/>
        <v>1</v>
      </c>
      <c r="AW685" s="15">
        <f t="shared" si="454"/>
        <v>1</v>
      </c>
      <c r="AX685" s="15">
        <f t="shared" si="455"/>
        <v>1</v>
      </c>
      <c r="AY685" s="15">
        <f t="shared" si="456"/>
        <v>1</v>
      </c>
      <c r="AZ685" s="15">
        <f t="shared" si="457"/>
        <v>1</v>
      </c>
      <c r="BA685" s="15">
        <f t="shared" si="458"/>
        <v>1</v>
      </c>
      <c r="BB685" s="15">
        <f t="shared" si="426"/>
        <v>0</v>
      </c>
      <c r="BC685" s="15" t="str">
        <f t="shared" si="427"/>
        <v/>
      </c>
      <c r="BD685" s="15" t="str">
        <f t="shared" si="428"/>
        <v/>
      </c>
      <c r="BE685" s="11" t="e">
        <f t="shared" si="459"/>
        <v>#VALUE!</v>
      </c>
      <c r="BF685" s="11" t="e">
        <f t="shared" si="460"/>
        <v>#VALUE!</v>
      </c>
      <c r="BG685" s="11" t="e">
        <f t="shared" si="461"/>
        <v>#VALUE!</v>
      </c>
      <c r="BH685" t="str">
        <f t="shared" si="462"/>
        <v/>
      </c>
      <c r="BI685" t="str" cm="1">
        <f t="array" ref="BI685">_xlfn.IFS(
  L685&gt;0,"Critical Fail",
  M685&gt;0,"Important (Coaching)",
  TRUE,"Clean Pass"
)</f>
        <v>Clean Pass</v>
      </c>
      <c r="BJ685" t="str">
        <f t="shared" si="463"/>
        <v>NA</v>
      </c>
    </row>
    <row r="686" spans="1:62" x14ac:dyDescent="0.3">
      <c r="A686">
        <v>560018</v>
      </c>
      <c r="K686" t="str">
        <f t="shared" si="425"/>
        <v>Pass</v>
      </c>
      <c r="L686" s="15">
        <f t="shared" si="429"/>
        <v>0</v>
      </c>
      <c r="M686" s="15">
        <f t="shared" si="430"/>
        <v>0</v>
      </c>
      <c r="Z686" s="15">
        <f t="shared" si="431"/>
        <v>1</v>
      </c>
      <c r="AA686" s="15">
        <f t="shared" si="432"/>
        <v>1</v>
      </c>
      <c r="AB686" s="15">
        <f t="shared" si="433"/>
        <v>1</v>
      </c>
      <c r="AC686" s="15">
        <f t="shared" si="434"/>
        <v>1</v>
      </c>
      <c r="AD686" s="15">
        <f t="shared" si="435"/>
        <v>1</v>
      </c>
      <c r="AE686" s="15">
        <f t="shared" si="436"/>
        <v>1</v>
      </c>
      <c r="AF686" s="15">
        <f t="shared" si="437"/>
        <v>1</v>
      </c>
      <c r="AG686" s="15">
        <f t="shared" si="438"/>
        <v>1</v>
      </c>
      <c r="AH686" s="15">
        <f t="shared" si="439"/>
        <v>1</v>
      </c>
      <c r="AI686" s="15">
        <f t="shared" si="440"/>
        <v>1</v>
      </c>
      <c r="AJ686" s="15">
        <f t="shared" si="441"/>
        <v>1</v>
      </c>
      <c r="AK686" s="15">
        <f t="shared" si="442"/>
        <v>1</v>
      </c>
      <c r="AL686" s="15">
        <f t="shared" si="443"/>
        <v>1</v>
      </c>
      <c r="AM686" s="15">
        <f t="shared" si="444"/>
        <v>1</v>
      </c>
      <c r="AN686" s="15">
        <f t="shared" si="445"/>
        <v>1</v>
      </c>
      <c r="AO686" s="15">
        <f t="shared" si="446"/>
        <v>1</v>
      </c>
      <c r="AP686" s="15">
        <f t="shared" si="447"/>
        <v>1</v>
      </c>
      <c r="AQ686" s="15">
        <f t="shared" si="448"/>
        <v>1</v>
      </c>
      <c r="AR686" s="15">
        <f t="shared" si="449"/>
        <v>1</v>
      </c>
      <c r="AS686" s="15">
        <f t="shared" si="450"/>
        <v>1</v>
      </c>
      <c r="AT686" s="15">
        <f t="shared" si="451"/>
        <v>1</v>
      </c>
      <c r="AU686" s="15">
        <f t="shared" si="452"/>
        <v>1</v>
      </c>
      <c r="AV686" s="15">
        <f t="shared" si="453"/>
        <v>1</v>
      </c>
      <c r="AW686" s="15">
        <f t="shared" si="454"/>
        <v>1</v>
      </c>
      <c r="AX686" s="15">
        <f t="shared" si="455"/>
        <v>1</v>
      </c>
      <c r="AY686" s="15">
        <f t="shared" si="456"/>
        <v>1</v>
      </c>
      <c r="AZ686" s="15">
        <f t="shared" si="457"/>
        <v>1</v>
      </c>
      <c r="BA686" s="15">
        <f t="shared" si="458"/>
        <v>1</v>
      </c>
      <c r="BB686" s="15">
        <f t="shared" si="426"/>
        <v>0</v>
      </c>
      <c r="BC686" s="15" t="str">
        <f t="shared" si="427"/>
        <v/>
      </c>
      <c r="BD686" s="15" t="str">
        <f t="shared" si="428"/>
        <v/>
      </c>
      <c r="BE686" s="11" t="e">
        <f t="shared" si="459"/>
        <v>#VALUE!</v>
      </c>
      <c r="BF686" s="11" t="e">
        <f t="shared" si="460"/>
        <v>#VALUE!</v>
      </c>
      <c r="BG686" s="11" t="e">
        <f t="shared" si="461"/>
        <v>#VALUE!</v>
      </c>
      <c r="BH686" t="str">
        <f t="shared" si="462"/>
        <v/>
      </c>
      <c r="BI686" t="str" cm="1">
        <f t="array" ref="BI686">_xlfn.IFS(
  L686&gt;0,"Critical Fail",
  M686&gt;0,"Important (Coaching)",
  TRUE,"Clean Pass"
)</f>
        <v>Clean Pass</v>
      </c>
      <c r="BJ686" t="str">
        <f t="shared" si="463"/>
        <v>NA</v>
      </c>
    </row>
    <row r="687" spans="1:62" x14ac:dyDescent="0.3">
      <c r="A687">
        <v>459542</v>
      </c>
      <c r="K687" t="str">
        <f t="shared" si="425"/>
        <v>Pass</v>
      </c>
      <c r="L687" s="15">
        <f t="shared" si="429"/>
        <v>0</v>
      </c>
      <c r="M687" s="15">
        <f t="shared" si="430"/>
        <v>0</v>
      </c>
      <c r="Z687" s="15">
        <f t="shared" si="431"/>
        <v>1</v>
      </c>
      <c r="AA687" s="15">
        <f t="shared" si="432"/>
        <v>1</v>
      </c>
      <c r="AB687" s="15">
        <f t="shared" si="433"/>
        <v>1</v>
      </c>
      <c r="AC687" s="15">
        <f t="shared" si="434"/>
        <v>1</v>
      </c>
      <c r="AD687" s="15">
        <f t="shared" si="435"/>
        <v>1</v>
      </c>
      <c r="AE687" s="15">
        <f t="shared" si="436"/>
        <v>1</v>
      </c>
      <c r="AF687" s="15">
        <f t="shared" si="437"/>
        <v>1</v>
      </c>
      <c r="AG687" s="15">
        <f t="shared" si="438"/>
        <v>1</v>
      </c>
      <c r="AH687" s="15">
        <f t="shared" si="439"/>
        <v>1</v>
      </c>
      <c r="AI687" s="15">
        <f t="shared" si="440"/>
        <v>1</v>
      </c>
      <c r="AJ687" s="15">
        <f t="shared" si="441"/>
        <v>1</v>
      </c>
      <c r="AK687" s="15">
        <f t="shared" si="442"/>
        <v>1</v>
      </c>
      <c r="AL687" s="15">
        <f t="shared" si="443"/>
        <v>1</v>
      </c>
      <c r="AM687" s="15">
        <f t="shared" si="444"/>
        <v>1</v>
      </c>
      <c r="AN687" s="15">
        <f t="shared" si="445"/>
        <v>1</v>
      </c>
      <c r="AO687" s="15">
        <f t="shared" si="446"/>
        <v>1</v>
      </c>
      <c r="AP687" s="15">
        <f t="shared" si="447"/>
        <v>1</v>
      </c>
      <c r="AQ687" s="15">
        <f t="shared" si="448"/>
        <v>1</v>
      </c>
      <c r="AR687" s="15">
        <f t="shared" si="449"/>
        <v>1</v>
      </c>
      <c r="AS687" s="15">
        <f t="shared" si="450"/>
        <v>1</v>
      </c>
      <c r="AT687" s="15">
        <f t="shared" si="451"/>
        <v>1</v>
      </c>
      <c r="AU687" s="15">
        <f t="shared" si="452"/>
        <v>1</v>
      </c>
      <c r="AV687" s="15">
        <f t="shared" si="453"/>
        <v>1</v>
      </c>
      <c r="AW687" s="15">
        <f t="shared" si="454"/>
        <v>1</v>
      </c>
      <c r="AX687" s="15">
        <f t="shared" si="455"/>
        <v>1</v>
      </c>
      <c r="AY687" s="15">
        <f t="shared" si="456"/>
        <v>1</v>
      </c>
      <c r="AZ687" s="15">
        <f t="shared" si="457"/>
        <v>1</v>
      </c>
      <c r="BA687" s="15">
        <f t="shared" si="458"/>
        <v>1</v>
      </c>
      <c r="BB687" s="15">
        <f t="shared" si="426"/>
        <v>0</v>
      </c>
      <c r="BC687" s="15" t="str">
        <f t="shared" si="427"/>
        <v/>
      </c>
      <c r="BD687" s="15" t="str">
        <f t="shared" si="428"/>
        <v/>
      </c>
      <c r="BE687" s="11" t="e">
        <f t="shared" si="459"/>
        <v>#VALUE!</v>
      </c>
      <c r="BF687" s="11" t="e">
        <f t="shared" si="460"/>
        <v>#VALUE!</v>
      </c>
      <c r="BG687" s="11" t="e">
        <f t="shared" si="461"/>
        <v>#VALUE!</v>
      </c>
      <c r="BH687" t="str">
        <f t="shared" si="462"/>
        <v/>
      </c>
      <c r="BI687" t="str" cm="1">
        <f t="array" ref="BI687">_xlfn.IFS(
  L687&gt;0,"Critical Fail",
  M687&gt;0,"Important (Coaching)",
  TRUE,"Clean Pass"
)</f>
        <v>Clean Pass</v>
      </c>
      <c r="BJ687" t="str">
        <f t="shared" si="463"/>
        <v>NA</v>
      </c>
    </row>
    <row r="688" spans="1:62" x14ac:dyDescent="0.3">
      <c r="A688">
        <v>519786</v>
      </c>
      <c r="K688" t="str">
        <f t="shared" si="425"/>
        <v>Pass</v>
      </c>
      <c r="L688" s="15">
        <f t="shared" si="429"/>
        <v>0</v>
      </c>
      <c r="M688" s="15">
        <f t="shared" si="430"/>
        <v>0</v>
      </c>
      <c r="Z688" s="15">
        <f t="shared" si="431"/>
        <v>1</v>
      </c>
      <c r="AA688" s="15">
        <f t="shared" si="432"/>
        <v>1</v>
      </c>
      <c r="AB688" s="15">
        <f t="shared" si="433"/>
        <v>1</v>
      </c>
      <c r="AC688" s="15">
        <f t="shared" si="434"/>
        <v>1</v>
      </c>
      <c r="AD688" s="15">
        <f t="shared" si="435"/>
        <v>1</v>
      </c>
      <c r="AE688" s="15">
        <f t="shared" si="436"/>
        <v>1</v>
      </c>
      <c r="AF688" s="15">
        <f t="shared" si="437"/>
        <v>1</v>
      </c>
      <c r="AG688" s="15">
        <f t="shared" si="438"/>
        <v>1</v>
      </c>
      <c r="AH688" s="15">
        <f t="shared" si="439"/>
        <v>1</v>
      </c>
      <c r="AI688" s="15">
        <f t="shared" si="440"/>
        <v>1</v>
      </c>
      <c r="AJ688" s="15">
        <f t="shared" si="441"/>
        <v>1</v>
      </c>
      <c r="AK688" s="15">
        <f t="shared" si="442"/>
        <v>1</v>
      </c>
      <c r="AL688" s="15">
        <f t="shared" si="443"/>
        <v>1</v>
      </c>
      <c r="AM688" s="15">
        <f t="shared" si="444"/>
        <v>1</v>
      </c>
      <c r="AN688" s="15">
        <f t="shared" si="445"/>
        <v>1</v>
      </c>
      <c r="AO688" s="15">
        <f t="shared" si="446"/>
        <v>1</v>
      </c>
      <c r="AP688" s="15">
        <f t="shared" si="447"/>
        <v>1</v>
      </c>
      <c r="AQ688" s="15">
        <f t="shared" si="448"/>
        <v>1</v>
      </c>
      <c r="AR688" s="15">
        <f t="shared" si="449"/>
        <v>1</v>
      </c>
      <c r="AS688" s="15">
        <f t="shared" si="450"/>
        <v>1</v>
      </c>
      <c r="AT688" s="15">
        <f t="shared" si="451"/>
        <v>1</v>
      </c>
      <c r="AU688" s="15">
        <f t="shared" si="452"/>
        <v>1</v>
      </c>
      <c r="AV688" s="15">
        <f t="shared" si="453"/>
        <v>1</v>
      </c>
      <c r="AW688" s="15">
        <f t="shared" si="454"/>
        <v>1</v>
      </c>
      <c r="AX688" s="15">
        <f t="shared" si="455"/>
        <v>1</v>
      </c>
      <c r="AY688" s="15">
        <f t="shared" si="456"/>
        <v>1</v>
      </c>
      <c r="AZ688" s="15">
        <f t="shared" si="457"/>
        <v>1</v>
      </c>
      <c r="BA688" s="15">
        <f t="shared" si="458"/>
        <v>1</v>
      </c>
      <c r="BB688" s="15">
        <f t="shared" si="426"/>
        <v>0</v>
      </c>
      <c r="BC688" s="15" t="str">
        <f t="shared" si="427"/>
        <v/>
      </c>
      <c r="BD688" s="15" t="str">
        <f t="shared" si="428"/>
        <v/>
      </c>
      <c r="BE688" s="11" t="e">
        <f t="shared" si="459"/>
        <v>#VALUE!</v>
      </c>
      <c r="BF688" s="11" t="e">
        <f t="shared" si="460"/>
        <v>#VALUE!</v>
      </c>
      <c r="BG688" s="11" t="e">
        <f t="shared" si="461"/>
        <v>#VALUE!</v>
      </c>
      <c r="BH688" t="str">
        <f t="shared" si="462"/>
        <v/>
      </c>
      <c r="BI688" t="str" cm="1">
        <f t="array" ref="BI688">_xlfn.IFS(
  L688&gt;0,"Critical Fail",
  M688&gt;0,"Important (Coaching)",
  TRUE,"Clean Pass"
)</f>
        <v>Clean Pass</v>
      </c>
      <c r="BJ688" t="str">
        <f t="shared" si="463"/>
        <v>NA</v>
      </c>
    </row>
    <row r="689" spans="1:62" x14ac:dyDescent="0.3">
      <c r="A689">
        <v>260994</v>
      </c>
      <c r="K689" t="str">
        <f t="shared" si="425"/>
        <v>Pass</v>
      </c>
      <c r="L689" s="15">
        <f t="shared" si="429"/>
        <v>0</v>
      </c>
      <c r="M689" s="15">
        <f t="shared" si="430"/>
        <v>0</v>
      </c>
      <c r="Z689" s="15">
        <f t="shared" si="431"/>
        <v>1</v>
      </c>
      <c r="AA689" s="15">
        <f t="shared" si="432"/>
        <v>1</v>
      </c>
      <c r="AB689" s="15">
        <f t="shared" si="433"/>
        <v>1</v>
      </c>
      <c r="AC689" s="15">
        <f t="shared" si="434"/>
        <v>1</v>
      </c>
      <c r="AD689" s="15">
        <f t="shared" si="435"/>
        <v>1</v>
      </c>
      <c r="AE689" s="15">
        <f t="shared" si="436"/>
        <v>1</v>
      </c>
      <c r="AF689" s="15">
        <f t="shared" si="437"/>
        <v>1</v>
      </c>
      <c r="AG689" s="15">
        <f t="shared" si="438"/>
        <v>1</v>
      </c>
      <c r="AH689" s="15">
        <f t="shared" si="439"/>
        <v>1</v>
      </c>
      <c r="AI689" s="15">
        <f t="shared" si="440"/>
        <v>1</v>
      </c>
      <c r="AJ689" s="15">
        <f t="shared" si="441"/>
        <v>1</v>
      </c>
      <c r="AK689" s="15">
        <f t="shared" si="442"/>
        <v>1</v>
      </c>
      <c r="AL689" s="15">
        <f t="shared" si="443"/>
        <v>1</v>
      </c>
      <c r="AM689" s="15">
        <f t="shared" si="444"/>
        <v>1</v>
      </c>
      <c r="AN689" s="15">
        <f t="shared" si="445"/>
        <v>1</v>
      </c>
      <c r="AO689" s="15">
        <f t="shared" si="446"/>
        <v>1</v>
      </c>
      <c r="AP689" s="15">
        <f t="shared" si="447"/>
        <v>1</v>
      </c>
      <c r="AQ689" s="15">
        <f t="shared" si="448"/>
        <v>1</v>
      </c>
      <c r="AR689" s="15">
        <f t="shared" si="449"/>
        <v>1</v>
      </c>
      <c r="AS689" s="15">
        <f t="shared" si="450"/>
        <v>1</v>
      </c>
      <c r="AT689" s="15">
        <f t="shared" si="451"/>
        <v>1</v>
      </c>
      <c r="AU689" s="15">
        <f t="shared" si="452"/>
        <v>1</v>
      </c>
      <c r="AV689" s="15">
        <f t="shared" si="453"/>
        <v>1</v>
      </c>
      <c r="AW689" s="15">
        <f t="shared" si="454"/>
        <v>1</v>
      </c>
      <c r="AX689" s="15">
        <f t="shared" si="455"/>
        <v>1</v>
      </c>
      <c r="AY689" s="15">
        <f t="shared" si="456"/>
        <v>1</v>
      </c>
      <c r="AZ689" s="15">
        <f t="shared" si="457"/>
        <v>1</v>
      </c>
      <c r="BA689" s="15">
        <f t="shared" si="458"/>
        <v>1</v>
      </c>
      <c r="BB689" s="15">
        <f t="shared" si="426"/>
        <v>0</v>
      </c>
      <c r="BC689" s="15" t="str">
        <f t="shared" si="427"/>
        <v/>
      </c>
      <c r="BD689" s="15" t="str">
        <f t="shared" si="428"/>
        <v/>
      </c>
      <c r="BE689" s="11" t="e">
        <f t="shared" si="459"/>
        <v>#VALUE!</v>
      </c>
      <c r="BF689" s="11" t="e">
        <f t="shared" si="460"/>
        <v>#VALUE!</v>
      </c>
      <c r="BG689" s="11" t="e">
        <f t="shared" si="461"/>
        <v>#VALUE!</v>
      </c>
      <c r="BH689" t="str">
        <f t="shared" si="462"/>
        <v/>
      </c>
      <c r="BI689" t="str" cm="1">
        <f t="array" ref="BI689">_xlfn.IFS(
  L689&gt;0,"Critical Fail",
  M689&gt;0,"Important (Coaching)",
  TRUE,"Clean Pass"
)</f>
        <v>Clean Pass</v>
      </c>
      <c r="BJ689" t="str">
        <f t="shared" si="463"/>
        <v>NA</v>
      </c>
    </row>
    <row r="690" spans="1:62" x14ac:dyDescent="0.3">
      <c r="A690">
        <v>248892</v>
      </c>
      <c r="K690" t="str">
        <f t="shared" si="425"/>
        <v>Pass</v>
      </c>
      <c r="L690" s="15">
        <f t="shared" si="429"/>
        <v>0</v>
      </c>
      <c r="M690" s="15">
        <f t="shared" si="430"/>
        <v>0</v>
      </c>
      <c r="Z690" s="15">
        <f t="shared" si="431"/>
        <v>1</v>
      </c>
      <c r="AA690" s="15">
        <f t="shared" si="432"/>
        <v>1</v>
      </c>
      <c r="AB690" s="15">
        <f t="shared" si="433"/>
        <v>1</v>
      </c>
      <c r="AC690" s="15">
        <f t="shared" si="434"/>
        <v>1</v>
      </c>
      <c r="AD690" s="15">
        <f t="shared" si="435"/>
        <v>1</v>
      </c>
      <c r="AE690" s="15">
        <f t="shared" si="436"/>
        <v>1</v>
      </c>
      <c r="AF690" s="15">
        <f t="shared" si="437"/>
        <v>1</v>
      </c>
      <c r="AG690" s="15">
        <f t="shared" si="438"/>
        <v>1</v>
      </c>
      <c r="AH690" s="15">
        <f t="shared" si="439"/>
        <v>1</v>
      </c>
      <c r="AI690" s="15">
        <f t="shared" si="440"/>
        <v>1</v>
      </c>
      <c r="AJ690" s="15">
        <f t="shared" si="441"/>
        <v>1</v>
      </c>
      <c r="AK690" s="15">
        <f t="shared" si="442"/>
        <v>1</v>
      </c>
      <c r="AL690" s="15">
        <f t="shared" si="443"/>
        <v>1</v>
      </c>
      <c r="AM690" s="15">
        <f t="shared" si="444"/>
        <v>1</v>
      </c>
      <c r="AN690" s="15">
        <f t="shared" si="445"/>
        <v>1</v>
      </c>
      <c r="AO690" s="15">
        <f t="shared" si="446"/>
        <v>1</v>
      </c>
      <c r="AP690" s="15">
        <f t="shared" si="447"/>
        <v>1</v>
      </c>
      <c r="AQ690" s="15">
        <f t="shared" si="448"/>
        <v>1</v>
      </c>
      <c r="AR690" s="15">
        <f t="shared" si="449"/>
        <v>1</v>
      </c>
      <c r="AS690" s="15">
        <f t="shared" si="450"/>
        <v>1</v>
      </c>
      <c r="AT690" s="15">
        <f t="shared" si="451"/>
        <v>1</v>
      </c>
      <c r="AU690" s="15">
        <f t="shared" si="452"/>
        <v>1</v>
      </c>
      <c r="AV690" s="15">
        <f t="shared" si="453"/>
        <v>1</v>
      </c>
      <c r="AW690" s="15">
        <f t="shared" si="454"/>
        <v>1</v>
      </c>
      <c r="AX690" s="15">
        <f t="shared" si="455"/>
        <v>1</v>
      </c>
      <c r="AY690" s="15">
        <f t="shared" si="456"/>
        <v>1</v>
      </c>
      <c r="AZ690" s="15">
        <f t="shared" si="457"/>
        <v>1</v>
      </c>
      <c r="BA690" s="15">
        <f t="shared" si="458"/>
        <v>1</v>
      </c>
      <c r="BB690" s="15">
        <f t="shared" si="426"/>
        <v>0</v>
      </c>
      <c r="BC690" s="15" t="str">
        <f t="shared" si="427"/>
        <v/>
      </c>
      <c r="BD690" s="15" t="str">
        <f t="shared" si="428"/>
        <v/>
      </c>
      <c r="BE690" s="11" t="e">
        <f t="shared" si="459"/>
        <v>#VALUE!</v>
      </c>
      <c r="BF690" s="11" t="e">
        <f t="shared" si="460"/>
        <v>#VALUE!</v>
      </c>
      <c r="BG690" s="11" t="e">
        <f t="shared" si="461"/>
        <v>#VALUE!</v>
      </c>
      <c r="BH690" t="str">
        <f t="shared" si="462"/>
        <v/>
      </c>
      <c r="BI690" t="str" cm="1">
        <f t="array" ref="BI690">_xlfn.IFS(
  L690&gt;0,"Critical Fail",
  M690&gt;0,"Important (Coaching)",
  TRUE,"Clean Pass"
)</f>
        <v>Clean Pass</v>
      </c>
      <c r="BJ690" t="str">
        <f t="shared" si="463"/>
        <v>NA</v>
      </c>
    </row>
    <row r="691" spans="1:62" x14ac:dyDescent="0.3">
      <c r="A691">
        <v>279773</v>
      </c>
      <c r="K691" t="str">
        <f t="shared" si="425"/>
        <v>Pass</v>
      </c>
      <c r="L691" s="15">
        <f t="shared" si="429"/>
        <v>0</v>
      </c>
      <c r="M691" s="15">
        <f t="shared" si="430"/>
        <v>0</v>
      </c>
      <c r="Z691" s="15">
        <f t="shared" si="431"/>
        <v>1</v>
      </c>
      <c r="AA691" s="15">
        <f t="shared" si="432"/>
        <v>1</v>
      </c>
      <c r="AB691" s="15">
        <f t="shared" si="433"/>
        <v>1</v>
      </c>
      <c r="AC691" s="15">
        <f t="shared" si="434"/>
        <v>1</v>
      </c>
      <c r="AD691" s="15">
        <f t="shared" si="435"/>
        <v>1</v>
      </c>
      <c r="AE691" s="15">
        <f t="shared" si="436"/>
        <v>1</v>
      </c>
      <c r="AF691" s="15">
        <f t="shared" si="437"/>
        <v>1</v>
      </c>
      <c r="AG691" s="15">
        <f t="shared" si="438"/>
        <v>1</v>
      </c>
      <c r="AH691" s="15">
        <f t="shared" si="439"/>
        <v>1</v>
      </c>
      <c r="AI691" s="15">
        <f t="shared" si="440"/>
        <v>1</v>
      </c>
      <c r="AJ691" s="15">
        <f t="shared" si="441"/>
        <v>1</v>
      </c>
      <c r="AK691" s="15">
        <f t="shared" si="442"/>
        <v>1</v>
      </c>
      <c r="AL691" s="15">
        <f t="shared" si="443"/>
        <v>1</v>
      </c>
      <c r="AM691" s="15">
        <f t="shared" si="444"/>
        <v>1</v>
      </c>
      <c r="AN691" s="15">
        <f t="shared" si="445"/>
        <v>1</v>
      </c>
      <c r="AO691" s="15">
        <f t="shared" si="446"/>
        <v>1</v>
      </c>
      <c r="AP691" s="15">
        <f t="shared" si="447"/>
        <v>1</v>
      </c>
      <c r="AQ691" s="15">
        <f t="shared" si="448"/>
        <v>1</v>
      </c>
      <c r="AR691" s="15">
        <f t="shared" si="449"/>
        <v>1</v>
      </c>
      <c r="AS691" s="15">
        <f t="shared" si="450"/>
        <v>1</v>
      </c>
      <c r="AT691" s="15">
        <f t="shared" si="451"/>
        <v>1</v>
      </c>
      <c r="AU691" s="15">
        <f t="shared" si="452"/>
        <v>1</v>
      </c>
      <c r="AV691" s="15">
        <f t="shared" si="453"/>
        <v>1</v>
      </c>
      <c r="AW691" s="15">
        <f t="shared" si="454"/>
        <v>1</v>
      </c>
      <c r="AX691" s="15">
        <f t="shared" si="455"/>
        <v>1</v>
      </c>
      <c r="AY691" s="15">
        <f t="shared" si="456"/>
        <v>1</v>
      </c>
      <c r="AZ691" s="15">
        <f t="shared" si="457"/>
        <v>1</v>
      </c>
      <c r="BA691" s="15">
        <f t="shared" si="458"/>
        <v>1</v>
      </c>
      <c r="BB691" s="15">
        <f t="shared" si="426"/>
        <v>0</v>
      </c>
      <c r="BC691" s="15" t="str">
        <f t="shared" si="427"/>
        <v/>
      </c>
      <c r="BD691" s="15" t="str">
        <f t="shared" si="428"/>
        <v/>
      </c>
      <c r="BE691" s="11" t="e">
        <f t="shared" si="459"/>
        <v>#VALUE!</v>
      </c>
      <c r="BF691" s="11" t="e">
        <f t="shared" si="460"/>
        <v>#VALUE!</v>
      </c>
      <c r="BG691" s="11" t="e">
        <f t="shared" si="461"/>
        <v>#VALUE!</v>
      </c>
      <c r="BH691" t="str">
        <f t="shared" si="462"/>
        <v/>
      </c>
      <c r="BI691" t="str" cm="1">
        <f t="array" ref="BI691">_xlfn.IFS(
  L691&gt;0,"Critical Fail",
  M691&gt;0,"Important (Coaching)",
  TRUE,"Clean Pass"
)</f>
        <v>Clean Pass</v>
      </c>
      <c r="BJ691" t="str">
        <f t="shared" si="463"/>
        <v>NA</v>
      </c>
    </row>
    <row r="692" spans="1:62" x14ac:dyDescent="0.3">
      <c r="A692">
        <v>753830</v>
      </c>
      <c r="K692" t="str">
        <f t="shared" si="425"/>
        <v>Pass</v>
      </c>
      <c r="L692" s="15">
        <f t="shared" si="429"/>
        <v>0</v>
      </c>
      <c r="M692" s="15">
        <f t="shared" si="430"/>
        <v>0</v>
      </c>
      <c r="Z692" s="15">
        <f t="shared" si="431"/>
        <v>1</v>
      </c>
      <c r="AA692" s="15">
        <f t="shared" si="432"/>
        <v>1</v>
      </c>
      <c r="AB692" s="15">
        <f t="shared" si="433"/>
        <v>1</v>
      </c>
      <c r="AC692" s="15">
        <f t="shared" si="434"/>
        <v>1</v>
      </c>
      <c r="AD692" s="15">
        <f t="shared" si="435"/>
        <v>1</v>
      </c>
      <c r="AE692" s="15">
        <f t="shared" si="436"/>
        <v>1</v>
      </c>
      <c r="AF692" s="15">
        <f t="shared" si="437"/>
        <v>1</v>
      </c>
      <c r="AG692" s="15">
        <f t="shared" si="438"/>
        <v>1</v>
      </c>
      <c r="AH692" s="15">
        <f t="shared" si="439"/>
        <v>1</v>
      </c>
      <c r="AI692" s="15">
        <f t="shared" si="440"/>
        <v>1</v>
      </c>
      <c r="AJ692" s="15">
        <f t="shared" si="441"/>
        <v>1</v>
      </c>
      <c r="AK692" s="15">
        <f t="shared" si="442"/>
        <v>1</v>
      </c>
      <c r="AL692" s="15">
        <f t="shared" si="443"/>
        <v>1</v>
      </c>
      <c r="AM692" s="15">
        <f t="shared" si="444"/>
        <v>1</v>
      </c>
      <c r="AN692" s="15">
        <f t="shared" si="445"/>
        <v>1</v>
      </c>
      <c r="AO692" s="15">
        <f t="shared" si="446"/>
        <v>1</v>
      </c>
      <c r="AP692" s="15">
        <f t="shared" si="447"/>
        <v>1</v>
      </c>
      <c r="AQ692" s="15">
        <f t="shared" si="448"/>
        <v>1</v>
      </c>
      <c r="AR692" s="15">
        <f t="shared" si="449"/>
        <v>1</v>
      </c>
      <c r="AS692" s="15">
        <f t="shared" si="450"/>
        <v>1</v>
      </c>
      <c r="AT692" s="15">
        <f t="shared" si="451"/>
        <v>1</v>
      </c>
      <c r="AU692" s="15">
        <f t="shared" si="452"/>
        <v>1</v>
      </c>
      <c r="AV692" s="15">
        <f t="shared" si="453"/>
        <v>1</v>
      </c>
      <c r="AW692" s="15">
        <f t="shared" si="454"/>
        <v>1</v>
      </c>
      <c r="AX692" s="15">
        <f t="shared" si="455"/>
        <v>1</v>
      </c>
      <c r="AY692" s="15">
        <f t="shared" si="456"/>
        <v>1</v>
      </c>
      <c r="AZ692" s="15">
        <f t="shared" si="457"/>
        <v>1</v>
      </c>
      <c r="BA692" s="15">
        <f t="shared" si="458"/>
        <v>1</v>
      </c>
      <c r="BB692" s="15">
        <f t="shared" si="426"/>
        <v>0</v>
      </c>
      <c r="BC692" s="15" t="str">
        <f t="shared" si="427"/>
        <v/>
      </c>
      <c r="BD692" s="15" t="str">
        <f t="shared" si="428"/>
        <v/>
      </c>
      <c r="BE692" s="11" t="e">
        <f t="shared" si="459"/>
        <v>#VALUE!</v>
      </c>
      <c r="BF692" s="11" t="e">
        <f t="shared" si="460"/>
        <v>#VALUE!</v>
      </c>
      <c r="BG692" s="11" t="e">
        <f t="shared" si="461"/>
        <v>#VALUE!</v>
      </c>
      <c r="BH692" t="str">
        <f t="shared" si="462"/>
        <v/>
      </c>
      <c r="BI692" t="str" cm="1">
        <f t="array" ref="BI692">_xlfn.IFS(
  L692&gt;0,"Critical Fail",
  M692&gt;0,"Important (Coaching)",
  TRUE,"Clean Pass"
)</f>
        <v>Clean Pass</v>
      </c>
      <c r="BJ692" t="str">
        <f t="shared" si="463"/>
        <v>NA</v>
      </c>
    </row>
    <row r="693" spans="1:62" x14ac:dyDescent="0.3">
      <c r="A693">
        <v>162937</v>
      </c>
      <c r="K693" t="str">
        <f t="shared" si="425"/>
        <v>Pass</v>
      </c>
      <c r="L693" s="15">
        <f t="shared" si="429"/>
        <v>0</v>
      </c>
      <c r="M693" s="15">
        <f t="shared" si="430"/>
        <v>0</v>
      </c>
      <c r="Z693" s="15">
        <f t="shared" si="431"/>
        <v>1</v>
      </c>
      <c r="AA693" s="15">
        <f t="shared" si="432"/>
        <v>1</v>
      </c>
      <c r="AB693" s="15">
        <f t="shared" si="433"/>
        <v>1</v>
      </c>
      <c r="AC693" s="15">
        <f t="shared" si="434"/>
        <v>1</v>
      </c>
      <c r="AD693" s="15">
        <f t="shared" si="435"/>
        <v>1</v>
      </c>
      <c r="AE693" s="15">
        <f t="shared" si="436"/>
        <v>1</v>
      </c>
      <c r="AF693" s="15">
        <f t="shared" si="437"/>
        <v>1</v>
      </c>
      <c r="AG693" s="15">
        <f t="shared" si="438"/>
        <v>1</v>
      </c>
      <c r="AH693" s="15">
        <f t="shared" si="439"/>
        <v>1</v>
      </c>
      <c r="AI693" s="15">
        <f t="shared" si="440"/>
        <v>1</v>
      </c>
      <c r="AJ693" s="15">
        <f t="shared" si="441"/>
        <v>1</v>
      </c>
      <c r="AK693" s="15">
        <f t="shared" si="442"/>
        <v>1</v>
      </c>
      <c r="AL693" s="15">
        <f t="shared" si="443"/>
        <v>1</v>
      </c>
      <c r="AM693" s="15">
        <f t="shared" si="444"/>
        <v>1</v>
      </c>
      <c r="AN693" s="15">
        <f t="shared" si="445"/>
        <v>1</v>
      </c>
      <c r="AO693" s="15">
        <f t="shared" si="446"/>
        <v>1</v>
      </c>
      <c r="AP693" s="15">
        <f t="shared" si="447"/>
        <v>1</v>
      </c>
      <c r="AQ693" s="15">
        <f t="shared" si="448"/>
        <v>1</v>
      </c>
      <c r="AR693" s="15">
        <f t="shared" si="449"/>
        <v>1</v>
      </c>
      <c r="AS693" s="15">
        <f t="shared" si="450"/>
        <v>1</v>
      </c>
      <c r="AT693" s="15">
        <f t="shared" si="451"/>
        <v>1</v>
      </c>
      <c r="AU693" s="15">
        <f t="shared" si="452"/>
        <v>1</v>
      </c>
      <c r="AV693" s="15">
        <f t="shared" si="453"/>
        <v>1</v>
      </c>
      <c r="AW693" s="15">
        <f t="shared" si="454"/>
        <v>1</v>
      </c>
      <c r="AX693" s="15">
        <f t="shared" si="455"/>
        <v>1</v>
      </c>
      <c r="AY693" s="15">
        <f t="shared" si="456"/>
        <v>1</v>
      </c>
      <c r="AZ693" s="15">
        <f t="shared" si="457"/>
        <v>1</v>
      </c>
      <c r="BA693" s="15">
        <f t="shared" si="458"/>
        <v>1</v>
      </c>
      <c r="BB693" s="15">
        <f t="shared" si="426"/>
        <v>0</v>
      </c>
      <c r="BC693" s="15" t="str">
        <f t="shared" si="427"/>
        <v/>
      </c>
      <c r="BD693" s="15" t="str">
        <f t="shared" si="428"/>
        <v/>
      </c>
      <c r="BE693" s="11" t="e">
        <f t="shared" si="459"/>
        <v>#VALUE!</v>
      </c>
      <c r="BF693" s="11" t="e">
        <f t="shared" si="460"/>
        <v>#VALUE!</v>
      </c>
      <c r="BG693" s="11" t="e">
        <f t="shared" si="461"/>
        <v>#VALUE!</v>
      </c>
      <c r="BH693" t="str">
        <f t="shared" si="462"/>
        <v/>
      </c>
      <c r="BI693" t="str" cm="1">
        <f t="array" ref="BI693">_xlfn.IFS(
  L693&gt;0,"Critical Fail",
  M693&gt;0,"Important (Coaching)",
  TRUE,"Clean Pass"
)</f>
        <v>Clean Pass</v>
      </c>
      <c r="BJ693" t="str">
        <f t="shared" si="463"/>
        <v>NA</v>
      </c>
    </row>
    <row r="694" spans="1:62" x14ac:dyDescent="0.3">
      <c r="A694">
        <v>740055</v>
      </c>
      <c r="K694" t="str">
        <f t="shared" si="425"/>
        <v>Pass</v>
      </c>
      <c r="L694" s="15">
        <f t="shared" si="429"/>
        <v>0</v>
      </c>
      <c r="M694" s="15">
        <f t="shared" si="430"/>
        <v>0</v>
      </c>
      <c r="Z694" s="15">
        <f t="shared" si="431"/>
        <v>1</v>
      </c>
      <c r="AA694" s="15">
        <f t="shared" si="432"/>
        <v>1</v>
      </c>
      <c r="AB694" s="15">
        <f t="shared" si="433"/>
        <v>1</v>
      </c>
      <c r="AC694" s="15">
        <f t="shared" si="434"/>
        <v>1</v>
      </c>
      <c r="AD694" s="15">
        <f t="shared" si="435"/>
        <v>1</v>
      </c>
      <c r="AE694" s="15">
        <f t="shared" si="436"/>
        <v>1</v>
      </c>
      <c r="AF694" s="15">
        <f t="shared" si="437"/>
        <v>1</v>
      </c>
      <c r="AG694" s="15">
        <f t="shared" si="438"/>
        <v>1</v>
      </c>
      <c r="AH694" s="15">
        <f t="shared" si="439"/>
        <v>1</v>
      </c>
      <c r="AI694" s="15">
        <f t="shared" si="440"/>
        <v>1</v>
      </c>
      <c r="AJ694" s="15">
        <f t="shared" si="441"/>
        <v>1</v>
      </c>
      <c r="AK694" s="15">
        <f t="shared" si="442"/>
        <v>1</v>
      </c>
      <c r="AL694" s="15">
        <f t="shared" si="443"/>
        <v>1</v>
      </c>
      <c r="AM694" s="15">
        <f t="shared" si="444"/>
        <v>1</v>
      </c>
      <c r="AN694" s="15">
        <f t="shared" si="445"/>
        <v>1</v>
      </c>
      <c r="AO694" s="15">
        <f t="shared" si="446"/>
        <v>1</v>
      </c>
      <c r="AP694" s="15">
        <f t="shared" si="447"/>
        <v>1</v>
      </c>
      <c r="AQ694" s="15">
        <f t="shared" si="448"/>
        <v>1</v>
      </c>
      <c r="AR694" s="15">
        <f t="shared" si="449"/>
        <v>1</v>
      </c>
      <c r="AS694" s="15">
        <f t="shared" si="450"/>
        <v>1</v>
      </c>
      <c r="AT694" s="15">
        <f t="shared" si="451"/>
        <v>1</v>
      </c>
      <c r="AU694" s="15">
        <f t="shared" si="452"/>
        <v>1</v>
      </c>
      <c r="AV694" s="15">
        <f t="shared" si="453"/>
        <v>1</v>
      </c>
      <c r="AW694" s="15">
        <f t="shared" si="454"/>
        <v>1</v>
      </c>
      <c r="AX694" s="15">
        <f t="shared" si="455"/>
        <v>1</v>
      </c>
      <c r="AY694" s="15">
        <f t="shared" si="456"/>
        <v>1</v>
      </c>
      <c r="AZ694" s="15">
        <f t="shared" si="457"/>
        <v>1</v>
      </c>
      <c r="BA694" s="15">
        <f t="shared" si="458"/>
        <v>1</v>
      </c>
      <c r="BB694" s="15">
        <f t="shared" si="426"/>
        <v>0</v>
      </c>
      <c r="BC694" s="15" t="str">
        <f t="shared" si="427"/>
        <v/>
      </c>
      <c r="BD694" s="15" t="str">
        <f t="shared" si="428"/>
        <v/>
      </c>
      <c r="BE694" s="11" t="e">
        <f t="shared" si="459"/>
        <v>#VALUE!</v>
      </c>
      <c r="BF694" s="11" t="e">
        <f t="shared" si="460"/>
        <v>#VALUE!</v>
      </c>
      <c r="BG694" s="11" t="e">
        <f t="shared" si="461"/>
        <v>#VALUE!</v>
      </c>
      <c r="BH694" t="str">
        <f t="shared" si="462"/>
        <v/>
      </c>
      <c r="BI694" t="str" cm="1">
        <f t="array" ref="BI694">_xlfn.IFS(
  L694&gt;0,"Critical Fail",
  M694&gt;0,"Important (Coaching)",
  TRUE,"Clean Pass"
)</f>
        <v>Clean Pass</v>
      </c>
      <c r="BJ694" t="str">
        <f t="shared" si="463"/>
        <v>NA</v>
      </c>
    </row>
    <row r="695" spans="1:62" x14ac:dyDescent="0.3">
      <c r="A695">
        <v>414603</v>
      </c>
      <c r="K695" t="str">
        <f t="shared" si="425"/>
        <v>Pass</v>
      </c>
      <c r="L695" s="15">
        <f t="shared" si="429"/>
        <v>0</v>
      </c>
      <c r="M695" s="15">
        <f t="shared" si="430"/>
        <v>0</v>
      </c>
      <c r="Z695" s="15">
        <f t="shared" si="431"/>
        <v>1</v>
      </c>
      <c r="AA695" s="15">
        <f t="shared" si="432"/>
        <v>1</v>
      </c>
      <c r="AB695" s="15">
        <f t="shared" si="433"/>
        <v>1</v>
      </c>
      <c r="AC695" s="15">
        <f t="shared" si="434"/>
        <v>1</v>
      </c>
      <c r="AD695" s="15">
        <f t="shared" si="435"/>
        <v>1</v>
      </c>
      <c r="AE695" s="15">
        <f t="shared" si="436"/>
        <v>1</v>
      </c>
      <c r="AF695" s="15">
        <f t="shared" si="437"/>
        <v>1</v>
      </c>
      <c r="AG695" s="15">
        <f t="shared" si="438"/>
        <v>1</v>
      </c>
      <c r="AH695" s="15">
        <f t="shared" si="439"/>
        <v>1</v>
      </c>
      <c r="AI695" s="15">
        <f t="shared" si="440"/>
        <v>1</v>
      </c>
      <c r="AJ695" s="15">
        <f t="shared" si="441"/>
        <v>1</v>
      </c>
      <c r="AK695" s="15">
        <f t="shared" si="442"/>
        <v>1</v>
      </c>
      <c r="AL695" s="15">
        <f t="shared" si="443"/>
        <v>1</v>
      </c>
      <c r="AM695" s="15">
        <f t="shared" si="444"/>
        <v>1</v>
      </c>
      <c r="AN695" s="15">
        <f t="shared" si="445"/>
        <v>1</v>
      </c>
      <c r="AO695" s="15">
        <f t="shared" si="446"/>
        <v>1</v>
      </c>
      <c r="AP695" s="15">
        <f t="shared" si="447"/>
        <v>1</v>
      </c>
      <c r="AQ695" s="15">
        <f t="shared" si="448"/>
        <v>1</v>
      </c>
      <c r="AR695" s="15">
        <f t="shared" si="449"/>
        <v>1</v>
      </c>
      <c r="AS695" s="15">
        <f t="shared" si="450"/>
        <v>1</v>
      </c>
      <c r="AT695" s="15">
        <f t="shared" si="451"/>
        <v>1</v>
      </c>
      <c r="AU695" s="15">
        <f t="shared" si="452"/>
        <v>1</v>
      </c>
      <c r="AV695" s="15">
        <f t="shared" si="453"/>
        <v>1</v>
      </c>
      <c r="AW695" s="15">
        <f t="shared" si="454"/>
        <v>1</v>
      </c>
      <c r="AX695" s="15">
        <f t="shared" si="455"/>
        <v>1</v>
      </c>
      <c r="AY695" s="15">
        <f t="shared" si="456"/>
        <v>1</v>
      </c>
      <c r="AZ695" s="15">
        <f t="shared" si="457"/>
        <v>1</v>
      </c>
      <c r="BA695" s="15">
        <f t="shared" si="458"/>
        <v>1</v>
      </c>
      <c r="BB695" s="15">
        <f t="shared" si="426"/>
        <v>0</v>
      </c>
      <c r="BC695" s="15" t="str">
        <f t="shared" si="427"/>
        <v/>
      </c>
      <c r="BD695" s="15" t="str">
        <f t="shared" si="428"/>
        <v/>
      </c>
      <c r="BE695" s="11" t="e">
        <f t="shared" si="459"/>
        <v>#VALUE!</v>
      </c>
      <c r="BF695" s="11" t="e">
        <f t="shared" si="460"/>
        <v>#VALUE!</v>
      </c>
      <c r="BG695" s="11" t="e">
        <f t="shared" si="461"/>
        <v>#VALUE!</v>
      </c>
      <c r="BH695" t="str">
        <f t="shared" si="462"/>
        <v/>
      </c>
      <c r="BI695" t="str" cm="1">
        <f t="array" ref="BI695">_xlfn.IFS(
  L695&gt;0,"Critical Fail",
  M695&gt;0,"Important (Coaching)",
  TRUE,"Clean Pass"
)</f>
        <v>Clean Pass</v>
      </c>
      <c r="BJ695" t="str">
        <f t="shared" si="463"/>
        <v>NA</v>
      </c>
    </row>
    <row r="696" spans="1:62" x14ac:dyDescent="0.3">
      <c r="A696">
        <v>823363</v>
      </c>
      <c r="K696" t="str">
        <f t="shared" si="425"/>
        <v>Pass</v>
      </c>
      <c r="L696" s="15">
        <f t="shared" si="429"/>
        <v>0</v>
      </c>
      <c r="M696" s="15">
        <f t="shared" si="430"/>
        <v>0</v>
      </c>
      <c r="Z696" s="15">
        <f t="shared" si="431"/>
        <v>1</v>
      </c>
      <c r="AA696" s="15">
        <f t="shared" si="432"/>
        <v>1</v>
      </c>
      <c r="AB696" s="15">
        <f t="shared" si="433"/>
        <v>1</v>
      </c>
      <c r="AC696" s="15">
        <f t="shared" si="434"/>
        <v>1</v>
      </c>
      <c r="AD696" s="15">
        <f t="shared" si="435"/>
        <v>1</v>
      </c>
      <c r="AE696" s="15">
        <f t="shared" si="436"/>
        <v>1</v>
      </c>
      <c r="AF696" s="15">
        <f t="shared" si="437"/>
        <v>1</v>
      </c>
      <c r="AG696" s="15">
        <f t="shared" si="438"/>
        <v>1</v>
      </c>
      <c r="AH696" s="15">
        <f t="shared" si="439"/>
        <v>1</v>
      </c>
      <c r="AI696" s="15">
        <f t="shared" si="440"/>
        <v>1</v>
      </c>
      <c r="AJ696" s="15">
        <f t="shared" si="441"/>
        <v>1</v>
      </c>
      <c r="AK696" s="15">
        <f t="shared" si="442"/>
        <v>1</v>
      </c>
      <c r="AL696" s="15">
        <f t="shared" si="443"/>
        <v>1</v>
      </c>
      <c r="AM696" s="15">
        <f t="shared" si="444"/>
        <v>1</v>
      </c>
      <c r="AN696" s="15">
        <f t="shared" si="445"/>
        <v>1</v>
      </c>
      <c r="AO696" s="15">
        <f t="shared" si="446"/>
        <v>1</v>
      </c>
      <c r="AP696" s="15">
        <f t="shared" si="447"/>
        <v>1</v>
      </c>
      <c r="AQ696" s="15">
        <f t="shared" si="448"/>
        <v>1</v>
      </c>
      <c r="AR696" s="15">
        <f t="shared" si="449"/>
        <v>1</v>
      </c>
      <c r="AS696" s="15">
        <f t="shared" si="450"/>
        <v>1</v>
      </c>
      <c r="AT696" s="15">
        <f t="shared" si="451"/>
        <v>1</v>
      </c>
      <c r="AU696" s="15">
        <f t="shared" si="452"/>
        <v>1</v>
      </c>
      <c r="AV696" s="15">
        <f t="shared" si="453"/>
        <v>1</v>
      </c>
      <c r="AW696" s="15">
        <f t="shared" si="454"/>
        <v>1</v>
      </c>
      <c r="AX696" s="15">
        <f t="shared" si="455"/>
        <v>1</v>
      </c>
      <c r="AY696" s="15">
        <f t="shared" si="456"/>
        <v>1</v>
      </c>
      <c r="AZ696" s="15">
        <f t="shared" si="457"/>
        <v>1</v>
      </c>
      <c r="BA696" s="15">
        <f t="shared" si="458"/>
        <v>1</v>
      </c>
      <c r="BB696" s="15">
        <f t="shared" si="426"/>
        <v>0</v>
      </c>
      <c r="BC696" s="15" t="str">
        <f t="shared" si="427"/>
        <v/>
      </c>
      <c r="BD696" s="15" t="str">
        <f t="shared" si="428"/>
        <v/>
      </c>
      <c r="BE696" s="11" t="e">
        <f t="shared" si="459"/>
        <v>#VALUE!</v>
      </c>
      <c r="BF696" s="11" t="e">
        <f t="shared" si="460"/>
        <v>#VALUE!</v>
      </c>
      <c r="BG696" s="11" t="e">
        <f t="shared" si="461"/>
        <v>#VALUE!</v>
      </c>
      <c r="BH696" t="str">
        <f t="shared" si="462"/>
        <v/>
      </c>
      <c r="BI696" t="str" cm="1">
        <f t="array" ref="BI696">_xlfn.IFS(
  L696&gt;0,"Critical Fail",
  M696&gt;0,"Important (Coaching)",
  TRUE,"Clean Pass"
)</f>
        <v>Clean Pass</v>
      </c>
      <c r="BJ696" t="str">
        <f t="shared" si="463"/>
        <v>NA</v>
      </c>
    </row>
    <row r="697" spans="1:62" x14ac:dyDescent="0.3">
      <c r="A697">
        <v>817202</v>
      </c>
      <c r="K697" t="str">
        <f t="shared" si="425"/>
        <v>Pass</v>
      </c>
      <c r="L697" s="15">
        <f t="shared" si="429"/>
        <v>0</v>
      </c>
      <c r="M697" s="15">
        <f t="shared" si="430"/>
        <v>0</v>
      </c>
      <c r="Z697" s="15">
        <f t="shared" si="431"/>
        <v>1</v>
      </c>
      <c r="AA697" s="15">
        <f t="shared" si="432"/>
        <v>1</v>
      </c>
      <c r="AB697" s="15">
        <f t="shared" si="433"/>
        <v>1</v>
      </c>
      <c r="AC697" s="15">
        <f t="shared" si="434"/>
        <v>1</v>
      </c>
      <c r="AD697" s="15">
        <f t="shared" si="435"/>
        <v>1</v>
      </c>
      <c r="AE697" s="15">
        <f t="shared" si="436"/>
        <v>1</v>
      </c>
      <c r="AF697" s="15">
        <f t="shared" si="437"/>
        <v>1</v>
      </c>
      <c r="AG697" s="15">
        <f t="shared" si="438"/>
        <v>1</v>
      </c>
      <c r="AH697" s="15">
        <f t="shared" si="439"/>
        <v>1</v>
      </c>
      <c r="AI697" s="15">
        <f t="shared" si="440"/>
        <v>1</v>
      </c>
      <c r="AJ697" s="15">
        <f t="shared" si="441"/>
        <v>1</v>
      </c>
      <c r="AK697" s="15">
        <f t="shared" si="442"/>
        <v>1</v>
      </c>
      <c r="AL697" s="15">
        <f t="shared" si="443"/>
        <v>1</v>
      </c>
      <c r="AM697" s="15">
        <f t="shared" si="444"/>
        <v>1</v>
      </c>
      <c r="AN697" s="15">
        <f t="shared" si="445"/>
        <v>1</v>
      </c>
      <c r="AO697" s="15">
        <f t="shared" si="446"/>
        <v>1</v>
      </c>
      <c r="AP697" s="15">
        <f t="shared" si="447"/>
        <v>1</v>
      </c>
      <c r="AQ697" s="15">
        <f t="shared" si="448"/>
        <v>1</v>
      </c>
      <c r="AR697" s="15">
        <f t="shared" si="449"/>
        <v>1</v>
      </c>
      <c r="AS697" s="15">
        <f t="shared" si="450"/>
        <v>1</v>
      </c>
      <c r="AT697" s="15">
        <f t="shared" si="451"/>
        <v>1</v>
      </c>
      <c r="AU697" s="15">
        <f t="shared" si="452"/>
        <v>1</v>
      </c>
      <c r="AV697" s="15">
        <f t="shared" si="453"/>
        <v>1</v>
      </c>
      <c r="AW697" s="15">
        <f t="shared" si="454"/>
        <v>1</v>
      </c>
      <c r="AX697" s="15">
        <f t="shared" si="455"/>
        <v>1</v>
      </c>
      <c r="AY697" s="15">
        <f t="shared" si="456"/>
        <v>1</v>
      </c>
      <c r="AZ697" s="15">
        <f t="shared" si="457"/>
        <v>1</v>
      </c>
      <c r="BA697" s="15">
        <f t="shared" si="458"/>
        <v>1</v>
      </c>
      <c r="BB697" s="15">
        <f t="shared" si="426"/>
        <v>0</v>
      </c>
      <c r="BC697" s="15" t="str">
        <f t="shared" si="427"/>
        <v/>
      </c>
      <c r="BD697" s="15" t="str">
        <f t="shared" si="428"/>
        <v/>
      </c>
      <c r="BE697" s="11" t="e">
        <f t="shared" si="459"/>
        <v>#VALUE!</v>
      </c>
      <c r="BF697" s="11" t="e">
        <f t="shared" si="460"/>
        <v>#VALUE!</v>
      </c>
      <c r="BG697" s="11" t="e">
        <f t="shared" si="461"/>
        <v>#VALUE!</v>
      </c>
      <c r="BH697" t="str">
        <f t="shared" si="462"/>
        <v/>
      </c>
      <c r="BI697" t="str" cm="1">
        <f t="array" ref="BI697">_xlfn.IFS(
  L697&gt;0,"Critical Fail",
  M697&gt;0,"Important (Coaching)",
  TRUE,"Clean Pass"
)</f>
        <v>Clean Pass</v>
      </c>
      <c r="BJ697" t="str">
        <f t="shared" si="463"/>
        <v>NA</v>
      </c>
    </row>
    <row r="698" spans="1:62" x14ac:dyDescent="0.3">
      <c r="A698">
        <v>762036</v>
      </c>
      <c r="K698" t="str">
        <f t="shared" si="425"/>
        <v>Pass</v>
      </c>
      <c r="L698" s="15">
        <f t="shared" si="429"/>
        <v>0</v>
      </c>
      <c r="M698" s="15">
        <f t="shared" si="430"/>
        <v>0</v>
      </c>
      <c r="Z698" s="15">
        <f t="shared" si="431"/>
        <v>1</v>
      </c>
      <c r="AA698" s="15">
        <f t="shared" si="432"/>
        <v>1</v>
      </c>
      <c r="AB698" s="15">
        <f t="shared" si="433"/>
        <v>1</v>
      </c>
      <c r="AC698" s="15">
        <f t="shared" si="434"/>
        <v>1</v>
      </c>
      <c r="AD698" s="15">
        <f t="shared" si="435"/>
        <v>1</v>
      </c>
      <c r="AE698" s="15">
        <f t="shared" si="436"/>
        <v>1</v>
      </c>
      <c r="AF698" s="15">
        <f t="shared" si="437"/>
        <v>1</v>
      </c>
      <c r="AG698" s="15">
        <f t="shared" si="438"/>
        <v>1</v>
      </c>
      <c r="AH698" s="15">
        <f t="shared" si="439"/>
        <v>1</v>
      </c>
      <c r="AI698" s="15">
        <f t="shared" si="440"/>
        <v>1</v>
      </c>
      <c r="AJ698" s="15">
        <f t="shared" si="441"/>
        <v>1</v>
      </c>
      <c r="AK698" s="15">
        <f t="shared" si="442"/>
        <v>1</v>
      </c>
      <c r="AL698" s="15">
        <f t="shared" si="443"/>
        <v>1</v>
      </c>
      <c r="AM698" s="15">
        <f t="shared" si="444"/>
        <v>1</v>
      </c>
      <c r="AN698" s="15">
        <f t="shared" si="445"/>
        <v>1</v>
      </c>
      <c r="AO698" s="15">
        <f t="shared" si="446"/>
        <v>1</v>
      </c>
      <c r="AP698" s="15">
        <f t="shared" si="447"/>
        <v>1</v>
      </c>
      <c r="AQ698" s="15">
        <f t="shared" si="448"/>
        <v>1</v>
      </c>
      <c r="AR698" s="15">
        <f t="shared" si="449"/>
        <v>1</v>
      </c>
      <c r="AS698" s="15">
        <f t="shared" si="450"/>
        <v>1</v>
      </c>
      <c r="AT698" s="15">
        <f t="shared" si="451"/>
        <v>1</v>
      </c>
      <c r="AU698" s="15">
        <f t="shared" si="452"/>
        <v>1</v>
      </c>
      <c r="AV698" s="15">
        <f t="shared" si="453"/>
        <v>1</v>
      </c>
      <c r="AW698" s="15">
        <f t="shared" si="454"/>
        <v>1</v>
      </c>
      <c r="AX698" s="15">
        <f t="shared" si="455"/>
        <v>1</v>
      </c>
      <c r="AY698" s="15">
        <f t="shared" si="456"/>
        <v>1</v>
      </c>
      <c r="AZ698" s="15">
        <f t="shared" si="457"/>
        <v>1</v>
      </c>
      <c r="BA698" s="15">
        <f t="shared" si="458"/>
        <v>1</v>
      </c>
      <c r="BB698" s="15">
        <f t="shared" si="426"/>
        <v>0</v>
      </c>
      <c r="BC698" s="15" t="str">
        <f t="shared" si="427"/>
        <v/>
      </c>
      <c r="BD698" s="15" t="str">
        <f t="shared" si="428"/>
        <v/>
      </c>
      <c r="BE698" s="11" t="e">
        <f t="shared" si="459"/>
        <v>#VALUE!</v>
      </c>
      <c r="BF698" s="11" t="e">
        <f t="shared" si="460"/>
        <v>#VALUE!</v>
      </c>
      <c r="BG698" s="11" t="e">
        <f t="shared" si="461"/>
        <v>#VALUE!</v>
      </c>
      <c r="BH698" t="str">
        <f t="shared" si="462"/>
        <v/>
      </c>
      <c r="BI698" t="str" cm="1">
        <f t="array" ref="BI698">_xlfn.IFS(
  L698&gt;0,"Critical Fail",
  M698&gt;0,"Important (Coaching)",
  TRUE,"Clean Pass"
)</f>
        <v>Clean Pass</v>
      </c>
      <c r="BJ698" t="str">
        <f t="shared" si="463"/>
        <v>NA</v>
      </c>
    </row>
    <row r="699" spans="1:62" x14ac:dyDescent="0.3">
      <c r="A699">
        <v>156761</v>
      </c>
      <c r="K699" t="str">
        <f t="shared" si="425"/>
        <v>Pass</v>
      </c>
      <c r="L699" s="15">
        <f t="shared" si="429"/>
        <v>0</v>
      </c>
      <c r="M699" s="15">
        <f t="shared" si="430"/>
        <v>0</v>
      </c>
      <c r="Z699" s="15">
        <f t="shared" si="431"/>
        <v>1</v>
      </c>
      <c r="AA699" s="15">
        <f t="shared" si="432"/>
        <v>1</v>
      </c>
      <c r="AB699" s="15">
        <f t="shared" si="433"/>
        <v>1</v>
      </c>
      <c r="AC699" s="15">
        <f t="shared" si="434"/>
        <v>1</v>
      </c>
      <c r="AD699" s="15">
        <f t="shared" si="435"/>
        <v>1</v>
      </c>
      <c r="AE699" s="15">
        <f t="shared" si="436"/>
        <v>1</v>
      </c>
      <c r="AF699" s="15">
        <f t="shared" si="437"/>
        <v>1</v>
      </c>
      <c r="AG699" s="15">
        <f t="shared" si="438"/>
        <v>1</v>
      </c>
      <c r="AH699" s="15">
        <f t="shared" si="439"/>
        <v>1</v>
      </c>
      <c r="AI699" s="15">
        <f t="shared" si="440"/>
        <v>1</v>
      </c>
      <c r="AJ699" s="15">
        <f t="shared" si="441"/>
        <v>1</v>
      </c>
      <c r="AK699" s="15">
        <f t="shared" si="442"/>
        <v>1</v>
      </c>
      <c r="AL699" s="15">
        <f t="shared" si="443"/>
        <v>1</v>
      </c>
      <c r="AM699" s="15">
        <f t="shared" si="444"/>
        <v>1</v>
      </c>
      <c r="AN699" s="15">
        <f t="shared" si="445"/>
        <v>1</v>
      </c>
      <c r="AO699" s="15">
        <f t="shared" si="446"/>
        <v>1</v>
      </c>
      <c r="AP699" s="15">
        <f t="shared" si="447"/>
        <v>1</v>
      </c>
      <c r="AQ699" s="15">
        <f t="shared" si="448"/>
        <v>1</v>
      </c>
      <c r="AR699" s="15">
        <f t="shared" si="449"/>
        <v>1</v>
      </c>
      <c r="AS699" s="15">
        <f t="shared" si="450"/>
        <v>1</v>
      </c>
      <c r="AT699" s="15">
        <f t="shared" si="451"/>
        <v>1</v>
      </c>
      <c r="AU699" s="15">
        <f t="shared" si="452"/>
        <v>1</v>
      </c>
      <c r="AV699" s="15">
        <f t="shared" si="453"/>
        <v>1</v>
      </c>
      <c r="AW699" s="15">
        <f t="shared" si="454"/>
        <v>1</v>
      </c>
      <c r="AX699" s="15">
        <f t="shared" si="455"/>
        <v>1</v>
      </c>
      <c r="AY699" s="15">
        <f t="shared" si="456"/>
        <v>1</v>
      </c>
      <c r="AZ699" s="15">
        <f t="shared" si="457"/>
        <v>1</v>
      </c>
      <c r="BA699" s="15">
        <f t="shared" si="458"/>
        <v>1</v>
      </c>
      <c r="BB699" s="15">
        <f t="shared" si="426"/>
        <v>0</v>
      </c>
      <c r="BC699" s="15" t="str">
        <f t="shared" si="427"/>
        <v/>
      </c>
      <c r="BD699" s="15" t="str">
        <f t="shared" si="428"/>
        <v/>
      </c>
      <c r="BE699" s="11" t="e">
        <f t="shared" si="459"/>
        <v>#VALUE!</v>
      </c>
      <c r="BF699" s="11" t="e">
        <f t="shared" si="460"/>
        <v>#VALUE!</v>
      </c>
      <c r="BG699" s="11" t="e">
        <f t="shared" si="461"/>
        <v>#VALUE!</v>
      </c>
      <c r="BH699" t="str">
        <f t="shared" si="462"/>
        <v/>
      </c>
      <c r="BI699" t="str" cm="1">
        <f t="array" ref="BI699">_xlfn.IFS(
  L699&gt;0,"Critical Fail",
  M699&gt;0,"Important (Coaching)",
  TRUE,"Clean Pass"
)</f>
        <v>Clean Pass</v>
      </c>
      <c r="BJ699" t="str">
        <f t="shared" si="463"/>
        <v>NA</v>
      </c>
    </row>
    <row r="700" spans="1:62" x14ac:dyDescent="0.3">
      <c r="A700">
        <v>913465</v>
      </c>
      <c r="K700" t="str">
        <f t="shared" si="425"/>
        <v>Pass</v>
      </c>
      <c r="L700" s="15">
        <f t="shared" si="429"/>
        <v>0</v>
      </c>
      <c r="M700" s="15">
        <f t="shared" si="430"/>
        <v>0</v>
      </c>
      <c r="Z700" s="15">
        <f t="shared" si="431"/>
        <v>1</v>
      </c>
      <c r="AA700" s="15">
        <f t="shared" si="432"/>
        <v>1</v>
      </c>
      <c r="AB700" s="15">
        <f t="shared" si="433"/>
        <v>1</v>
      </c>
      <c r="AC700" s="15">
        <f t="shared" si="434"/>
        <v>1</v>
      </c>
      <c r="AD700" s="15">
        <f t="shared" si="435"/>
        <v>1</v>
      </c>
      <c r="AE700" s="15">
        <f t="shared" si="436"/>
        <v>1</v>
      </c>
      <c r="AF700" s="15">
        <f t="shared" si="437"/>
        <v>1</v>
      </c>
      <c r="AG700" s="15">
        <f t="shared" si="438"/>
        <v>1</v>
      </c>
      <c r="AH700" s="15">
        <f t="shared" si="439"/>
        <v>1</v>
      </c>
      <c r="AI700" s="15">
        <f t="shared" si="440"/>
        <v>1</v>
      </c>
      <c r="AJ700" s="15">
        <f t="shared" si="441"/>
        <v>1</v>
      </c>
      <c r="AK700" s="15">
        <f t="shared" si="442"/>
        <v>1</v>
      </c>
      <c r="AL700" s="15">
        <f t="shared" si="443"/>
        <v>1</v>
      </c>
      <c r="AM700" s="15">
        <f t="shared" si="444"/>
        <v>1</v>
      </c>
      <c r="AN700" s="15">
        <f t="shared" si="445"/>
        <v>1</v>
      </c>
      <c r="AO700" s="15">
        <f t="shared" si="446"/>
        <v>1</v>
      </c>
      <c r="AP700" s="15">
        <f t="shared" si="447"/>
        <v>1</v>
      </c>
      <c r="AQ700" s="15">
        <f t="shared" si="448"/>
        <v>1</v>
      </c>
      <c r="AR700" s="15">
        <f t="shared" si="449"/>
        <v>1</v>
      </c>
      <c r="AS700" s="15">
        <f t="shared" si="450"/>
        <v>1</v>
      </c>
      <c r="AT700" s="15">
        <f t="shared" si="451"/>
        <v>1</v>
      </c>
      <c r="AU700" s="15">
        <f t="shared" si="452"/>
        <v>1</v>
      </c>
      <c r="AV700" s="15">
        <f t="shared" si="453"/>
        <v>1</v>
      </c>
      <c r="AW700" s="15">
        <f t="shared" si="454"/>
        <v>1</v>
      </c>
      <c r="AX700" s="15">
        <f t="shared" si="455"/>
        <v>1</v>
      </c>
      <c r="AY700" s="15">
        <f t="shared" si="456"/>
        <v>1</v>
      </c>
      <c r="AZ700" s="15">
        <f t="shared" si="457"/>
        <v>1</v>
      </c>
      <c r="BA700" s="15">
        <f t="shared" si="458"/>
        <v>1</v>
      </c>
      <c r="BB700" s="15">
        <f t="shared" si="426"/>
        <v>0</v>
      </c>
      <c r="BC700" s="15" t="str">
        <f t="shared" si="427"/>
        <v/>
      </c>
      <c r="BD700" s="15" t="str">
        <f t="shared" si="428"/>
        <v/>
      </c>
      <c r="BE700" s="11" t="e">
        <f t="shared" si="459"/>
        <v>#VALUE!</v>
      </c>
      <c r="BF700" s="11" t="e">
        <f t="shared" si="460"/>
        <v>#VALUE!</v>
      </c>
      <c r="BG700" s="11" t="e">
        <f t="shared" si="461"/>
        <v>#VALUE!</v>
      </c>
      <c r="BH700" t="str">
        <f t="shared" si="462"/>
        <v/>
      </c>
      <c r="BI700" t="str" cm="1">
        <f t="array" ref="BI700">_xlfn.IFS(
  L700&gt;0,"Critical Fail",
  M700&gt;0,"Important (Coaching)",
  TRUE,"Clean Pass"
)</f>
        <v>Clean Pass</v>
      </c>
      <c r="BJ700" t="str">
        <f t="shared" si="463"/>
        <v>NA</v>
      </c>
    </row>
    <row r="701" spans="1:62" x14ac:dyDescent="0.3">
      <c r="A701">
        <v>461723</v>
      </c>
      <c r="K701" t="str">
        <f t="shared" si="425"/>
        <v>Pass</v>
      </c>
      <c r="L701" s="15">
        <f t="shared" si="429"/>
        <v>0</v>
      </c>
      <c r="M701" s="15">
        <f t="shared" si="430"/>
        <v>0</v>
      </c>
      <c r="Z701" s="15">
        <f t="shared" si="431"/>
        <v>1</v>
      </c>
      <c r="AA701" s="15">
        <f t="shared" si="432"/>
        <v>1</v>
      </c>
      <c r="AB701" s="15">
        <f t="shared" si="433"/>
        <v>1</v>
      </c>
      <c r="AC701" s="15">
        <f t="shared" si="434"/>
        <v>1</v>
      </c>
      <c r="AD701" s="15">
        <f t="shared" si="435"/>
        <v>1</v>
      </c>
      <c r="AE701" s="15">
        <f t="shared" si="436"/>
        <v>1</v>
      </c>
      <c r="AF701" s="15">
        <f t="shared" si="437"/>
        <v>1</v>
      </c>
      <c r="AG701" s="15">
        <f t="shared" si="438"/>
        <v>1</v>
      </c>
      <c r="AH701" s="15">
        <f t="shared" si="439"/>
        <v>1</v>
      </c>
      <c r="AI701" s="15">
        <f t="shared" si="440"/>
        <v>1</v>
      </c>
      <c r="AJ701" s="15">
        <f t="shared" si="441"/>
        <v>1</v>
      </c>
      <c r="AK701" s="15">
        <f t="shared" si="442"/>
        <v>1</v>
      </c>
      <c r="AL701" s="15">
        <f t="shared" si="443"/>
        <v>1</v>
      </c>
      <c r="AM701" s="15">
        <f t="shared" si="444"/>
        <v>1</v>
      </c>
      <c r="AN701" s="15">
        <f t="shared" si="445"/>
        <v>1</v>
      </c>
      <c r="AO701" s="15">
        <f t="shared" si="446"/>
        <v>1</v>
      </c>
      <c r="AP701" s="15">
        <f t="shared" si="447"/>
        <v>1</v>
      </c>
      <c r="AQ701" s="15">
        <f t="shared" si="448"/>
        <v>1</v>
      </c>
      <c r="AR701" s="15">
        <f t="shared" si="449"/>
        <v>1</v>
      </c>
      <c r="AS701" s="15">
        <f t="shared" si="450"/>
        <v>1</v>
      </c>
      <c r="AT701" s="15">
        <f t="shared" si="451"/>
        <v>1</v>
      </c>
      <c r="AU701" s="15">
        <f t="shared" si="452"/>
        <v>1</v>
      </c>
      <c r="AV701" s="15">
        <f t="shared" si="453"/>
        <v>1</v>
      </c>
      <c r="AW701" s="15">
        <f t="shared" si="454"/>
        <v>1</v>
      </c>
      <c r="AX701" s="15">
        <f t="shared" si="455"/>
        <v>1</v>
      </c>
      <c r="AY701" s="15">
        <f t="shared" si="456"/>
        <v>1</v>
      </c>
      <c r="AZ701" s="15">
        <f t="shared" si="457"/>
        <v>1</v>
      </c>
      <c r="BA701" s="15">
        <f t="shared" si="458"/>
        <v>1</v>
      </c>
      <c r="BB701" s="15">
        <f t="shared" si="426"/>
        <v>0</v>
      </c>
      <c r="BC701" s="15" t="str">
        <f t="shared" si="427"/>
        <v/>
      </c>
      <c r="BD701" s="15" t="str">
        <f t="shared" si="428"/>
        <v/>
      </c>
      <c r="BE701" s="11" t="e">
        <f t="shared" si="459"/>
        <v>#VALUE!</v>
      </c>
      <c r="BF701" s="11" t="e">
        <f t="shared" si="460"/>
        <v>#VALUE!</v>
      </c>
      <c r="BG701" s="11" t="e">
        <f t="shared" si="461"/>
        <v>#VALUE!</v>
      </c>
      <c r="BH701" t="str">
        <f t="shared" si="462"/>
        <v/>
      </c>
      <c r="BI701" t="str" cm="1">
        <f t="array" ref="BI701">_xlfn.IFS(
  L701&gt;0,"Critical Fail",
  M701&gt;0,"Important (Coaching)",
  TRUE,"Clean Pass"
)</f>
        <v>Clean Pass</v>
      </c>
      <c r="BJ701" t="str">
        <f t="shared" si="463"/>
        <v>NA</v>
      </c>
    </row>
    <row r="702" spans="1:62" x14ac:dyDescent="0.3">
      <c r="A702">
        <v>985835</v>
      </c>
      <c r="K702" t="str">
        <f t="shared" si="425"/>
        <v>Pass</v>
      </c>
      <c r="L702" s="15">
        <f t="shared" si="429"/>
        <v>0</v>
      </c>
      <c r="M702" s="15">
        <f t="shared" si="430"/>
        <v>0</v>
      </c>
      <c r="Z702" s="15">
        <f t="shared" si="431"/>
        <v>1</v>
      </c>
      <c r="AA702" s="15">
        <f t="shared" si="432"/>
        <v>1</v>
      </c>
      <c r="AB702" s="15">
        <f t="shared" si="433"/>
        <v>1</v>
      </c>
      <c r="AC702" s="15">
        <f t="shared" si="434"/>
        <v>1</v>
      </c>
      <c r="AD702" s="15">
        <f t="shared" si="435"/>
        <v>1</v>
      </c>
      <c r="AE702" s="15">
        <f t="shared" si="436"/>
        <v>1</v>
      </c>
      <c r="AF702" s="15">
        <f t="shared" si="437"/>
        <v>1</v>
      </c>
      <c r="AG702" s="15">
        <f t="shared" si="438"/>
        <v>1</v>
      </c>
      <c r="AH702" s="15">
        <f t="shared" si="439"/>
        <v>1</v>
      </c>
      <c r="AI702" s="15">
        <f t="shared" si="440"/>
        <v>1</v>
      </c>
      <c r="AJ702" s="15">
        <f t="shared" si="441"/>
        <v>1</v>
      </c>
      <c r="AK702" s="15">
        <f t="shared" si="442"/>
        <v>1</v>
      </c>
      <c r="AL702" s="15">
        <f t="shared" si="443"/>
        <v>1</v>
      </c>
      <c r="AM702" s="15">
        <f t="shared" si="444"/>
        <v>1</v>
      </c>
      <c r="AN702" s="15">
        <f t="shared" si="445"/>
        <v>1</v>
      </c>
      <c r="AO702" s="15">
        <f t="shared" si="446"/>
        <v>1</v>
      </c>
      <c r="AP702" s="15">
        <f t="shared" si="447"/>
        <v>1</v>
      </c>
      <c r="AQ702" s="15">
        <f t="shared" si="448"/>
        <v>1</v>
      </c>
      <c r="AR702" s="15">
        <f t="shared" si="449"/>
        <v>1</v>
      </c>
      <c r="AS702" s="15">
        <f t="shared" si="450"/>
        <v>1</v>
      </c>
      <c r="AT702" s="15">
        <f t="shared" si="451"/>
        <v>1</v>
      </c>
      <c r="AU702" s="15">
        <f t="shared" si="452"/>
        <v>1</v>
      </c>
      <c r="AV702" s="15">
        <f t="shared" si="453"/>
        <v>1</v>
      </c>
      <c r="AW702" s="15">
        <f t="shared" si="454"/>
        <v>1</v>
      </c>
      <c r="AX702" s="15">
        <f t="shared" si="455"/>
        <v>1</v>
      </c>
      <c r="AY702" s="15">
        <f t="shared" si="456"/>
        <v>1</v>
      </c>
      <c r="AZ702" s="15">
        <f t="shared" si="457"/>
        <v>1</v>
      </c>
      <c r="BA702" s="15">
        <f t="shared" si="458"/>
        <v>1</v>
      </c>
      <c r="BB702" s="15">
        <f t="shared" si="426"/>
        <v>0</v>
      </c>
      <c r="BC702" s="15" t="str">
        <f t="shared" si="427"/>
        <v/>
      </c>
      <c r="BD702" s="15" t="str">
        <f t="shared" si="428"/>
        <v/>
      </c>
      <c r="BE702" s="11" t="e">
        <f t="shared" si="459"/>
        <v>#VALUE!</v>
      </c>
      <c r="BF702" s="11" t="e">
        <f t="shared" si="460"/>
        <v>#VALUE!</v>
      </c>
      <c r="BG702" s="11" t="e">
        <f t="shared" si="461"/>
        <v>#VALUE!</v>
      </c>
      <c r="BH702" t="str">
        <f t="shared" si="462"/>
        <v/>
      </c>
      <c r="BI702" t="str" cm="1">
        <f t="array" ref="BI702">_xlfn.IFS(
  L702&gt;0,"Critical Fail",
  M702&gt;0,"Important (Coaching)",
  TRUE,"Clean Pass"
)</f>
        <v>Clean Pass</v>
      </c>
      <c r="BJ702" t="str">
        <f t="shared" si="463"/>
        <v>NA</v>
      </c>
    </row>
    <row r="703" spans="1:62" x14ac:dyDescent="0.3">
      <c r="A703">
        <v>655199</v>
      </c>
      <c r="K703" t="str">
        <f t="shared" si="425"/>
        <v>Pass</v>
      </c>
      <c r="L703" s="15">
        <f t="shared" si="429"/>
        <v>0</v>
      </c>
      <c r="M703" s="15">
        <f t="shared" si="430"/>
        <v>0</v>
      </c>
      <c r="Z703" s="15">
        <f t="shared" si="431"/>
        <v>1</v>
      </c>
      <c r="AA703" s="15">
        <f t="shared" si="432"/>
        <v>1</v>
      </c>
      <c r="AB703" s="15">
        <f t="shared" si="433"/>
        <v>1</v>
      </c>
      <c r="AC703" s="15">
        <f t="shared" si="434"/>
        <v>1</v>
      </c>
      <c r="AD703" s="15">
        <f t="shared" si="435"/>
        <v>1</v>
      </c>
      <c r="AE703" s="15">
        <f t="shared" si="436"/>
        <v>1</v>
      </c>
      <c r="AF703" s="15">
        <f t="shared" si="437"/>
        <v>1</v>
      </c>
      <c r="AG703" s="15">
        <f t="shared" si="438"/>
        <v>1</v>
      </c>
      <c r="AH703" s="15">
        <f t="shared" si="439"/>
        <v>1</v>
      </c>
      <c r="AI703" s="15">
        <f t="shared" si="440"/>
        <v>1</v>
      </c>
      <c r="AJ703" s="15">
        <f t="shared" si="441"/>
        <v>1</v>
      </c>
      <c r="AK703" s="15">
        <f t="shared" si="442"/>
        <v>1</v>
      </c>
      <c r="AL703" s="15">
        <f t="shared" si="443"/>
        <v>1</v>
      </c>
      <c r="AM703" s="15">
        <f t="shared" si="444"/>
        <v>1</v>
      </c>
      <c r="AN703" s="15">
        <f t="shared" si="445"/>
        <v>1</v>
      </c>
      <c r="AO703" s="15">
        <f t="shared" si="446"/>
        <v>1</v>
      </c>
      <c r="AP703" s="15">
        <f t="shared" si="447"/>
        <v>1</v>
      </c>
      <c r="AQ703" s="15">
        <f t="shared" si="448"/>
        <v>1</v>
      </c>
      <c r="AR703" s="15">
        <f t="shared" si="449"/>
        <v>1</v>
      </c>
      <c r="AS703" s="15">
        <f t="shared" si="450"/>
        <v>1</v>
      </c>
      <c r="AT703" s="15">
        <f t="shared" si="451"/>
        <v>1</v>
      </c>
      <c r="AU703" s="15">
        <f t="shared" si="452"/>
        <v>1</v>
      </c>
      <c r="AV703" s="15">
        <f t="shared" si="453"/>
        <v>1</v>
      </c>
      <c r="AW703" s="15">
        <f t="shared" si="454"/>
        <v>1</v>
      </c>
      <c r="AX703" s="15">
        <f t="shared" si="455"/>
        <v>1</v>
      </c>
      <c r="AY703" s="15">
        <f t="shared" si="456"/>
        <v>1</v>
      </c>
      <c r="AZ703" s="15">
        <f t="shared" si="457"/>
        <v>1</v>
      </c>
      <c r="BA703" s="15">
        <f t="shared" si="458"/>
        <v>1</v>
      </c>
      <c r="BB703" s="15">
        <f t="shared" si="426"/>
        <v>0</v>
      </c>
      <c r="BC703" s="15" t="str">
        <f t="shared" si="427"/>
        <v/>
      </c>
      <c r="BD703" s="15" t="str">
        <f t="shared" si="428"/>
        <v/>
      </c>
      <c r="BE703" s="11" t="e">
        <f t="shared" si="459"/>
        <v>#VALUE!</v>
      </c>
      <c r="BF703" s="11" t="e">
        <f t="shared" si="460"/>
        <v>#VALUE!</v>
      </c>
      <c r="BG703" s="11" t="e">
        <f t="shared" si="461"/>
        <v>#VALUE!</v>
      </c>
      <c r="BH703" t="str">
        <f t="shared" si="462"/>
        <v/>
      </c>
      <c r="BI703" t="str" cm="1">
        <f t="array" ref="BI703">_xlfn.IFS(
  L703&gt;0,"Critical Fail",
  M703&gt;0,"Important (Coaching)",
  TRUE,"Clean Pass"
)</f>
        <v>Clean Pass</v>
      </c>
      <c r="BJ703" t="str">
        <f t="shared" si="463"/>
        <v>NA</v>
      </c>
    </row>
    <row r="704" spans="1:62" x14ac:dyDescent="0.3">
      <c r="A704">
        <v>962087</v>
      </c>
      <c r="K704" t="str">
        <f t="shared" si="425"/>
        <v>Pass</v>
      </c>
      <c r="L704" s="15">
        <f t="shared" si="429"/>
        <v>0</v>
      </c>
      <c r="M704" s="15">
        <f t="shared" si="430"/>
        <v>0</v>
      </c>
      <c r="Z704" s="15">
        <f t="shared" si="431"/>
        <v>1</v>
      </c>
      <c r="AA704" s="15">
        <f t="shared" si="432"/>
        <v>1</v>
      </c>
      <c r="AB704" s="15">
        <f t="shared" si="433"/>
        <v>1</v>
      </c>
      <c r="AC704" s="15">
        <f t="shared" si="434"/>
        <v>1</v>
      </c>
      <c r="AD704" s="15">
        <f t="shared" si="435"/>
        <v>1</v>
      </c>
      <c r="AE704" s="15">
        <f t="shared" si="436"/>
        <v>1</v>
      </c>
      <c r="AF704" s="15">
        <f t="shared" si="437"/>
        <v>1</v>
      </c>
      <c r="AG704" s="15">
        <f t="shared" si="438"/>
        <v>1</v>
      </c>
      <c r="AH704" s="15">
        <f t="shared" si="439"/>
        <v>1</v>
      </c>
      <c r="AI704" s="15">
        <f t="shared" si="440"/>
        <v>1</v>
      </c>
      <c r="AJ704" s="15">
        <f t="shared" si="441"/>
        <v>1</v>
      </c>
      <c r="AK704" s="15">
        <f t="shared" si="442"/>
        <v>1</v>
      </c>
      <c r="AL704" s="15">
        <f t="shared" si="443"/>
        <v>1</v>
      </c>
      <c r="AM704" s="15">
        <f t="shared" si="444"/>
        <v>1</v>
      </c>
      <c r="AN704" s="15">
        <f t="shared" si="445"/>
        <v>1</v>
      </c>
      <c r="AO704" s="15">
        <f t="shared" si="446"/>
        <v>1</v>
      </c>
      <c r="AP704" s="15">
        <f t="shared" si="447"/>
        <v>1</v>
      </c>
      <c r="AQ704" s="15">
        <f t="shared" si="448"/>
        <v>1</v>
      </c>
      <c r="AR704" s="15">
        <f t="shared" si="449"/>
        <v>1</v>
      </c>
      <c r="AS704" s="15">
        <f t="shared" si="450"/>
        <v>1</v>
      </c>
      <c r="AT704" s="15">
        <f t="shared" si="451"/>
        <v>1</v>
      </c>
      <c r="AU704" s="15">
        <f t="shared" si="452"/>
        <v>1</v>
      </c>
      <c r="AV704" s="15">
        <f t="shared" si="453"/>
        <v>1</v>
      </c>
      <c r="AW704" s="15">
        <f t="shared" si="454"/>
        <v>1</v>
      </c>
      <c r="AX704" s="15">
        <f t="shared" si="455"/>
        <v>1</v>
      </c>
      <c r="AY704" s="15">
        <f t="shared" si="456"/>
        <v>1</v>
      </c>
      <c r="AZ704" s="15">
        <f t="shared" si="457"/>
        <v>1</v>
      </c>
      <c r="BA704" s="15">
        <f t="shared" si="458"/>
        <v>1</v>
      </c>
      <c r="BB704" s="15">
        <f t="shared" si="426"/>
        <v>0</v>
      </c>
      <c r="BC704" s="15" t="str">
        <f t="shared" si="427"/>
        <v/>
      </c>
      <c r="BD704" s="15" t="str">
        <f t="shared" si="428"/>
        <v/>
      </c>
      <c r="BE704" s="11" t="e">
        <f t="shared" si="459"/>
        <v>#VALUE!</v>
      </c>
      <c r="BF704" s="11" t="e">
        <f t="shared" si="460"/>
        <v>#VALUE!</v>
      </c>
      <c r="BG704" s="11" t="e">
        <f t="shared" si="461"/>
        <v>#VALUE!</v>
      </c>
      <c r="BH704" t="str">
        <f t="shared" si="462"/>
        <v/>
      </c>
      <c r="BI704" t="str" cm="1">
        <f t="array" ref="BI704">_xlfn.IFS(
  L704&gt;0,"Critical Fail",
  M704&gt;0,"Important (Coaching)",
  TRUE,"Clean Pass"
)</f>
        <v>Clean Pass</v>
      </c>
      <c r="BJ704" t="str">
        <f t="shared" si="463"/>
        <v>NA</v>
      </c>
    </row>
    <row r="705" spans="1:62" x14ac:dyDescent="0.3">
      <c r="A705">
        <v>576859</v>
      </c>
      <c r="K705" t="str">
        <f t="shared" si="425"/>
        <v>Pass</v>
      </c>
      <c r="L705" s="15">
        <f t="shared" si="429"/>
        <v>0</v>
      </c>
      <c r="M705" s="15">
        <f t="shared" si="430"/>
        <v>0</v>
      </c>
      <c r="Z705" s="15">
        <f t="shared" si="431"/>
        <v>1</v>
      </c>
      <c r="AA705" s="15">
        <f t="shared" si="432"/>
        <v>1</v>
      </c>
      <c r="AB705" s="15">
        <f t="shared" si="433"/>
        <v>1</v>
      </c>
      <c r="AC705" s="15">
        <f t="shared" si="434"/>
        <v>1</v>
      </c>
      <c r="AD705" s="15">
        <f t="shared" si="435"/>
        <v>1</v>
      </c>
      <c r="AE705" s="15">
        <f t="shared" si="436"/>
        <v>1</v>
      </c>
      <c r="AF705" s="15">
        <f t="shared" si="437"/>
        <v>1</v>
      </c>
      <c r="AG705" s="15">
        <f t="shared" si="438"/>
        <v>1</v>
      </c>
      <c r="AH705" s="15">
        <f t="shared" si="439"/>
        <v>1</v>
      </c>
      <c r="AI705" s="15">
        <f t="shared" si="440"/>
        <v>1</v>
      </c>
      <c r="AJ705" s="15">
        <f t="shared" si="441"/>
        <v>1</v>
      </c>
      <c r="AK705" s="15">
        <f t="shared" si="442"/>
        <v>1</v>
      </c>
      <c r="AL705" s="15">
        <f t="shared" si="443"/>
        <v>1</v>
      </c>
      <c r="AM705" s="15">
        <f t="shared" si="444"/>
        <v>1</v>
      </c>
      <c r="AN705" s="15">
        <f t="shared" si="445"/>
        <v>1</v>
      </c>
      <c r="AO705" s="15">
        <f t="shared" si="446"/>
        <v>1</v>
      </c>
      <c r="AP705" s="15">
        <f t="shared" si="447"/>
        <v>1</v>
      </c>
      <c r="AQ705" s="15">
        <f t="shared" si="448"/>
        <v>1</v>
      </c>
      <c r="AR705" s="15">
        <f t="shared" si="449"/>
        <v>1</v>
      </c>
      <c r="AS705" s="15">
        <f t="shared" si="450"/>
        <v>1</v>
      </c>
      <c r="AT705" s="15">
        <f t="shared" si="451"/>
        <v>1</v>
      </c>
      <c r="AU705" s="15">
        <f t="shared" si="452"/>
        <v>1</v>
      </c>
      <c r="AV705" s="15">
        <f t="shared" si="453"/>
        <v>1</v>
      </c>
      <c r="AW705" s="15">
        <f t="shared" si="454"/>
        <v>1</v>
      </c>
      <c r="AX705" s="15">
        <f t="shared" si="455"/>
        <v>1</v>
      </c>
      <c r="AY705" s="15">
        <f t="shared" si="456"/>
        <v>1</v>
      </c>
      <c r="AZ705" s="15">
        <f t="shared" si="457"/>
        <v>1</v>
      </c>
      <c r="BA705" s="15">
        <f t="shared" si="458"/>
        <v>1</v>
      </c>
      <c r="BB705" s="15">
        <f t="shared" si="426"/>
        <v>0</v>
      </c>
      <c r="BC705" s="15" t="str">
        <f t="shared" si="427"/>
        <v/>
      </c>
      <c r="BD705" s="15" t="str">
        <f t="shared" si="428"/>
        <v/>
      </c>
      <c r="BE705" s="11" t="e">
        <f t="shared" si="459"/>
        <v>#VALUE!</v>
      </c>
      <c r="BF705" s="11" t="e">
        <f t="shared" si="460"/>
        <v>#VALUE!</v>
      </c>
      <c r="BG705" s="11" t="e">
        <f t="shared" si="461"/>
        <v>#VALUE!</v>
      </c>
      <c r="BH705" t="str">
        <f t="shared" si="462"/>
        <v/>
      </c>
      <c r="BI705" t="str" cm="1">
        <f t="array" ref="BI705">_xlfn.IFS(
  L705&gt;0,"Critical Fail",
  M705&gt;0,"Important (Coaching)",
  TRUE,"Clean Pass"
)</f>
        <v>Clean Pass</v>
      </c>
      <c r="BJ705" t="str">
        <f t="shared" si="463"/>
        <v>NA</v>
      </c>
    </row>
    <row r="706" spans="1:62" x14ac:dyDescent="0.3">
      <c r="A706">
        <v>107571</v>
      </c>
      <c r="K706" t="str">
        <f t="shared" ref="K706:K769" si="464">IF(L706="","",IF(L706&gt;0,"Fail","Pass"))</f>
        <v>Pass</v>
      </c>
      <c r="L706" s="15">
        <f t="shared" si="429"/>
        <v>0</v>
      </c>
      <c r="M706" s="15">
        <f t="shared" si="430"/>
        <v>0</v>
      </c>
      <c r="Z706" s="15">
        <f t="shared" si="431"/>
        <v>1</v>
      </c>
      <c r="AA706" s="15">
        <f t="shared" si="432"/>
        <v>1</v>
      </c>
      <c r="AB706" s="15">
        <f t="shared" si="433"/>
        <v>1</v>
      </c>
      <c r="AC706" s="15">
        <f t="shared" si="434"/>
        <v>1</v>
      </c>
      <c r="AD706" s="15">
        <f t="shared" si="435"/>
        <v>1</v>
      </c>
      <c r="AE706" s="15">
        <f t="shared" si="436"/>
        <v>1</v>
      </c>
      <c r="AF706" s="15">
        <f t="shared" si="437"/>
        <v>1</v>
      </c>
      <c r="AG706" s="15">
        <f t="shared" si="438"/>
        <v>1</v>
      </c>
      <c r="AH706" s="15">
        <f t="shared" si="439"/>
        <v>1</v>
      </c>
      <c r="AI706" s="15">
        <f t="shared" si="440"/>
        <v>1</v>
      </c>
      <c r="AJ706" s="15">
        <f t="shared" si="441"/>
        <v>1</v>
      </c>
      <c r="AK706" s="15">
        <f t="shared" si="442"/>
        <v>1</v>
      </c>
      <c r="AL706" s="15">
        <f t="shared" si="443"/>
        <v>1</v>
      </c>
      <c r="AM706" s="15">
        <f t="shared" si="444"/>
        <v>1</v>
      </c>
      <c r="AN706" s="15">
        <f t="shared" si="445"/>
        <v>1</v>
      </c>
      <c r="AO706" s="15">
        <f t="shared" si="446"/>
        <v>1</v>
      </c>
      <c r="AP706" s="15">
        <f t="shared" si="447"/>
        <v>1</v>
      </c>
      <c r="AQ706" s="15">
        <f t="shared" si="448"/>
        <v>1</v>
      </c>
      <c r="AR706" s="15">
        <f t="shared" si="449"/>
        <v>1</v>
      </c>
      <c r="AS706" s="15">
        <f t="shared" si="450"/>
        <v>1</v>
      </c>
      <c r="AT706" s="15">
        <f t="shared" si="451"/>
        <v>1</v>
      </c>
      <c r="AU706" s="15">
        <f t="shared" si="452"/>
        <v>1</v>
      </c>
      <c r="AV706" s="15">
        <f t="shared" si="453"/>
        <v>1</v>
      </c>
      <c r="AW706" s="15">
        <f t="shared" si="454"/>
        <v>1</v>
      </c>
      <c r="AX706" s="15">
        <f t="shared" si="455"/>
        <v>1</v>
      </c>
      <c r="AY706" s="15">
        <f t="shared" si="456"/>
        <v>1</v>
      </c>
      <c r="AZ706" s="15">
        <f t="shared" si="457"/>
        <v>1</v>
      </c>
      <c r="BA706" s="15">
        <f t="shared" si="458"/>
        <v>1</v>
      </c>
      <c r="BB706" s="15">
        <f t="shared" ref="BB706:BB769" si="465">IF(L706&gt;0,1,0)</f>
        <v>0</v>
      </c>
      <c r="BC706" s="15" t="str">
        <f t="shared" ref="BC706:BC769" si="466">IF(G706="DV",9,IF(G706="AL",13,""))</f>
        <v/>
      </c>
      <c r="BD706" s="15" t="str">
        <f t="shared" ref="BD706:BD769" si="467">IF(G706="DV",3,IF(G706="AL",3,""))</f>
        <v/>
      </c>
      <c r="BE706" s="11" t="e">
        <f t="shared" si="459"/>
        <v>#VALUE!</v>
      </c>
      <c r="BF706" s="11" t="e">
        <f t="shared" si="460"/>
        <v>#VALUE!</v>
      </c>
      <c r="BG706" s="11" t="e">
        <f t="shared" si="461"/>
        <v>#VALUE!</v>
      </c>
      <c r="BH706" t="str">
        <f t="shared" si="462"/>
        <v/>
      </c>
      <c r="BI706" t="str" cm="1">
        <f t="array" ref="BI706">_xlfn.IFS(
  L706&gt;0,"Critical Fail",
  M706&gt;0,"Important (Coaching)",
  TRUE,"Clean Pass"
)</f>
        <v>Clean Pass</v>
      </c>
      <c r="BJ706" t="str">
        <f t="shared" si="463"/>
        <v>NA</v>
      </c>
    </row>
    <row r="707" spans="1:62" x14ac:dyDescent="0.3">
      <c r="A707">
        <v>642344</v>
      </c>
      <c r="K707" t="str">
        <f t="shared" si="464"/>
        <v>Pass</v>
      </c>
      <c r="L707" s="15">
        <f t="shared" si="429"/>
        <v>0</v>
      </c>
      <c r="M707" s="15">
        <f t="shared" si="430"/>
        <v>0</v>
      </c>
      <c r="Z707" s="15">
        <f t="shared" si="431"/>
        <v>1</v>
      </c>
      <c r="AA707" s="15">
        <f t="shared" si="432"/>
        <v>1</v>
      </c>
      <c r="AB707" s="15">
        <f t="shared" si="433"/>
        <v>1</v>
      </c>
      <c r="AC707" s="15">
        <f t="shared" si="434"/>
        <v>1</v>
      </c>
      <c r="AD707" s="15">
        <f t="shared" si="435"/>
        <v>1</v>
      </c>
      <c r="AE707" s="15">
        <f t="shared" si="436"/>
        <v>1</v>
      </c>
      <c r="AF707" s="15">
        <f t="shared" si="437"/>
        <v>1</v>
      </c>
      <c r="AG707" s="15">
        <f t="shared" si="438"/>
        <v>1</v>
      </c>
      <c r="AH707" s="15">
        <f t="shared" si="439"/>
        <v>1</v>
      </c>
      <c r="AI707" s="15">
        <f t="shared" si="440"/>
        <v>1</v>
      </c>
      <c r="AJ707" s="15">
        <f t="shared" si="441"/>
        <v>1</v>
      </c>
      <c r="AK707" s="15">
        <f t="shared" si="442"/>
        <v>1</v>
      </c>
      <c r="AL707" s="15">
        <f t="shared" si="443"/>
        <v>1</v>
      </c>
      <c r="AM707" s="15">
        <f t="shared" si="444"/>
        <v>1</v>
      </c>
      <c r="AN707" s="15">
        <f t="shared" si="445"/>
        <v>1</v>
      </c>
      <c r="AO707" s="15">
        <f t="shared" si="446"/>
        <v>1</v>
      </c>
      <c r="AP707" s="15">
        <f t="shared" si="447"/>
        <v>1</v>
      </c>
      <c r="AQ707" s="15">
        <f t="shared" si="448"/>
        <v>1</v>
      </c>
      <c r="AR707" s="15">
        <f t="shared" si="449"/>
        <v>1</v>
      </c>
      <c r="AS707" s="15">
        <f t="shared" si="450"/>
        <v>1</v>
      </c>
      <c r="AT707" s="15">
        <f t="shared" si="451"/>
        <v>1</v>
      </c>
      <c r="AU707" s="15">
        <f t="shared" si="452"/>
        <v>1</v>
      </c>
      <c r="AV707" s="15">
        <f t="shared" si="453"/>
        <v>1</v>
      </c>
      <c r="AW707" s="15">
        <f t="shared" si="454"/>
        <v>1</v>
      </c>
      <c r="AX707" s="15">
        <f t="shared" si="455"/>
        <v>1</v>
      </c>
      <c r="AY707" s="15">
        <f t="shared" si="456"/>
        <v>1</v>
      </c>
      <c r="AZ707" s="15">
        <f t="shared" si="457"/>
        <v>1</v>
      </c>
      <c r="BA707" s="15">
        <f t="shared" si="458"/>
        <v>1</v>
      </c>
      <c r="BB707" s="15">
        <f t="shared" si="465"/>
        <v>0</v>
      </c>
      <c r="BC707" s="15" t="str">
        <f t="shared" si="466"/>
        <v/>
      </c>
      <c r="BD707" s="15" t="str">
        <f t="shared" si="467"/>
        <v/>
      </c>
      <c r="BE707" s="11" t="e">
        <f t="shared" si="459"/>
        <v>#VALUE!</v>
      </c>
      <c r="BF707" s="11" t="e">
        <f t="shared" si="460"/>
        <v>#VALUE!</v>
      </c>
      <c r="BG707" s="11" t="e">
        <f t="shared" si="461"/>
        <v>#VALUE!</v>
      </c>
      <c r="BH707" t="str">
        <f t="shared" si="462"/>
        <v/>
      </c>
      <c r="BI707" t="str" cm="1">
        <f t="array" ref="BI707">_xlfn.IFS(
  L707&gt;0,"Critical Fail",
  M707&gt;0,"Important (Coaching)",
  TRUE,"Clean Pass"
)</f>
        <v>Clean Pass</v>
      </c>
      <c r="BJ707" t="str">
        <f t="shared" si="463"/>
        <v>NA</v>
      </c>
    </row>
    <row r="708" spans="1:62" x14ac:dyDescent="0.3">
      <c r="A708">
        <v>616500</v>
      </c>
      <c r="K708" t="str">
        <f t="shared" si="464"/>
        <v>Pass</v>
      </c>
      <c r="L708" s="15">
        <f t="shared" si="429"/>
        <v>0</v>
      </c>
      <c r="M708" s="15">
        <f t="shared" si="430"/>
        <v>0</v>
      </c>
      <c r="Z708" s="15">
        <f t="shared" si="431"/>
        <v>1</v>
      </c>
      <c r="AA708" s="15">
        <f t="shared" si="432"/>
        <v>1</v>
      </c>
      <c r="AB708" s="15">
        <f t="shared" si="433"/>
        <v>1</v>
      </c>
      <c r="AC708" s="15">
        <f t="shared" si="434"/>
        <v>1</v>
      </c>
      <c r="AD708" s="15">
        <f t="shared" si="435"/>
        <v>1</v>
      </c>
      <c r="AE708" s="15">
        <f t="shared" si="436"/>
        <v>1</v>
      </c>
      <c r="AF708" s="15">
        <f t="shared" si="437"/>
        <v>1</v>
      </c>
      <c r="AG708" s="15">
        <f t="shared" si="438"/>
        <v>1</v>
      </c>
      <c r="AH708" s="15">
        <f t="shared" si="439"/>
        <v>1</v>
      </c>
      <c r="AI708" s="15">
        <f t="shared" si="440"/>
        <v>1</v>
      </c>
      <c r="AJ708" s="15">
        <f t="shared" si="441"/>
        <v>1</v>
      </c>
      <c r="AK708" s="15">
        <f t="shared" si="442"/>
        <v>1</v>
      </c>
      <c r="AL708" s="15">
        <f t="shared" si="443"/>
        <v>1</v>
      </c>
      <c r="AM708" s="15">
        <f t="shared" si="444"/>
        <v>1</v>
      </c>
      <c r="AN708" s="15">
        <f t="shared" si="445"/>
        <v>1</v>
      </c>
      <c r="AO708" s="15">
        <f t="shared" si="446"/>
        <v>1</v>
      </c>
      <c r="AP708" s="15">
        <f t="shared" si="447"/>
        <v>1</v>
      </c>
      <c r="AQ708" s="15">
        <f t="shared" si="448"/>
        <v>1</v>
      </c>
      <c r="AR708" s="15">
        <f t="shared" si="449"/>
        <v>1</v>
      </c>
      <c r="AS708" s="15">
        <f t="shared" si="450"/>
        <v>1</v>
      </c>
      <c r="AT708" s="15">
        <f t="shared" si="451"/>
        <v>1</v>
      </c>
      <c r="AU708" s="15">
        <f t="shared" si="452"/>
        <v>1</v>
      </c>
      <c r="AV708" s="15">
        <f t="shared" si="453"/>
        <v>1</v>
      </c>
      <c r="AW708" s="15">
        <f t="shared" si="454"/>
        <v>1</v>
      </c>
      <c r="AX708" s="15">
        <f t="shared" si="455"/>
        <v>1</v>
      </c>
      <c r="AY708" s="15">
        <f t="shared" si="456"/>
        <v>1</v>
      </c>
      <c r="AZ708" s="15">
        <f t="shared" si="457"/>
        <v>1</v>
      </c>
      <c r="BA708" s="15">
        <f t="shared" si="458"/>
        <v>1</v>
      </c>
      <c r="BB708" s="15">
        <f t="shared" si="465"/>
        <v>0</v>
      </c>
      <c r="BC708" s="15" t="str">
        <f t="shared" si="466"/>
        <v/>
      </c>
      <c r="BD708" s="15" t="str">
        <f t="shared" si="467"/>
        <v/>
      </c>
      <c r="BE708" s="11" t="e">
        <f t="shared" si="459"/>
        <v>#VALUE!</v>
      </c>
      <c r="BF708" s="11" t="e">
        <f t="shared" si="460"/>
        <v>#VALUE!</v>
      </c>
      <c r="BG708" s="11" t="e">
        <f t="shared" si="461"/>
        <v>#VALUE!</v>
      </c>
      <c r="BH708" t="str">
        <f t="shared" si="462"/>
        <v/>
      </c>
      <c r="BI708" t="str" cm="1">
        <f t="array" ref="BI708">_xlfn.IFS(
  L708&gt;0,"Critical Fail",
  M708&gt;0,"Important (Coaching)",
  TRUE,"Clean Pass"
)</f>
        <v>Clean Pass</v>
      </c>
      <c r="BJ708" t="str">
        <f t="shared" si="463"/>
        <v>NA</v>
      </c>
    </row>
    <row r="709" spans="1:62" x14ac:dyDescent="0.3">
      <c r="A709">
        <v>908496</v>
      </c>
      <c r="K709" t="str">
        <f t="shared" si="464"/>
        <v>Pass</v>
      </c>
      <c r="L709" s="15">
        <f t="shared" si="429"/>
        <v>0</v>
      </c>
      <c r="M709" s="15">
        <f t="shared" si="430"/>
        <v>0</v>
      </c>
      <c r="Z709" s="15">
        <f t="shared" si="431"/>
        <v>1</v>
      </c>
      <c r="AA709" s="15">
        <f t="shared" si="432"/>
        <v>1</v>
      </c>
      <c r="AB709" s="15">
        <f t="shared" si="433"/>
        <v>1</v>
      </c>
      <c r="AC709" s="15">
        <f t="shared" si="434"/>
        <v>1</v>
      </c>
      <c r="AD709" s="15">
        <f t="shared" si="435"/>
        <v>1</v>
      </c>
      <c r="AE709" s="15">
        <f t="shared" si="436"/>
        <v>1</v>
      </c>
      <c r="AF709" s="15">
        <f t="shared" si="437"/>
        <v>1</v>
      </c>
      <c r="AG709" s="15">
        <f t="shared" si="438"/>
        <v>1</v>
      </c>
      <c r="AH709" s="15">
        <f t="shared" si="439"/>
        <v>1</v>
      </c>
      <c r="AI709" s="15">
        <f t="shared" si="440"/>
        <v>1</v>
      </c>
      <c r="AJ709" s="15">
        <f t="shared" si="441"/>
        <v>1</v>
      </c>
      <c r="AK709" s="15">
        <f t="shared" si="442"/>
        <v>1</v>
      </c>
      <c r="AL709" s="15">
        <f t="shared" si="443"/>
        <v>1</v>
      </c>
      <c r="AM709" s="15">
        <f t="shared" si="444"/>
        <v>1</v>
      </c>
      <c r="AN709" s="15">
        <f t="shared" si="445"/>
        <v>1</v>
      </c>
      <c r="AO709" s="15">
        <f t="shared" si="446"/>
        <v>1</v>
      </c>
      <c r="AP709" s="15">
        <f t="shared" si="447"/>
        <v>1</v>
      </c>
      <c r="AQ709" s="15">
        <f t="shared" si="448"/>
        <v>1</v>
      </c>
      <c r="AR709" s="15">
        <f t="shared" si="449"/>
        <v>1</v>
      </c>
      <c r="AS709" s="15">
        <f t="shared" si="450"/>
        <v>1</v>
      </c>
      <c r="AT709" s="15">
        <f t="shared" si="451"/>
        <v>1</v>
      </c>
      <c r="AU709" s="15">
        <f t="shared" si="452"/>
        <v>1</v>
      </c>
      <c r="AV709" s="15">
        <f t="shared" si="453"/>
        <v>1</v>
      </c>
      <c r="AW709" s="15">
        <f t="shared" si="454"/>
        <v>1</v>
      </c>
      <c r="AX709" s="15">
        <f t="shared" si="455"/>
        <v>1</v>
      </c>
      <c r="AY709" s="15">
        <f t="shared" si="456"/>
        <v>1</v>
      </c>
      <c r="AZ709" s="15">
        <f t="shared" si="457"/>
        <v>1</v>
      </c>
      <c r="BA709" s="15">
        <f t="shared" si="458"/>
        <v>1</v>
      </c>
      <c r="BB709" s="15">
        <f t="shared" si="465"/>
        <v>0</v>
      </c>
      <c r="BC709" s="15" t="str">
        <f t="shared" si="466"/>
        <v/>
      </c>
      <c r="BD709" s="15" t="str">
        <f t="shared" si="467"/>
        <v/>
      </c>
      <c r="BE709" s="11" t="e">
        <f t="shared" si="459"/>
        <v>#VALUE!</v>
      </c>
      <c r="BF709" s="11" t="e">
        <f t="shared" si="460"/>
        <v>#VALUE!</v>
      </c>
      <c r="BG709" s="11" t="e">
        <f t="shared" si="461"/>
        <v>#VALUE!</v>
      </c>
      <c r="BH709" t="str">
        <f t="shared" si="462"/>
        <v/>
      </c>
      <c r="BI709" t="str" cm="1">
        <f t="array" ref="BI709">_xlfn.IFS(
  L709&gt;0,"Critical Fail",
  M709&gt;0,"Important (Coaching)",
  TRUE,"Clean Pass"
)</f>
        <v>Clean Pass</v>
      </c>
      <c r="BJ709" t="str">
        <f t="shared" si="463"/>
        <v>NA</v>
      </c>
    </row>
    <row r="710" spans="1:62" x14ac:dyDescent="0.3">
      <c r="A710">
        <v>772256</v>
      </c>
      <c r="K710" t="str">
        <f t="shared" si="464"/>
        <v>Pass</v>
      </c>
      <c r="L710" s="15">
        <f t="shared" si="429"/>
        <v>0</v>
      </c>
      <c r="M710" s="15">
        <f t="shared" si="430"/>
        <v>0</v>
      </c>
      <c r="Z710" s="15">
        <f t="shared" si="431"/>
        <v>1</v>
      </c>
      <c r="AA710" s="15">
        <f t="shared" si="432"/>
        <v>1</v>
      </c>
      <c r="AB710" s="15">
        <f t="shared" si="433"/>
        <v>1</v>
      </c>
      <c r="AC710" s="15">
        <f t="shared" si="434"/>
        <v>1</v>
      </c>
      <c r="AD710" s="15">
        <f t="shared" si="435"/>
        <v>1</v>
      </c>
      <c r="AE710" s="15">
        <f t="shared" si="436"/>
        <v>1</v>
      </c>
      <c r="AF710" s="15">
        <f t="shared" si="437"/>
        <v>1</v>
      </c>
      <c r="AG710" s="15">
        <f t="shared" si="438"/>
        <v>1</v>
      </c>
      <c r="AH710" s="15">
        <f t="shared" si="439"/>
        <v>1</v>
      </c>
      <c r="AI710" s="15">
        <f t="shared" si="440"/>
        <v>1</v>
      </c>
      <c r="AJ710" s="15">
        <f t="shared" si="441"/>
        <v>1</v>
      </c>
      <c r="AK710" s="15">
        <f t="shared" si="442"/>
        <v>1</v>
      </c>
      <c r="AL710" s="15">
        <f t="shared" si="443"/>
        <v>1</v>
      </c>
      <c r="AM710" s="15">
        <f t="shared" si="444"/>
        <v>1</v>
      </c>
      <c r="AN710" s="15">
        <f t="shared" si="445"/>
        <v>1</v>
      </c>
      <c r="AO710" s="15">
        <f t="shared" si="446"/>
        <v>1</v>
      </c>
      <c r="AP710" s="15">
        <f t="shared" si="447"/>
        <v>1</v>
      </c>
      <c r="AQ710" s="15">
        <f t="shared" si="448"/>
        <v>1</v>
      </c>
      <c r="AR710" s="15">
        <f t="shared" si="449"/>
        <v>1</v>
      </c>
      <c r="AS710" s="15">
        <f t="shared" si="450"/>
        <v>1</v>
      </c>
      <c r="AT710" s="15">
        <f t="shared" si="451"/>
        <v>1</v>
      </c>
      <c r="AU710" s="15">
        <f t="shared" si="452"/>
        <v>1</v>
      </c>
      <c r="AV710" s="15">
        <f t="shared" si="453"/>
        <v>1</v>
      </c>
      <c r="AW710" s="15">
        <f t="shared" si="454"/>
        <v>1</v>
      </c>
      <c r="AX710" s="15">
        <f t="shared" si="455"/>
        <v>1</v>
      </c>
      <c r="AY710" s="15">
        <f t="shared" si="456"/>
        <v>1</v>
      </c>
      <c r="AZ710" s="15">
        <f t="shared" si="457"/>
        <v>1</v>
      </c>
      <c r="BA710" s="15">
        <f t="shared" si="458"/>
        <v>1</v>
      </c>
      <c r="BB710" s="15">
        <f t="shared" si="465"/>
        <v>0</v>
      </c>
      <c r="BC710" s="15" t="str">
        <f t="shared" si="466"/>
        <v/>
      </c>
      <c r="BD710" s="15" t="str">
        <f t="shared" si="467"/>
        <v/>
      </c>
      <c r="BE710" s="11" t="e">
        <f t="shared" si="459"/>
        <v>#VALUE!</v>
      </c>
      <c r="BF710" s="11" t="e">
        <f t="shared" si="460"/>
        <v>#VALUE!</v>
      </c>
      <c r="BG710" s="11" t="e">
        <f t="shared" si="461"/>
        <v>#VALUE!</v>
      </c>
      <c r="BH710" t="str">
        <f t="shared" si="462"/>
        <v/>
      </c>
      <c r="BI710" t="str" cm="1">
        <f t="array" ref="BI710">_xlfn.IFS(
  L710&gt;0,"Critical Fail",
  M710&gt;0,"Important (Coaching)",
  TRUE,"Clean Pass"
)</f>
        <v>Clean Pass</v>
      </c>
      <c r="BJ710" t="str">
        <f t="shared" si="463"/>
        <v>NA</v>
      </c>
    </row>
    <row r="711" spans="1:62" x14ac:dyDescent="0.3">
      <c r="A711">
        <v>674874</v>
      </c>
      <c r="K711" t="str">
        <f t="shared" si="464"/>
        <v>Pass</v>
      </c>
      <c r="L711" s="15">
        <f t="shared" si="429"/>
        <v>0</v>
      </c>
      <c r="M711" s="15">
        <f t="shared" si="430"/>
        <v>0</v>
      </c>
      <c r="Z711" s="15">
        <f t="shared" si="431"/>
        <v>1</v>
      </c>
      <c r="AA711" s="15">
        <f t="shared" si="432"/>
        <v>1</v>
      </c>
      <c r="AB711" s="15">
        <f t="shared" si="433"/>
        <v>1</v>
      </c>
      <c r="AC711" s="15">
        <f t="shared" si="434"/>
        <v>1</v>
      </c>
      <c r="AD711" s="15">
        <f t="shared" si="435"/>
        <v>1</v>
      </c>
      <c r="AE711" s="15">
        <f t="shared" si="436"/>
        <v>1</v>
      </c>
      <c r="AF711" s="15">
        <f t="shared" si="437"/>
        <v>1</v>
      </c>
      <c r="AG711" s="15">
        <f t="shared" si="438"/>
        <v>1</v>
      </c>
      <c r="AH711" s="15">
        <f t="shared" si="439"/>
        <v>1</v>
      </c>
      <c r="AI711" s="15">
        <f t="shared" si="440"/>
        <v>1</v>
      </c>
      <c r="AJ711" s="15">
        <f t="shared" si="441"/>
        <v>1</v>
      </c>
      <c r="AK711" s="15">
        <f t="shared" si="442"/>
        <v>1</v>
      </c>
      <c r="AL711" s="15">
        <f t="shared" si="443"/>
        <v>1</v>
      </c>
      <c r="AM711" s="15">
        <f t="shared" si="444"/>
        <v>1</v>
      </c>
      <c r="AN711" s="15">
        <f t="shared" si="445"/>
        <v>1</v>
      </c>
      <c r="AO711" s="15">
        <f t="shared" si="446"/>
        <v>1</v>
      </c>
      <c r="AP711" s="15">
        <f t="shared" si="447"/>
        <v>1</v>
      </c>
      <c r="AQ711" s="15">
        <f t="shared" si="448"/>
        <v>1</v>
      </c>
      <c r="AR711" s="15">
        <f t="shared" si="449"/>
        <v>1</v>
      </c>
      <c r="AS711" s="15">
        <f t="shared" si="450"/>
        <v>1</v>
      </c>
      <c r="AT711" s="15">
        <f t="shared" si="451"/>
        <v>1</v>
      </c>
      <c r="AU711" s="15">
        <f t="shared" si="452"/>
        <v>1</v>
      </c>
      <c r="AV711" s="15">
        <f t="shared" si="453"/>
        <v>1</v>
      </c>
      <c r="AW711" s="15">
        <f t="shared" si="454"/>
        <v>1</v>
      </c>
      <c r="AX711" s="15">
        <f t="shared" si="455"/>
        <v>1</v>
      </c>
      <c r="AY711" s="15">
        <f t="shared" si="456"/>
        <v>1</v>
      </c>
      <c r="AZ711" s="15">
        <f t="shared" si="457"/>
        <v>1</v>
      </c>
      <c r="BA711" s="15">
        <f t="shared" si="458"/>
        <v>1</v>
      </c>
      <c r="BB711" s="15">
        <f t="shared" si="465"/>
        <v>0</v>
      </c>
      <c r="BC711" s="15" t="str">
        <f t="shared" si="466"/>
        <v/>
      </c>
      <c r="BD711" s="15" t="str">
        <f t="shared" si="467"/>
        <v/>
      </c>
      <c r="BE711" s="11" t="e">
        <f t="shared" si="459"/>
        <v>#VALUE!</v>
      </c>
      <c r="BF711" s="11" t="e">
        <f t="shared" si="460"/>
        <v>#VALUE!</v>
      </c>
      <c r="BG711" s="11" t="e">
        <f t="shared" si="461"/>
        <v>#VALUE!</v>
      </c>
      <c r="BH711" t="str">
        <f t="shared" si="462"/>
        <v/>
      </c>
      <c r="BI711" t="str" cm="1">
        <f t="array" ref="BI711">_xlfn.IFS(
  L711&gt;0,"Critical Fail",
  M711&gt;0,"Important (Coaching)",
  TRUE,"Clean Pass"
)</f>
        <v>Clean Pass</v>
      </c>
      <c r="BJ711" t="str">
        <f t="shared" si="463"/>
        <v>NA</v>
      </c>
    </row>
    <row r="712" spans="1:62" x14ac:dyDescent="0.3">
      <c r="A712">
        <v>752755</v>
      </c>
      <c r="K712" t="str">
        <f t="shared" si="464"/>
        <v>Pass</v>
      </c>
      <c r="L712" s="15">
        <f t="shared" si="429"/>
        <v>0</v>
      </c>
      <c r="M712" s="15">
        <f t="shared" si="430"/>
        <v>0</v>
      </c>
      <c r="Z712" s="15">
        <f t="shared" si="431"/>
        <v>1</v>
      </c>
      <c r="AA712" s="15">
        <f t="shared" si="432"/>
        <v>1</v>
      </c>
      <c r="AB712" s="15">
        <f t="shared" si="433"/>
        <v>1</v>
      </c>
      <c r="AC712" s="15">
        <f t="shared" si="434"/>
        <v>1</v>
      </c>
      <c r="AD712" s="15">
        <f t="shared" si="435"/>
        <v>1</v>
      </c>
      <c r="AE712" s="15">
        <f t="shared" si="436"/>
        <v>1</v>
      </c>
      <c r="AF712" s="15">
        <f t="shared" si="437"/>
        <v>1</v>
      </c>
      <c r="AG712" s="15">
        <f t="shared" si="438"/>
        <v>1</v>
      </c>
      <c r="AH712" s="15">
        <f t="shared" si="439"/>
        <v>1</v>
      </c>
      <c r="AI712" s="15">
        <f t="shared" si="440"/>
        <v>1</v>
      </c>
      <c r="AJ712" s="15">
        <f t="shared" si="441"/>
        <v>1</v>
      </c>
      <c r="AK712" s="15">
        <f t="shared" si="442"/>
        <v>1</v>
      </c>
      <c r="AL712" s="15">
        <f t="shared" si="443"/>
        <v>1</v>
      </c>
      <c r="AM712" s="15">
        <f t="shared" si="444"/>
        <v>1</v>
      </c>
      <c r="AN712" s="15">
        <f t="shared" si="445"/>
        <v>1</v>
      </c>
      <c r="AO712" s="15">
        <f t="shared" si="446"/>
        <v>1</v>
      </c>
      <c r="AP712" s="15">
        <f t="shared" si="447"/>
        <v>1</v>
      </c>
      <c r="AQ712" s="15">
        <f t="shared" si="448"/>
        <v>1</v>
      </c>
      <c r="AR712" s="15">
        <f t="shared" si="449"/>
        <v>1</v>
      </c>
      <c r="AS712" s="15">
        <f t="shared" si="450"/>
        <v>1</v>
      </c>
      <c r="AT712" s="15">
        <f t="shared" si="451"/>
        <v>1</v>
      </c>
      <c r="AU712" s="15">
        <f t="shared" si="452"/>
        <v>1</v>
      </c>
      <c r="AV712" s="15">
        <f t="shared" si="453"/>
        <v>1</v>
      </c>
      <c r="AW712" s="15">
        <f t="shared" si="454"/>
        <v>1</v>
      </c>
      <c r="AX712" s="15">
        <f t="shared" si="455"/>
        <v>1</v>
      </c>
      <c r="AY712" s="15">
        <f t="shared" si="456"/>
        <v>1</v>
      </c>
      <c r="AZ712" s="15">
        <f t="shared" si="457"/>
        <v>1</v>
      </c>
      <c r="BA712" s="15">
        <f t="shared" si="458"/>
        <v>1</v>
      </c>
      <c r="BB712" s="15">
        <f t="shared" si="465"/>
        <v>0</v>
      </c>
      <c r="BC712" s="15" t="str">
        <f t="shared" si="466"/>
        <v/>
      </c>
      <c r="BD712" s="15" t="str">
        <f t="shared" si="467"/>
        <v/>
      </c>
      <c r="BE712" s="11" t="e">
        <f t="shared" si="459"/>
        <v>#VALUE!</v>
      </c>
      <c r="BF712" s="11" t="e">
        <f t="shared" si="460"/>
        <v>#VALUE!</v>
      </c>
      <c r="BG712" s="11" t="e">
        <f t="shared" si="461"/>
        <v>#VALUE!</v>
      </c>
      <c r="BH712" t="str">
        <f t="shared" si="462"/>
        <v/>
      </c>
      <c r="BI712" t="str" cm="1">
        <f t="array" ref="BI712">_xlfn.IFS(
  L712&gt;0,"Critical Fail",
  M712&gt;0,"Important (Coaching)",
  TRUE,"Clean Pass"
)</f>
        <v>Clean Pass</v>
      </c>
      <c r="BJ712" t="str">
        <f t="shared" si="463"/>
        <v>NA</v>
      </c>
    </row>
    <row r="713" spans="1:62" x14ac:dyDescent="0.3">
      <c r="A713">
        <v>166048</v>
      </c>
      <c r="K713" t="str">
        <f t="shared" si="464"/>
        <v>Pass</v>
      </c>
      <c r="L713" s="15">
        <f t="shared" si="429"/>
        <v>0</v>
      </c>
      <c r="M713" s="15">
        <f t="shared" si="430"/>
        <v>0</v>
      </c>
      <c r="Z713" s="15">
        <f t="shared" si="431"/>
        <v>1</v>
      </c>
      <c r="AA713" s="15">
        <f t="shared" si="432"/>
        <v>1</v>
      </c>
      <c r="AB713" s="15">
        <f t="shared" si="433"/>
        <v>1</v>
      </c>
      <c r="AC713" s="15">
        <f t="shared" si="434"/>
        <v>1</v>
      </c>
      <c r="AD713" s="15">
        <f t="shared" si="435"/>
        <v>1</v>
      </c>
      <c r="AE713" s="15">
        <f t="shared" si="436"/>
        <v>1</v>
      </c>
      <c r="AF713" s="15">
        <f t="shared" si="437"/>
        <v>1</v>
      </c>
      <c r="AG713" s="15">
        <f t="shared" si="438"/>
        <v>1</v>
      </c>
      <c r="AH713" s="15">
        <f t="shared" si="439"/>
        <v>1</v>
      </c>
      <c r="AI713" s="15">
        <f t="shared" si="440"/>
        <v>1</v>
      </c>
      <c r="AJ713" s="15">
        <f t="shared" si="441"/>
        <v>1</v>
      </c>
      <c r="AK713" s="15">
        <f t="shared" si="442"/>
        <v>1</v>
      </c>
      <c r="AL713" s="15">
        <f t="shared" si="443"/>
        <v>1</v>
      </c>
      <c r="AM713" s="15">
        <f t="shared" si="444"/>
        <v>1</v>
      </c>
      <c r="AN713" s="15">
        <f t="shared" si="445"/>
        <v>1</v>
      </c>
      <c r="AO713" s="15">
        <f t="shared" si="446"/>
        <v>1</v>
      </c>
      <c r="AP713" s="15">
        <f t="shared" si="447"/>
        <v>1</v>
      </c>
      <c r="AQ713" s="15">
        <f t="shared" si="448"/>
        <v>1</v>
      </c>
      <c r="AR713" s="15">
        <f t="shared" si="449"/>
        <v>1</v>
      </c>
      <c r="AS713" s="15">
        <f t="shared" si="450"/>
        <v>1</v>
      </c>
      <c r="AT713" s="15">
        <f t="shared" si="451"/>
        <v>1</v>
      </c>
      <c r="AU713" s="15">
        <f t="shared" si="452"/>
        <v>1</v>
      </c>
      <c r="AV713" s="15">
        <f t="shared" si="453"/>
        <v>1</v>
      </c>
      <c r="AW713" s="15">
        <f t="shared" si="454"/>
        <v>1</v>
      </c>
      <c r="AX713" s="15">
        <f t="shared" si="455"/>
        <v>1</v>
      </c>
      <c r="AY713" s="15">
        <f t="shared" si="456"/>
        <v>1</v>
      </c>
      <c r="AZ713" s="15">
        <f t="shared" si="457"/>
        <v>1</v>
      </c>
      <c r="BA713" s="15">
        <f t="shared" si="458"/>
        <v>1</v>
      </c>
      <c r="BB713" s="15">
        <f t="shared" si="465"/>
        <v>0</v>
      </c>
      <c r="BC713" s="15" t="str">
        <f t="shared" si="466"/>
        <v/>
      </c>
      <c r="BD713" s="15" t="str">
        <f t="shared" si="467"/>
        <v/>
      </c>
      <c r="BE713" s="11" t="e">
        <f t="shared" si="459"/>
        <v>#VALUE!</v>
      </c>
      <c r="BF713" s="11" t="e">
        <f t="shared" si="460"/>
        <v>#VALUE!</v>
      </c>
      <c r="BG713" s="11" t="e">
        <f t="shared" si="461"/>
        <v>#VALUE!</v>
      </c>
      <c r="BH713" t="str">
        <f t="shared" si="462"/>
        <v/>
      </c>
      <c r="BI713" t="str" cm="1">
        <f t="array" ref="BI713">_xlfn.IFS(
  L713&gt;0,"Critical Fail",
  M713&gt;0,"Important (Coaching)",
  TRUE,"Clean Pass"
)</f>
        <v>Clean Pass</v>
      </c>
      <c r="BJ713" t="str">
        <f t="shared" si="463"/>
        <v>NA</v>
      </c>
    </row>
    <row r="714" spans="1:62" x14ac:dyDescent="0.3">
      <c r="A714">
        <v>930249</v>
      </c>
      <c r="K714" t="str">
        <f t="shared" si="464"/>
        <v>Pass</v>
      </c>
      <c r="L714" s="15">
        <f t="shared" si="429"/>
        <v>0</v>
      </c>
      <c r="M714" s="15">
        <f t="shared" si="430"/>
        <v>0</v>
      </c>
      <c r="Z714" s="15">
        <f t="shared" si="431"/>
        <v>1</v>
      </c>
      <c r="AA714" s="15">
        <f t="shared" si="432"/>
        <v>1</v>
      </c>
      <c r="AB714" s="15">
        <f t="shared" si="433"/>
        <v>1</v>
      </c>
      <c r="AC714" s="15">
        <f t="shared" si="434"/>
        <v>1</v>
      </c>
      <c r="AD714" s="15">
        <f t="shared" si="435"/>
        <v>1</v>
      </c>
      <c r="AE714" s="15">
        <f t="shared" si="436"/>
        <v>1</v>
      </c>
      <c r="AF714" s="15">
        <f t="shared" si="437"/>
        <v>1</v>
      </c>
      <c r="AG714" s="15">
        <f t="shared" si="438"/>
        <v>1</v>
      </c>
      <c r="AH714" s="15">
        <f t="shared" si="439"/>
        <v>1</v>
      </c>
      <c r="AI714" s="15">
        <f t="shared" si="440"/>
        <v>1</v>
      </c>
      <c r="AJ714" s="15">
        <f t="shared" si="441"/>
        <v>1</v>
      </c>
      <c r="AK714" s="15">
        <f t="shared" si="442"/>
        <v>1</v>
      </c>
      <c r="AL714" s="15">
        <f t="shared" si="443"/>
        <v>1</v>
      </c>
      <c r="AM714" s="15">
        <f t="shared" si="444"/>
        <v>1</v>
      </c>
      <c r="AN714" s="15">
        <f t="shared" si="445"/>
        <v>1</v>
      </c>
      <c r="AO714" s="15">
        <f t="shared" si="446"/>
        <v>1</v>
      </c>
      <c r="AP714" s="15">
        <f t="shared" si="447"/>
        <v>1</v>
      </c>
      <c r="AQ714" s="15">
        <f t="shared" si="448"/>
        <v>1</v>
      </c>
      <c r="AR714" s="15">
        <f t="shared" si="449"/>
        <v>1</v>
      </c>
      <c r="AS714" s="15">
        <f t="shared" si="450"/>
        <v>1</v>
      </c>
      <c r="AT714" s="15">
        <f t="shared" si="451"/>
        <v>1</v>
      </c>
      <c r="AU714" s="15">
        <f t="shared" si="452"/>
        <v>1</v>
      </c>
      <c r="AV714" s="15">
        <f t="shared" si="453"/>
        <v>1</v>
      </c>
      <c r="AW714" s="15">
        <f t="shared" si="454"/>
        <v>1</v>
      </c>
      <c r="AX714" s="15">
        <f t="shared" si="455"/>
        <v>1</v>
      </c>
      <c r="AY714" s="15">
        <f t="shared" si="456"/>
        <v>1</v>
      </c>
      <c r="AZ714" s="15">
        <f t="shared" si="457"/>
        <v>1</v>
      </c>
      <c r="BA714" s="15">
        <f t="shared" si="458"/>
        <v>1</v>
      </c>
      <c r="BB714" s="15">
        <f t="shared" si="465"/>
        <v>0</v>
      </c>
      <c r="BC714" s="15" t="str">
        <f t="shared" si="466"/>
        <v/>
      </c>
      <c r="BD714" s="15" t="str">
        <f t="shared" si="467"/>
        <v/>
      </c>
      <c r="BE714" s="11" t="e">
        <f t="shared" si="459"/>
        <v>#VALUE!</v>
      </c>
      <c r="BF714" s="11" t="e">
        <f t="shared" si="460"/>
        <v>#VALUE!</v>
      </c>
      <c r="BG714" s="11" t="e">
        <f t="shared" si="461"/>
        <v>#VALUE!</v>
      </c>
      <c r="BH714" t="str">
        <f t="shared" si="462"/>
        <v/>
      </c>
      <c r="BI714" t="str" cm="1">
        <f t="array" ref="BI714">_xlfn.IFS(
  L714&gt;0,"Critical Fail",
  M714&gt;0,"Important (Coaching)",
  TRUE,"Clean Pass"
)</f>
        <v>Clean Pass</v>
      </c>
      <c r="BJ714" t="str">
        <f t="shared" si="463"/>
        <v>NA</v>
      </c>
    </row>
    <row r="715" spans="1:62" x14ac:dyDescent="0.3">
      <c r="A715">
        <v>870967</v>
      </c>
      <c r="K715" t="str">
        <f t="shared" si="464"/>
        <v>Pass</v>
      </c>
      <c r="L715" s="15">
        <f t="shared" si="429"/>
        <v>0</v>
      </c>
      <c r="M715" s="15">
        <f t="shared" si="430"/>
        <v>0</v>
      </c>
      <c r="Z715" s="15">
        <f t="shared" si="431"/>
        <v>1</v>
      </c>
      <c r="AA715" s="15">
        <f t="shared" si="432"/>
        <v>1</v>
      </c>
      <c r="AB715" s="15">
        <f t="shared" si="433"/>
        <v>1</v>
      </c>
      <c r="AC715" s="15">
        <f t="shared" si="434"/>
        <v>1</v>
      </c>
      <c r="AD715" s="15">
        <f t="shared" si="435"/>
        <v>1</v>
      </c>
      <c r="AE715" s="15">
        <f t="shared" si="436"/>
        <v>1</v>
      </c>
      <c r="AF715" s="15">
        <f t="shared" si="437"/>
        <v>1</v>
      </c>
      <c r="AG715" s="15">
        <f t="shared" si="438"/>
        <v>1</v>
      </c>
      <c r="AH715" s="15">
        <f t="shared" si="439"/>
        <v>1</v>
      </c>
      <c r="AI715" s="15">
        <f t="shared" si="440"/>
        <v>1</v>
      </c>
      <c r="AJ715" s="15">
        <f t="shared" si="441"/>
        <v>1</v>
      </c>
      <c r="AK715" s="15">
        <f t="shared" si="442"/>
        <v>1</v>
      </c>
      <c r="AL715" s="15">
        <f t="shared" si="443"/>
        <v>1</v>
      </c>
      <c r="AM715" s="15">
        <f t="shared" si="444"/>
        <v>1</v>
      </c>
      <c r="AN715" s="15">
        <f t="shared" si="445"/>
        <v>1</v>
      </c>
      <c r="AO715" s="15">
        <f t="shared" si="446"/>
        <v>1</v>
      </c>
      <c r="AP715" s="15">
        <f t="shared" si="447"/>
        <v>1</v>
      </c>
      <c r="AQ715" s="15">
        <f t="shared" si="448"/>
        <v>1</v>
      </c>
      <c r="AR715" s="15">
        <f t="shared" si="449"/>
        <v>1</v>
      </c>
      <c r="AS715" s="15">
        <f t="shared" si="450"/>
        <v>1</v>
      </c>
      <c r="AT715" s="15">
        <f t="shared" si="451"/>
        <v>1</v>
      </c>
      <c r="AU715" s="15">
        <f t="shared" si="452"/>
        <v>1</v>
      </c>
      <c r="AV715" s="15">
        <f t="shared" si="453"/>
        <v>1</v>
      </c>
      <c r="AW715" s="15">
        <f t="shared" si="454"/>
        <v>1</v>
      </c>
      <c r="AX715" s="15">
        <f t="shared" si="455"/>
        <v>1</v>
      </c>
      <c r="AY715" s="15">
        <f t="shared" si="456"/>
        <v>1</v>
      </c>
      <c r="AZ715" s="15">
        <f t="shared" si="457"/>
        <v>1</v>
      </c>
      <c r="BA715" s="15">
        <f t="shared" si="458"/>
        <v>1</v>
      </c>
      <c r="BB715" s="15">
        <f t="shared" si="465"/>
        <v>0</v>
      </c>
      <c r="BC715" s="15" t="str">
        <f t="shared" si="466"/>
        <v/>
      </c>
      <c r="BD715" s="15" t="str">
        <f t="shared" si="467"/>
        <v/>
      </c>
      <c r="BE715" s="11" t="e">
        <f t="shared" si="459"/>
        <v>#VALUE!</v>
      </c>
      <c r="BF715" s="11" t="e">
        <f t="shared" si="460"/>
        <v>#VALUE!</v>
      </c>
      <c r="BG715" s="11" t="e">
        <f t="shared" si="461"/>
        <v>#VALUE!</v>
      </c>
      <c r="BH715" t="str">
        <f t="shared" si="462"/>
        <v/>
      </c>
      <c r="BI715" t="str" cm="1">
        <f t="array" ref="BI715">_xlfn.IFS(
  L715&gt;0,"Critical Fail",
  M715&gt;0,"Important (Coaching)",
  TRUE,"Clean Pass"
)</f>
        <v>Clean Pass</v>
      </c>
      <c r="BJ715" t="str">
        <f t="shared" si="463"/>
        <v>NA</v>
      </c>
    </row>
    <row r="716" spans="1:62" x14ac:dyDescent="0.3">
      <c r="A716">
        <v>417787</v>
      </c>
      <c r="K716" t="str">
        <f t="shared" si="464"/>
        <v>Pass</v>
      </c>
      <c r="L716" s="15">
        <f t="shared" si="429"/>
        <v>0</v>
      </c>
      <c r="M716" s="15">
        <f t="shared" si="430"/>
        <v>0</v>
      </c>
      <c r="Z716" s="15">
        <f t="shared" si="431"/>
        <v>1</v>
      </c>
      <c r="AA716" s="15">
        <f t="shared" si="432"/>
        <v>1</v>
      </c>
      <c r="AB716" s="15">
        <f t="shared" si="433"/>
        <v>1</v>
      </c>
      <c r="AC716" s="15">
        <f t="shared" si="434"/>
        <v>1</v>
      </c>
      <c r="AD716" s="15">
        <f t="shared" si="435"/>
        <v>1</v>
      </c>
      <c r="AE716" s="15">
        <f t="shared" si="436"/>
        <v>1</v>
      </c>
      <c r="AF716" s="15">
        <f t="shared" si="437"/>
        <v>1</v>
      </c>
      <c r="AG716" s="15">
        <f t="shared" si="438"/>
        <v>1</v>
      </c>
      <c r="AH716" s="15">
        <f t="shared" si="439"/>
        <v>1</v>
      </c>
      <c r="AI716" s="15">
        <f t="shared" si="440"/>
        <v>1</v>
      </c>
      <c r="AJ716" s="15">
        <f t="shared" si="441"/>
        <v>1</v>
      </c>
      <c r="AK716" s="15">
        <f t="shared" si="442"/>
        <v>1</v>
      </c>
      <c r="AL716" s="15">
        <f t="shared" si="443"/>
        <v>1</v>
      </c>
      <c r="AM716" s="15">
        <f t="shared" si="444"/>
        <v>1</v>
      </c>
      <c r="AN716" s="15">
        <f t="shared" si="445"/>
        <v>1</v>
      </c>
      <c r="AO716" s="15">
        <f t="shared" si="446"/>
        <v>1</v>
      </c>
      <c r="AP716" s="15">
        <f t="shared" si="447"/>
        <v>1</v>
      </c>
      <c r="AQ716" s="15">
        <f t="shared" si="448"/>
        <v>1</v>
      </c>
      <c r="AR716" s="15">
        <f t="shared" si="449"/>
        <v>1</v>
      </c>
      <c r="AS716" s="15">
        <f t="shared" si="450"/>
        <v>1</v>
      </c>
      <c r="AT716" s="15">
        <f t="shared" si="451"/>
        <v>1</v>
      </c>
      <c r="AU716" s="15">
        <f t="shared" si="452"/>
        <v>1</v>
      </c>
      <c r="AV716" s="15">
        <f t="shared" si="453"/>
        <v>1</v>
      </c>
      <c r="AW716" s="15">
        <f t="shared" si="454"/>
        <v>1</v>
      </c>
      <c r="AX716" s="15">
        <f t="shared" si="455"/>
        <v>1</v>
      </c>
      <c r="AY716" s="15">
        <f t="shared" si="456"/>
        <v>1</v>
      </c>
      <c r="AZ716" s="15">
        <f t="shared" si="457"/>
        <v>1</v>
      </c>
      <c r="BA716" s="15">
        <f t="shared" si="458"/>
        <v>1</v>
      </c>
      <c r="BB716" s="15">
        <f t="shared" si="465"/>
        <v>0</v>
      </c>
      <c r="BC716" s="15" t="str">
        <f t="shared" si="466"/>
        <v/>
      </c>
      <c r="BD716" s="15" t="str">
        <f t="shared" si="467"/>
        <v/>
      </c>
      <c r="BE716" s="11" t="e">
        <f t="shared" si="459"/>
        <v>#VALUE!</v>
      </c>
      <c r="BF716" s="11" t="e">
        <f t="shared" si="460"/>
        <v>#VALUE!</v>
      </c>
      <c r="BG716" s="11" t="e">
        <f t="shared" si="461"/>
        <v>#VALUE!</v>
      </c>
      <c r="BH716" t="str">
        <f t="shared" si="462"/>
        <v/>
      </c>
      <c r="BI716" t="str" cm="1">
        <f t="array" ref="BI716">_xlfn.IFS(
  L716&gt;0,"Critical Fail",
  M716&gt;0,"Important (Coaching)",
  TRUE,"Clean Pass"
)</f>
        <v>Clean Pass</v>
      </c>
      <c r="BJ716" t="str">
        <f t="shared" si="463"/>
        <v>NA</v>
      </c>
    </row>
    <row r="717" spans="1:62" x14ac:dyDescent="0.3">
      <c r="A717">
        <v>632817</v>
      </c>
      <c r="K717" t="str">
        <f t="shared" si="464"/>
        <v>Pass</v>
      </c>
      <c r="L717" s="15">
        <f t="shared" si="429"/>
        <v>0</v>
      </c>
      <c r="M717" s="15">
        <f t="shared" si="430"/>
        <v>0</v>
      </c>
      <c r="Z717" s="15">
        <f t="shared" si="431"/>
        <v>1</v>
      </c>
      <c r="AA717" s="15">
        <f t="shared" si="432"/>
        <v>1</v>
      </c>
      <c r="AB717" s="15">
        <f t="shared" si="433"/>
        <v>1</v>
      </c>
      <c r="AC717" s="15">
        <f t="shared" si="434"/>
        <v>1</v>
      </c>
      <c r="AD717" s="15">
        <f t="shared" si="435"/>
        <v>1</v>
      </c>
      <c r="AE717" s="15">
        <f t="shared" si="436"/>
        <v>1</v>
      </c>
      <c r="AF717" s="15">
        <f t="shared" si="437"/>
        <v>1</v>
      </c>
      <c r="AG717" s="15">
        <f t="shared" si="438"/>
        <v>1</v>
      </c>
      <c r="AH717" s="15">
        <f t="shared" si="439"/>
        <v>1</v>
      </c>
      <c r="AI717" s="15">
        <f t="shared" si="440"/>
        <v>1</v>
      </c>
      <c r="AJ717" s="15">
        <f t="shared" si="441"/>
        <v>1</v>
      </c>
      <c r="AK717" s="15">
        <f t="shared" si="442"/>
        <v>1</v>
      </c>
      <c r="AL717" s="15">
        <f t="shared" si="443"/>
        <v>1</v>
      </c>
      <c r="AM717" s="15">
        <f t="shared" si="444"/>
        <v>1</v>
      </c>
      <c r="AN717" s="15">
        <f t="shared" si="445"/>
        <v>1</v>
      </c>
      <c r="AO717" s="15">
        <f t="shared" si="446"/>
        <v>1</v>
      </c>
      <c r="AP717" s="15">
        <f t="shared" si="447"/>
        <v>1</v>
      </c>
      <c r="AQ717" s="15">
        <f t="shared" si="448"/>
        <v>1</v>
      </c>
      <c r="AR717" s="15">
        <f t="shared" si="449"/>
        <v>1</v>
      </c>
      <c r="AS717" s="15">
        <f t="shared" si="450"/>
        <v>1</v>
      </c>
      <c r="AT717" s="15">
        <f t="shared" si="451"/>
        <v>1</v>
      </c>
      <c r="AU717" s="15">
        <f t="shared" si="452"/>
        <v>1</v>
      </c>
      <c r="AV717" s="15">
        <f t="shared" si="453"/>
        <v>1</v>
      </c>
      <c r="AW717" s="15">
        <f t="shared" si="454"/>
        <v>1</v>
      </c>
      <c r="AX717" s="15">
        <f t="shared" si="455"/>
        <v>1</v>
      </c>
      <c r="AY717" s="15">
        <f t="shared" si="456"/>
        <v>1</v>
      </c>
      <c r="AZ717" s="15">
        <f t="shared" si="457"/>
        <v>1</v>
      </c>
      <c r="BA717" s="15">
        <f t="shared" si="458"/>
        <v>1</v>
      </c>
      <c r="BB717" s="15">
        <f t="shared" si="465"/>
        <v>0</v>
      </c>
      <c r="BC717" s="15" t="str">
        <f t="shared" si="466"/>
        <v/>
      </c>
      <c r="BD717" s="15" t="str">
        <f t="shared" si="467"/>
        <v/>
      </c>
      <c r="BE717" s="11" t="e">
        <f t="shared" si="459"/>
        <v>#VALUE!</v>
      </c>
      <c r="BF717" s="11" t="e">
        <f t="shared" si="460"/>
        <v>#VALUE!</v>
      </c>
      <c r="BG717" s="11" t="e">
        <f t="shared" si="461"/>
        <v>#VALUE!</v>
      </c>
      <c r="BH717" t="str">
        <f t="shared" si="462"/>
        <v/>
      </c>
      <c r="BI717" t="str" cm="1">
        <f t="array" ref="BI717">_xlfn.IFS(
  L717&gt;0,"Critical Fail",
  M717&gt;0,"Important (Coaching)",
  TRUE,"Clean Pass"
)</f>
        <v>Clean Pass</v>
      </c>
      <c r="BJ717" t="str">
        <f t="shared" si="463"/>
        <v>NA</v>
      </c>
    </row>
    <row r="718" spans="1:62" x14ac:dyDescent="0.3">
      <c r="A718">
        <v>525749</v>
      </c>
      <c r="K718" t="str">
        <f t="shared" si="464"/>
        <v>Pass</v>
      </c>
      <c r="L718" s="15">
        <f t="shared" si="429"/>
        <v>0</v>
      </c>
      <c r="M718" s="15">
        <f t="shared" si="430"/>
        <v>0</v>
      </c>
      <c r="Z718" s="15">
        <f t="shared" si="431"/>
        <v>1</v>
      </c>
      <c r="AA718" s="15">
        <f t="shared" si="432"/>
        <v>1</v>
      </c>
      <c r="AB718" s="15">
        <f t="shared" si="433"/>
        <v>1</v>
      </c>
      <c r="AC718" s="15">
        <f t="shared" si="434"/>
        <v>1</v>
      </c>
      <c r="AD718" s="15">
        <f t="shared" si="435"/>
        <v>1</v>
      </c>
      <c r="AE718" s="15">
        <f t="shared" si="436"/>
        <v>1</v>
      </c>
      <c r="AF718" s="15">
        <f t="shared" si="437"/>
        <v>1</v>
      </c>
      <c r="AG718" s="15">
        <f t="shared" si="438"/>
        <v>1</v>
      </c>
      <c r="AH718" s="15">
        <f t="shared" si="439"/>
        <v>1</v>
      </c>
      <c r="AI718" s="15">
        <f t="shared" si="440"/>
        <v>1</v>
      </c>
      <c r="AJ718" s="15">
        <f t="shared" si="441"/>
        <v>1</v>
      </c>
      <c r="AK718" s="15">
        <f t="shared" si="442"/>
        <v>1</v>
      </c>
      <c r="AL718" s="15">
        <f t="shared" si="443"/>
        <v>1</v>
      </c>
      <c r="AM718" s="15">
        <f t="shared" si="444"/>
        <v>1</v>
      </c>
      <c r="AN718" s="15">
        <f t="shared" si="445"/>
        <v>1</v>
      </c>
      <c r="AO718" s="15">
        <f t="shared" si="446"/>
        <v>1</v>
      </c>
      <c r="AP718" s="15">
        <f t="shared" si="447"/>
        <v>1</v>
      </c>
      <c r="AQ718" s="15">
        <f t="shared" si="448"/>
        <v>1</v>
      </c>
      <c r="AR718" s="15">
        <f t="shared" si="449"/>
        <v>1</v>
      </c>
      <c r="AS718" s="15">
        <f t="shared" si="450"/>
        <v>1</v>
      </c>
      <c r="AT718" s="15">
        <f t="shared" si="451"/>
        <v>1</v>
      </c>
      <c r="AU718" s="15">
        <f t="shared" si="452"/>
        <v>1</v>
      </c>
      <c r="AV718" s="15">
        <f t="shared" si="453"/>
        <v>1</v>
      </c>
      <c r="AW718" s="15">
        <f t="shared" si="454"/>
        <v>1</v>
      </c>
      <c r="AX718" s="15">
        <f t="shared" si="455"/>
        <v>1</v>
      </c>
      <c r="AY718" s="15">
        <f t="shared" si="456"/>
        <v>1</v>
      </c>
      <c r="AZ718" s="15">
        <f t="shared" si="457"/>
        <v>1</v>
      </c>
      <c r="BA718" s="15">
        <f t="shared" si="458"/>
        <v>1</v>
      </c>
      <c r="BB718" s="15">
        <f t="shared" si="465"/>
        <v>0</v>
      </c>
      <c r="BC718" s="15" t="str">
        <f t="shared" si="466"/>
        <v/>
      </c>
      <c r="BD718" s="15" t="str">
        <f t="shared" si="467"/>
        <v/>
      </c>
      <c r="BE718" s="11" t="e">
        <f t="shared" si="459"/>
        <v>#VALUE!</v>
      </c>
      <c r="BF718" s="11" t="e">
        <f t="shared" si="460"/>
        <v>#VALUE!</v>
      </c>
      <c r="BG718" s="11" t="e">
        <f t="shared" si="461"/>
        <v>#VALUE!</v>
      </c>
      <c r="BH718" t="str">
        <f t="shared" si="462"/>
        <v/>
      </c>
      <c r="BI718" t="str" cm="1">
        <f t="array" ref="BI718">_xlfn.IFS(
  L718&gt;0,"Critical Fail",
  M718&gt;0,"Important (Coaching)",
  TRUE,"Clean Pass"
)</f>
        <v>Clean Pass</v>
      </c>
      <c r="BJ718" t="str">
        <f t="shared" si="463"/>
        <v>NA</v>
      </c>
    </row>
    <row r="719" spans="1:62" x14ac:dyDescent="0.3">
      <c r="A719">
        <v>582320</v>
      </c>
      <c r="K719" t="str">
        <f t="shared" si="464"/>
        <v>Pass</v>
      </c>
      <c r="L719" s="15">
        <f t="shared" si="429"/>
        <v>0</v>
      </c>
      <c r="M719" s="15">
        <f t="shared" si="430"/>
        <v>0</v>
      </c>
      <c r="Z719" s="15">
        <f t="shared" si="431"/>
        <v>1</v>
      </c>
      <c r="AA719" s="15">
        <f t="shared" si="432"/>
        <v>1</v>
      </c>
      <c r="AB719" s="15">
        <f t="shared" si="433"/>
        <v>1</v>
      </c>
      <c r="AC719" s="15">
        <f t="shared" si="434"/>
        <v>1</v>
      </c>
      <c r="AD719" s="15">
        <f t="shared" si="435"/>
        <v>1</v>
      </c>
      <c r="AE719" s="15">
        <f t="shared" si="436"/>
        <v>1</v>
      </c>
      <c r="AF719" s="15">
        <f t="shared" si="437"/>
        <v>1</v>
      </c>
      <c r="AG719" s="15">
        <f t="shared" si="438"/>
        <v>1</v>
      </c>
      <c r="AH719" s="15">
        <f t="shared" si="439"/>
        <v>1</v>
      </c>
      <c r="AI719" s="15">
        <f t="shared" si="440"/>
        <v>1</v>
      </c>
      <c r="AJ719" s="15">
        <f t="shared" si="441"/>
        <v>1</v>
      </c>
      <c r="AK719" s="15">
        <f t="shared" si="442"/>
        <v>1</v>
      </c>
      <c r="AL719" s="15">
        <f t="shared" si="443"/>
        <v>1</v>
      </c>
      <c r="AM719" s="15">
        <f t="shared" si="444"/>
        <v>1</v>
      </c>
      <c r="AN719" s="15">
        <f t="shared" si="445"/>
        <v>1</v>
      </c>
      <c r="AO719" s="15">
        <f t="shared" si="446"/>
        <v>1</v>
      </c>
      <c r="AP719" s="15">
        <f t="shared" si="447"/>
        <v>1</v>
      </c>
      <c r="AQ719" s="15">
        <f t="shared" si="448"/>
        <v>1</v>
      </c>
      <c r="AR719" s="15">
        <f t="shared" si="449"/>
        <v>1</v>
      </c>
      <c r="AS719" s="15">
        <f t="shared" si="450"/>
        <v>1</v>
      </c>
      <c r="AT719" s="15">
        <f t="shared" si="451"/>
        <v>1</v>
      </c>
      <c r="AU719" s="15">
        <f t="shared" si="452"/>
        <v>1</v>
      </c>
      <c r="AV719" s="15">
        <f t="shared" si="453"/>
        <v>1</v>
      </c>
      <c r="AW719" s="15">
        <f t="shared" si="454"/>
        <v>1</v>
      </c>
      <c r="AX719" s="15">
        <f t="shared" si="455"/>
        <v>1</v>
      </c>
      <c r="AY719" s="15">
        <f t="shared" si="456"/>
        <v>1</v>
      </c>
      <c r="AZ719" s="15">
        <f t="shared" si="457"/>
        <v>1</v>
      </c>
      <c r="BA719" s="15">
        <f t="shared" si="458"/>
        <v>1</v>
      </c>
      <c r="BB719" s="15">
        <f t="shared" si="465"/>
        <v>0</v>
      </c>
      <c r="BC719" s="15" t="str">
        <f t="shared" si="466"/>
        <v/>
      </c>
      <c r="BD719" s="15" t="str">
        <f t="shared" si="467"/>
        <v/>
      </c>
      <c r="BE719" s="11" t="e">
        <f t="shared" si="459"/>
        <v>#VALUE!</v>
      </c>
      <c r="BF719" s="11" t="e">
        <f t="shared" si="460"/>
        <v>#VALUE!</v>
      </c>
      <c r="BG719" s="11" t="e">
        <f t="shared" si="461"/>
        <v>#VALUE!</v>
      </c>
      <c r="BH719" t="str">
        <f t="shared" si="462"/>
        <v/>
      </c>
      <c r="BI719" t="str" cm="1">
        <f t="array" ref="BI719">_xlfn.IFS(
  L719&gt;0,"Critical Fail",
  M719&gt;0,"Important (Coaching)",
  TRUE,"Clean Pass"
)</f>
        <v>Clean Pass</v>
      </c>
      <c r="BJ719" t="str">
        <f t="shared" si="463"/>
        <v>NA</v>
      </c>
    </row>
    <row r="720" spans="1:62" x14ac:dyDescent="0.3">
      <c r="A720">
        <v>602373</v>
      </c>
      <c r="K720" t="str">
        <f t="shared" si="464"/>
        <v>Pass</v>
      </c>
      <c r="L720" s="15">
        <f t="shared" si="429"/>
        <v>0</v>
      </c>
      <c r="M720" s="15">
        <f t="shared" si="430"/>
        <v>0</v>
      </c>
      <c r="Z720" s="15">
        <f t="shared" si="431"/>
        <v>1</v>
      </c>
      <c r="AA720" s="15">
        <f t="shared" si="432"/>
        <v>1</v>
      </c>
      <c r="AB720" s="15">
        <f t="shared" si="433"/>
        <v>1</v>
      </c>
      <c r="AC720" s="15">
        <f t="shared" si="434"/>
        <v>1</v>
      </c>
      <c r="AD720" s="15">
        <f t="shared" si="435"/>
        <v>1</v>
      </c>
      <c r="AE720" s="15">
        <f t="shared" si="436"/>
        <v>1</v>
      </c>
      <c r="AF720" s="15">
        <f t="shared" si="437"/>
        <v>1</v>
      </c>
      <c r="AG720" s="15">
        <f t="shared" si="438"/>
        <v>1</v>
      </c>
      <c r="AH720" s="15">
        <f t="shared" si="439"/>
        <v>1</v>
      </c>
      <c r="AI720" s="15">
        <f t="shared" si="440"/>
        <v>1</v>
      </c>
      <c r="AJ720" s="15">
        <f t="shared" si="441"/>
        <v>1</v>
      </c>
      <c r="AK720" s="15">
        <f t="shared" si="442"/>
        <v>1</v>
      </c>
      <c r="AL720" s="15">
        <f t="shared" si="443"/>
        <v>1</v>
      </c>
      <c r="AM720" s="15">
        <f t="shared" si="444"/>
        <v>1</v>
      </c>
      <c r="AN720" s="15">
        <f t="shared" si="445"/>
        <v>1</v>
      </c>
      <c r="AO720" s="15">
        <f t="shared" si="446"/>
        <v>1</v>
      </c>
      <c r="AP720" s="15">
        <f t="shared" si="447"/>
        <v>1</v>
      </c>
      <c r="AQ720" s="15">
        <f t="shared" si="448"/>
        <v>1</v>
      </c>
      <c r="AR720" s="15">
        <f t="shared" si="449"/>
        <v>1</v>
      </c>
      <c r="AS720" s="15">
        <f t="shared" si="450"/>
        <v>1</v>
      </c>
      <c r="AT720" s="15">
        <f t="shared" si="451"/>
        <v>1</v>
      </c>
      <c r="AU720" s="15">
        <f t="shared" si="452"/>
        <v>1</v>
      </c>
      <c r="AV720" s="15">
        <f t="shared" si="453"/>
        <v>1</v>
      </c>
      <c r="AW720" s="15">
        <f t="shared" si="454"/>
        <v>1</v>
      </c>
      <c r="AX720" s="15">
        <f t="shared" si="455"/>
        <v>1</v>
      </c>
      <c r="AY720" s="15">
        <f t="shared" si="456"/>
        <v>1</v>
      </c>
      <c r="AZ720" s="15">
        <f t="shared" si="457"/>
        <v>1</v>
      </c>
      <c r="BA720" s="15">
        <f t="shared" si="458"/>
        <v>1</v>
      </c>
      <c r="BB720" s="15">
        <f t="shared" si="465"/>
        <v>0</v>
      </c>
      <c r="BC720" s="15" t="str">
        <f t="shared" si="466"/>
        <v/>
      </c>
      <c r="BD720" s="15" t="str">
        <f t="shared" si="467"/>
        <v/>
      </c>
      <c r="BE720" s="11" t="e">
        <f t="shared" si="459"/>
        <v>#VALUE!</v>
      </c>
      <c r="BF720" s="11" t="e">
        <f t="shared" si="460"/>
        <v>#VALUE!</v>
      </c>
      <c r="BG720" s="11" t="e">
        <f t="shared" si="461"/>
        <v>#VALUE!</v>
      </c>
      <c r="BH720" t="str">
        <f t="shared" si="462"/>
        <v/>
      </c>
      <c r="BI720" t="str" cm="1">
        <f t="array" ref="BI720">_xlfn.IFS(
  L720&gt;0,"Critical Fail",
  M720&gt;0,"Important (Coaching)",
  TRUE,"Clean Pass"
)</f>
        <v>Clean Pass</v>
      </c>
      <c r="BJ720" t="str">
        <f t="shared" si="463"/>
        <v>NA</v>
      </c>
    </row>
    <row r="721" spans="1:62" x14ac:dyDescent="0.3">
      <c r="A721">
        <v>672609</v>
      </c>
      <c r="K721" t="str">
        <f t="shared" si="464"/>
        <v>Pass</v>
      </c>
      <c r="L721" s="15">
        <f t="shared" si="429"/>
        <v>0</v>
      </c>
      <c r="M721" s="15">
        <f t="shared" si="430"/>
        <v>0</v>
      </c>
      <c r="Z721" s="15">
        <f t="shared" si="431"/>
        <v>1</v>
      </c>
      <c r="AA721" s="15">
        <f t="shared" si="432"/>
        <v>1</v>
      </c>
      <c r="AB721" s="15">
        <f t="shared" si="433"/>
        <v>1</v>
      </c>
      <c r="AC721" s="15">
        <f t="shared" si="434"/>
        <v>1</v>
      </c>
      <c r="AD721" s="15">
        <f t="shared" si="435"/>
        <v>1</v>
      </c>
      <c r="AE721" s="15">
        <f t="shared" si="436"/>
        <v>1</v>
      </c>
      <c r="AF721" s="15">
        <f t="shared" si="437"/>
        <v>1</v>
      </c>
      <c r="AG721" s="15">
        <f t="shared" si="438"/>
        <v>1</v>
      </c>
      <c r="AH721" s="15">
        <f t="shared" si="439"/>
        <v>1</v>
      </c>
      <c r="AI721" s="15">
        <f t="shared" si="440"/>
        <v>1</v>
      </c>
      <c r="AJ721" s="15">
        <f t="shared" si="441"/>
        <v>1</v>
      </c>
      <c r="AK721" s="15">
        <f t="shared" si="442"/>
        <v>1</v>
      </c>
      <c r="AL721" s="15">
        <f t="shared" si="443"/>
        <v>1</v>
      </c>
      <c r="AM721" s="15">
        <f t="shared" si="444"/>
        <v>1</v>
      </c>
      <c r="AN721" s="15">
        <f t="shared" si="445"/>
        <v>1</v>
      </c>
      <c r="AO721" s="15">
        <f t="shared" si="446"/>
        <v>1</v>
      </c>
      <c r="AP721" s="15">
        <f t="shared" si="447"/>
        <v>1</v>
      </c>
      <c r="AQ721" s="15">
        <f t="shared" si="448"/>
        <v>1</v>
      </c>
      <c r="AR721" s="15">
        <f t="shared" si="449"/>
        <v>1</v>
      </c>
      <c r="AS721" s="15">
        <f t="shared" si="450"/>
        <v>1</v>
      </c>
      <c r="AT721" s="15">
        <f t="shared" si="451"/>
        <v>1</v>
      </c>
      <c r="AU721" s="15">
        <f t="shared" si="452"/>
        <v>1</v>
      </c>
      <c r="AV721" s="15">
        <f t="shared" si="453"/>
        <v>1</v>
      </c>
      <c r="AW721" s="15">
        <f t="shared" si="454"/>
        <v>1</v>
      </c>
      <c r="AX721" s="15">
        <f t="shared" si="455"/>
        <v>1</v>
      </c>
      <c r="AY721" s="15">
        <f t="shared" si="456"/>
        <v>1</v>
      </c>
      <c r="AZ721" s="15">
        <f t="shared" si="457"/>
        <v>1</v>
      </c>
      <c r="BA721" s="15">
        <f t="shared" si="458"/>
        <v>1</v>
      </c>
      <c r="BB721" s="15">
        <f t="shared" si="465"/>
        <v>0</v>
      </c>
      <c r="BC721" s="15" t="str">
        <f t="shared" si="466"/>
        <v/>
      </c>
      <c r="BD721" s="15" t="str">
        <f t="shared" si="467"/>
        <v/>
      </c>
      <c r="BE721" s="11" t="e">
        <f t="shared" si="459"/>
        <v>#VALUE!</v>
      </c>
      <c r="BF721" s="11" t="e">
        <f t="shared" si="460"/>
        <v>#VALUE!</v>
      </c>
      <c r="BG721" s="11" t="e">
        <f t="shared" si="461"/>
        <v>#VALUE!</v>
      </c>
      <c r="BH721" t="str">
        <f t="shared" si="462"/>
        <v/>
      </c>
      <c r="BI721" t="str" cm="1">
        <f t="array" ref="BI721">_xlfn.IFS(
  L721&gt;0,"Critical Fail",
  M721&gt;0,"Important (Coaching)",
  TRUE,"Clean Pass"
)</f>
        <v>Clean Pass</v>
      </c>
      <c r="BJ721" t="str">
        <f t="shared" si="463"/>
        <v>NA</v>
      </c>
    </row>
    <row r="722" spans="1:62" x14ac:dyDescent="0.3">
      <c r="A722">
        <v>849223</v>
      </c>
      <c r="K722" t="str">
        <f t="shared" si="464"/>
        <v>Pass</v>
      </c>
      <c r="L722" s="15">
        <f t="shared" si="429"/>
        <v>0</v>
      </c>
      <c r="M722" s="15">
        <f t="shared" si="430"/>
        <v>0</v>
      </c>
      <c r="Z722" s="15">
        <f t="shared" si="431"/>
        <v>1</v>
      </c>
      <c r="AA722" s="15">
        <f t="shared" si="432"/>
        <v>1</v>
      </c>
      <c r="AB722" s="15">
        <f t="shared" si="433"/>
        <v>1</v>
      </c>
      <c r="AC722" s="15">
        <f t="shared" si="434"/>
        <v>1</v>
      </c>
      <c r="AD722" s="15">
        <f t="shared" si="435"/>
        <v>1</v>
      </c>
      <c r="AE722" s="15">
        <f t="shared" si="436"/>
        <v>1</v>
      </c>
      <c r="AF722" s="15">
        <f t="shared" si="437"/>
        <v>1</v>
      </c>
      <c r="AG722" s="15">
        <f t="shared" si="438"/>
        <v>1</v>
      </c>
      <c r="AH722" s="15">
        <f t="shared" si="439"/>
        <v>1</v>
      </c>
      <c r="AI722" s="15">
        <f t="shared" si="440"/>
        <v>1</v>
      </c>
      <c r="AJ722" s="15">
        <f t="shared" si="441"/>
        <v>1</v>
      </c>
      <c r="AK722" s="15">
        <f t="shared" si="442"/>
        <v>1</v>
      </c>
      <c r="AL722" s="15">
        <f t="shared" si="443"/>
        <v>1</v>
      </c>
      <c r="AM722" s="15">
        <f t="shared" si="444"/>
        <v>1</v>
      </c>
      <c r="AN722" s="15">
        <f t="shared" si="445"/>
        <v>1</v>
      </c>
      <c r="AO722" s="15">
        <f t="shared" si="446"/>
        <v>1</v>
      </c>
      <c r="AP722" s="15">
        <f t="shared" si="447"/>
        <v>1</v>
      </c>
      <c r="AQ722" s="15">
        <f t="shared" si="448"/>
        <v>1</v>
      </c>
      <c r="AR722" s="15">
        <f t="shared" si="449"/>
        <v>1</v>
      </c>
      <c r="AS722" s="15">
        <f t="shared" si="450"/>
        <v>1</v>
      </c>
      <c r="AT722" s="15">
        <f t="shared" si="451"/>
        <v>1</v>
      </c>
      <c r="AU722" s="15">
        <f t="shared" si="452"/>
        <v>1</v>
      </c>
      <c r="AV722" s="15">
        <f t="shared" si="453"/>
        <v>1</v>
      </c>
      <c r="AW722" s="15">
        <f t="shared" si="454"/>
        <v>1</v>
      </c>
      <c r="AX722" s="15">
        <f t="shared" si="455"/>
        <v>1</v>
      </c>
      <c r="AY722" s="15">
        <f t="shared" si="456"/>
        <v>1</v>
      </c>
      <c r="AZ722" s="15">
        <f t="shared" si="457"/>
        <v>1</v>
      </c>
      <c r="BA722" s="15">
        <f t="shared" si="458"/>
        <v>1</v>
      </c>
      <c r="BB722" s="15">
        <f t="shared" si="465"/>
        <v>0</v>
      </c>
      <c r="BC722" s="15" t="str">
        <f t="shared" si="466"/>
        <v/>
      </c>
      <c r="BD722" s="15" t="str">
        <f t="shared" si="467"/>
        <v/>
      </c>
      <c r="BE722" s="11" t="e">
        <f t="shared" si="459"/>
        <v>#VALUE!</v>
      </c>
      <c r="BF722" s="11" t="e">
        <f t="shared" si="460"/>
        <v>#VALUE!</v>
      </c>
      <c r="BG722" s="11" t="e">
        <f t="shared" si="461"/>
        <v>#VALUE!</v>
      </c>
      <c r="BH722" t="str">
        <f t="shared" si="462"/>
        <v/>
      </c>
      <c r="BI722" t="str" cm="1">
        <f t="array" ref="BI722">_xlfn.IFS(
  L722&gt;0,"Critical Fail",
  M722&gt;0,"Important (Coaching)",
  TRUE,"Clean Pass"
)</f>
        <v>Clean Pass</v>
      </c>
      <c r="BJ722" t="str">
        <f t="shared" si="463"/>
        <v>NA</v>
      </c>
    </row>
    <row r="723" spans="1:62" x14ac:dyDescent="0.3">
      <c r="A723">
        <v>262570</v>
      </c>
      <c r="K723" t="str">
        <f t="shared" si="464"/>
        <v>Pass</v>
      </c>
      <c r="L723" s="15">
        <f t="shared" si="429"/>
        <v>0</v>
      </c>
      <c r="M723" s="15">
        <f t="shared" si="430"/>
        <v>0</v>
      </c>
      <c r="Z723" s="15">
        <f t="shared" si="431"/>
        <v>1</v>
      </c>
      <c r="AA723" s="15">
        <f t="shared" si="432"/>
        <v>1</v>
      </c>
      <c r="AB723" s="15">
        <f t="shared" si="433"/>
        <v>1</v>
      </c>
      <c r="AC723" s="15">
        <f t="shared" si="434"/>
        <v>1</v>
      </c>
      <c r="AD723" s="15">
        <f t="shared" si="435"/>
        <v>1</v>
      </c>
      <c r="AE723" s="15">
        <f t="shared" si="436"/>
        <v>1</v>
      </c>
      <c r="AF723" s="15">
        <f t="shared" si="437"/>
        <v>1</v>
      </c>
      <c r="AG723" s="15">
        <f t="shared" si="438"/>
        <v>1</v>
      </c>
      <c r="AH723" s="15">
        <f t="shared" si="439"/>
        <v>1</v>
      </c>
      <c r="AI723" s="15">
        <f t="shared" si="440"/>
        <v>1</v>
      </c>
      <c r="AJ723" s="15">
        <f t="shared" si="441"/>
        <v>1</v>
      </c>
      <c r="AK723" s="15">
        <f t="shared" si="442"/>
        <v>1</v>
      </c>
      <c r="AL723" s="15">
        <f t="shared" si="443"/>
        <v>1</v>
      </c>
      <c r="AM723" s="15">
        <f t="shared" si="444"/>
        <v>1</v>
      </c>
      <c r="AN723" s="15">
        <f t="shared" si="445"/>
        <v>1</v>
      </c>
      <c r="AO723" s="15">
        <f t="shared" si="446"/>
        <v>1</v>
      </c>
      <c r="AP723" s="15">
        <f t="shared" si="447"/>
        <v>1</v>
      </c>
      <c r="AQ723" s="15">
        <f t="shared" si="448"/>
        <v>1</v>
      </c>
      <c r="AR723" s="15">
        <f t="shared" si="449"/>
        <v>1</v>
      </c>
      <c r="AS723" s="15">
        <f t="shared" si="450"/>
        <v>1</v>
      </c>
      <c r="AT723" s="15">
        <f t="shared" si="451"/>
        <v>1</v>
      </c>
      <c r="AU723" s="15">
        <f t="shared" si="452"/>
        <v>1</v>
      </c>
      <c r="AV723" s="15">
        <f t="shared" si="453"/>
        <v>1</v>
      </c>
      <c r="AW723" s="15">
        <f t="shared" si="454"/>
        <v>1</v>
      </c>
      <c r="AX723" s="15">
        <f t="shared" si="455"/>
        <v>1</v>
      </c>
      <c r="AY723" s="15">
        <f t="shared" si="456"/>
        <v>1</v>
      </c>
      <c r="AZ723" s="15">
        <f t="shared" si="457"/>
        <v>1</v>
      </c>
      <c r="BA723" s="15">
        <f t="shared" si="458"/>
        <v>1</v>
      </c>
      <c r="BB723" s="15">
        <f t="shared" si="465"/>
        <v>0</v>
      </c>
      <c r="BC723" s="15" t="str">
        <f t="shared" si="466"/>
        <v/>
      </c>
      <c r="BD723" s="15" t="str">
        <f t="shared" si="467"/>
        <v/>
      </c>
      <c r="BE723" s="11" t="e">
        <f t="shared" si="459"/>
        <v>#VALUE!</v>
      </c>
      <c r="BF723" s="11" t="e">
        <f t="shared" si="460"/>
        <v>#VALUE!</v>
      </c>
      <c r="BG723" s="11" t="e">
        <f t="shared" si="461"/>
        <v>#VALUE!</v>
      </c>
      <c r="BH723" t="str">
        <f t="shared" si="462"/>
        <v/>
      </c>
      <c r="BI723" t="str" cm="1">
        <f t="array" ref="BI723">_xlfn.IFS(
  L723&gt;0,"Critical Fail",
  M723&gt;0,"Important (Coaching)",
  TRUE,"Clean Pass"
)</f>
        <v>Clean Pass</v>
      </c>
      <c r="BJ723" t="str">
        <f t="shared" si="463"/>
        <v>NA</v>
      </c>
    </row>
    <row r="724" spans="1:62" x14ac:dyDescent="0.3">
      <c r="A724">
        <v>925766</v>
      </c>
      <c r="K724" t="str">
        <f t="shared" si="464"/>
        <v>Pass</v>
      </c>
      <c r="L724" s="15">
        <f t="shared" si="429"/>
        <v>0</v>
      </c>
      <c r="M724" s="15">
        <f t="shared" si="430"/>
        <v>0</v>
      </c>
      <c r="Z724" s="15">
        <f t="shared" si="431"/>
        <v>1</v>
      </c>
      <c r="AA724" s="15">
        <f t="shared" si="432"/>
        <v>1</v>
      </c>
      <c r="AB724" s="15">
        <f t="shared" si="433"/>
        <v>1</v>
      </c>
      <c r="AC724" s="15">
        <f t="shared" si="434"/>
        <v>1</v>
      </c>
      <c r="AD724" s="15">
        <f t="shared" si="435"/>
        <v>1</v>
      </c>
      <c r="AE724" s="15">
        <f t="shared" si="436"/>
        <v>1</v>
      </c>
      <c r="AF724" s="15">
        <f t="shared" si="437"/>
        <v>1</v>
      </c>
      <c r="AG724" s="15">
        <f t="shared" si="438"/>
        <v>1</v>
      </c>
      <c r="AH724" s="15">
        <f t="shared" si="439"/>
        <v>1</v>
      </c>
      <c r="AI724" s="15">
        <f t="shared" si="440"/>
        <v>1</v>
      </c>
      <c r="AJ724" s="15">
        <f t="shared" si="441"/>
        <v>1</v>
      </c>
      <c r="AK724" s="15">
        <f t="shared" si="442"/>
        <v>1</v>
      </c>
      <c r="AL724" s="15">
        <f t="shared" si="443"/>
        <v>1</v>
      </c>
      <c r="AM724" s="15">
        <f t="shared" si="444"/>
        <v>1</v>
      </c>
      <c r="AN724" s="15">
        <f t="shared" si="445"/>
        <v>1</v>
      </c>
      <c r="AO724" s="15">
        <f t="shared" si="446"/>
        <v>1</v>
      </c>
      <c r="AP724" s="15">
        <f t="shared" si="447"/>
        <v>1</v>
      </c>
      <c r="AQ724" s="15">
        <f t="shared" si="448"/>
        <v>1</v>
      </c>
      <c r="AR724" s="15">
        <f t="shared" si="449"/>
        <v>1</v>
      </c>
      <c r="AS724" s="15">
        <f t="shared" si="450"/>
        <v>1</v>
      </c>
      <c r="AT724" s="15">
        <f t="shared" si="451"/>
        <v>1</v>
      </c>
      <c r="AU724" s="15">
        <f t="shared" si="452"/>
        <v>1</v>
      </c>
      <c r="AV724" s="15">
        <f t="shared" si="453"/>
        <v>1</v>
      </c>
      <c r="AW724" s="15">
        <f t="shared" si="454"/>
        <v>1</v>
      </c>
      <c r="AX724" s="15">
        <f t="shared" si="455"/>
        <v>1</v>
      </c>
      <c r="AY724" s="15">
        <f t="shared" si="456"/>
        <v>1</v>
      </c>
      <c r="AZ724" s="15">
        <f t="shared" si="457"/>
        <v>1</v>
      </c>
      <c r="BA724" s="15">
        <f t="shared" si="458"/>
        <v>1</v>
      </c>
      <c r="BB724" s="15">
        <f t="shared" si="465"/>
        <v>0</v>
      </c>
      <c r="BC724" s="15" t="str">
        <f t="shared" si="466"/>
        <v/>
      </c>
      <c r="BD724" s="15" t="str">
        <f t="shared" si="467"/>
        <v/>
      </c>
      <c r="BE724" s="11" t="e">
        <f t="shared" si="459"/>
        <v>#VALUE!</v>
      </c>
      <c r="BF724" s="11" t="e">
        <f t="shared" si="460"/>
        <v>#VALUE!</v>
      </c>
      <c r="BG724" s="11" t="e">
        <f t="shared" si="461"/>
        <v>#VALUE!</v>
      </c>
      <c r="BH724" t="str">
        <f t="shared" si="462"/>
        <v/>
      </c>
      <c r="BI724" t="str" cm="1">
        <f t="array" ref="BI724">_xlfn.IFS(
  L724&gt;0,"Critical Fail",
  M724&gt;0,"Important (Coaching)",
  TRUE,"Clean Pass"
)</f>
        <v>Clean Pass</v>
      </c>
      <c r="BJ724" t="str">
        <f t="shared" si="463"/>
        <v>NA</v>
      </c>
    </row>
    <row r="725" spans="1:62" x14ac:dyDescent="0.3">
      <c r="A725">
        <v>873388</v>
      </c>
      <c r="K725" t="str">
        <f t="shared" si="464"/>
        <v>Pass</v>
      </c>
      <c r="L725" s="15">
        <f t="shared" si="429"/>
        <v>0</v>
      </c>
      <c r="M725" s="15">
        <f t="shared" si="430"/>
        <v>0</v>
      </c>
      <c r="Z725" s="15">
        <f t="shared" si="431"/>
        <v>1</v>
      </c>
      <c r="AA725" s="15">
        <f t="shared" si="432"/>
        <v>1</v>
      </c>
      <c r="AB725" s="15">
        <f t="shared" si="433"/>
        <v>1</v>
      </c>
      <c r="AC725" s="15">
        <f t="shared" si="434"/>
        <v>1</v>
      </c>
      <c r="AD725" s="15">
        <f t="shared" si="435"/>
        <v>1</v>
      </c>
      <c r="AE725" s="15">
        <f t="shared" si="436"/>
        <v>1</v>
      </c>
      <c r="AF725" s="15">
        <f t="shared" si="437"/>
        <v>1</v>
      </c>
      <c r="AG725" s="15">
        <f t="shared" si="438"/>
        <v>1</v>
      </c>
      <c r="AH725" s="15">
        <f t="shared" si="439"/>
        <v>1</v>
      </c>
      <c r="AI725" s="15">
        <f t="shared" si="440"/>
        <v>1</v>
      </c>
      <c r="AJ725" s="15">
        <f t="shared" si="441"/>
        <v>1</v>
      </c>
      <c r="AK725" s="15">
        <f t="shared" si="442"/>
        <v>1</v>
      </c>
      <c r="AL725" s="15">
        <f t="shared" si="443"/>
        <v>1</v>
      </c>
      <c r="AM725" s="15">
        <f t="shared" si="444"/>
        <v>1</v>
      </c>
      <c r="AN725" s="15">
        <f t="shared" si="445"/>
        <v>1</v>
      </c>
      <c r="AO725" s="15">
        <f t="shared" si="446"/>
        <v>1</v>
      </c>
      <c r="AP725" s="15">
        <f t="shared" si="447"/>
        <v>1</v>
      </c>
      <c r="AQ725" s="15">
        <f t="shared" si="448"/>
        <v>1</v>
      </c>
      <c r="AR725" s="15">
        <f t="shared" si="449"/>
        <v>1</v>
      </c>
      <c r="AS725" s="15">
        <f t="shared" si="450"/>
        <v>1</v>
      </c>
      <c r="AT725" s="15">
        <f t="shared" si="451"/>
        <v>1</v>
      </c>
      <c r="AU725" s="15">
        <f t="shared" si="452"/>
        <v>1</v>
      </c>
      <c r="AV725" s="15">
        <f t="shared" si="453"/>
        <v>1</v>
      </c>
      <c r="AW725" s="15">
        <f t="shared" si="454"/>
        <v>1</v>
      </c>
      <c r="AX725" s="15">
        <f t="shared" si="455"/>
        <v>1</v>
      </c>
      <c r="AY725" s="15">
        <f t="shared" si="456"/>
        <v>1</v>
      </c>
      <c r="AZ725" s="15">
        <f t="shared" si="457"/>
        <v>1</v>
      </c>
      <c r="BA725" s="15">
        <f t="shared" si="458"/>
        <v>1</v>
      </c>
      <c r="BB725" s="15">
        <f t="shared" si="465"/>
        <v>0</v>
      </c>
      <c r="BC725" s="15" t="str">
        <f t="shared" si="466"/>
        <v/>
      </c>
      <c r="BD725" s="15" t="str">
        <f t="shared" si="467"/>
        <v/>
      </c>
      <c r="BE725" s="11" t="e">
        <f t="shared" si="459"/>
        <v>#VALUE!</v>
      </c>
      <c r="BF725" s="11" t="e">
        <f t="shared" si="460"/>
        <v>#VALUE!</v>
      </c>
      <c r="BG725" s="11" t="e">
        <f t="shared" si="461"/>
        <v>#VALUE!</v>
      </c>
      <c r="BH725" t="str">
        <f t="shared" si="462"/>
        <v/>
      </c>
      <c r="BI725" t="str" cm="1">
        <f t="array" ref="BI725">_xlfn.IFS(
  L725&gt;0,"Critical Fail",
  M725&gt;0,"Important (Coaching)",
  TRUE,"Clean Pass"
)</f>
        <v>Clean Pass</v>
      </c>
      <c r="BJ725" t="str">
        <f t="shared" si="463"/>
        <v>NA</v>
      </c>
    </row>
    <row r="726" spans="1:62" x14ac:dyDescent="0.3">
      <c r="A726">
        <v>843840</v>
      </c>
      <c r="K726" t="str">
        <f t="shared" si="464"/>
        <v>Pass</v>
      </c>
      <c r="L726" s="15">
        <f t="shared" si="429"/>
        <v>0</v>
      </c>
      <c r="M726" s="15">
        <f t="shared" si="430"/>
        <v>0</v>
      </c>
      <c r="Z726" s="15">
        <f t="shared" si="431"/>
        <v>1</v>
      </c>
      <c r="AA726" s="15">
        <f t="shared" si="432"/>
        <v>1</v>
      </c>
      <c r="AB726" s="15">
        <f t="shared" si="433"/>
        <v>1</v>
      </c>
      <c r="AC726" s="15">
        <f t="shared" si="434"/>
        <v>1</v>
      </c>
      <c r="AD726" s="15">
        <f t="shared" si="435"/>
        <v>1</v>
      </c>
      <c r="AE726" s="15">
        <f t="shared" si="436"/>
        <v>1</v>
      </c>
      <c r="AF726" s="15">
        <f t="shared" si="437"/>
        <v>1</v>
      </c>
      <c r="AG726" s="15">
        <f t="shared" si="438"/>
        <v>1</v>
      </c>
      <c r="AH726" s="15">
        <f t="shared" si="439"/>
        <v>1</v>
      </c>
      <c r="AI726" s="15">
        <f t="shared" si="440"/>
        <v>1</v>
      </c>
      <c r="AJ726" s="15">
        <f t="shared" si="441"/>
        <v>1</v>
      </c>
      <c r="AK726" s="15">
        <f t="shared" si="442"/>
        <v>1</v>
      </c>
      <c r="AL726" s="15">
        <f t="shared" si="443"/>
        <v>1</v>
      </c>
      <c r="AM726" s="15">
        <f t="shared" si="444"/>
        <v>1</v>
      </c>
      <c r="AN726" s="15">
        <f t="shared" si="445"/>
        <v>1</v>
      </c>
      <c r="AO726" s="15">
        <f t="shared" si="446"/>
        <v>1</v>
      </c>
      <c r="AP726" s="15">
        <f t="shared" si="447"/>
        <v>1</v>
      </c>
      <c r="AQ726" s="15">
        <f t="shared" si="448"/>
        <v>1</v>
      </c>
      <c r="AR726" s="15">
        <f t="shared" si="449"/>
        <v>1</v>
      </c>
      <c r="AS726" s="15">
        <f t="shared" si="450"/>
        <v>1</v>
      </c>
      <c r="AT726" s="15">
        <f t="shared" si="451"/>
        <v>1</v>
      </c>
      <c r="AU726" s="15">
        <f t="shared" si="452"/>
        <v>1</v>
      </c>
      <c r="AV726" s="15">
        <f t="shared" si="453"/>
        <v>1</v>
      </c>
      <c r="AW726" s="15">
        <f t="shared" si="454"/>
        <v>1</v>
      </c>
      <c r="AX726" s="15">
        <f t="shared" si="455"/>
        <v>1</v>
      </c>
      <c r="AY726" s="15">
        <f t="shared" si="456"/>
        <v>1</v>
      </c>
      <c r="AZ726" s="15">
        <f t="shared" si="457"/>
        <v>1</v>
      </c>
      <c r="BA726" s="15">
        <f t="shared" si="458"/>
        <v>1</v>
      </c>
      <c r="BB726" s="15">
        <f t="shared" si="465"/>
        <v>0</v>
      </c>
      <c r="BC726" s="15" t="str">
        <f t="shared" si="466"/>
        <v/>
      </c>
      <c r="BD726" s="15" t="str">
        <f t="shared" si="467"/>
        <v/>
      </c>
      <c r="BE726" s="11" t="e">
        <f t="shared" si="459"/>
        <v>#VALUE!</v>
      </c>
      <c r="BF726" s="11" t="e">
        <f t="shared" si="460"/>
        <v>#VALUE!</v>
      </c>
      <c r="BG726" s="11" t="e">
        <f t="shared" si="461"/>
        <v>#VALUE!</v>
      </c>
      <c r="BH726" t="str">
        <f t="shared" si="462"/>
        <v/>
      </c>
      <c r="BI726" t="str" cm="1">
        <f t="array" ref="BI726">_xlfn.IFS(
  L726&gt;0,"Critical Fail",
  M726&gt;0,"Important (Coaching)",
  TRUE,"Clean Pass"
)</f>
        <v>Clean Pass</v>
      </c>
      <c r="BJ726" t="str">
        <f t="shared" si="463"/>
        <v>NA</v>
      </c>
    </row>
    <row r="727" spans="1:62" x14ac:dyDescent="0.3">
      <c r="A727">
        <v>873594</v>
      </c>
      <c r="K727" t="str">
        <f t="shared" si="464"/>
        <v>Pass</v>
      </c>
      <c r="L727" s="15">
        <f t="shared" si="429"/>
        <v>0</v>
      </c>
      <c r="M727" s="15">
        <f t="shared" si="430"/>
        <v>0</v>
      </c>
      <c r="Z727" s="15">
        <f t="shared" si="431"/>
        <v>1</v>
      </c>
      <c r="AA727" s="15">
        <f t="shared" si="432"/>
        <v>1</v>
      </c>
      <c r="AB727" s="15">
        <f t="shared" si="433"/>
        <v>1</v>
      </c>
      <c r="AC727" s="15">
        <f t="shared" si="434"/>
        <v>1</v>
      </c>
      <c r="AD727" s="15">
        <f t="shared" si="435"/>
        <v>1</v>
      </c>
      <c r="AE727" s="15">
        <f t="shared" si="436"/>
        <v>1</v>
      </c>
      <c r="AF727" s="15">
        <f t="shared" si="437"/>
        <v>1</v>
      </c>
      <c r="AG727" s="15">
        <f t="shared" si="438"/>
        <v>1</v>
      </c>
      <c r="AH727" s="15">
        <f t="shared" si="439"/>
        <v>1</v>
      </c>
      <c r="AI727" s="15">
        <f t="shared" si="440"/>
        <v>1</v>
      </c>
      <c r="AJ727" s="15">
        <f t="shared" si="441"/>
        <v>1</v>
      </c>
      <c r="AK727" s="15">
        <f t="shared" si="442"/>
        <v>1</v>
      </c>
      <c r="AL727" s="15">
        <f t="shared" si="443"/>
        <v>1</v>
      </c>
      <c r="AM727" s="15">
        <f t="shared" si="444"/>
        <v>1</v>
      </c>
      <c r="AN727" s="15">
        <f t="shared" si="445"/>
        <v>1</v>
      </c>
      <c r="AO727" s="15">
        <f t="shared" si="446"/>
        <v>1</v>
      </c>
      <c r="AP727" s="15">
        <f t="shared" si="447"/>
        <v>1</v>
      </c>
      <c r="AQ727" s="15">
        <f t="shared" si="448"/>
        <v>1</v>
      </c>
      <c r="AR727" s="15">
        <f t="shared" si="449"/>
        <v>1</v>
      </c>
      <c r="AS727" s="15">
        <f t="shared" si="450"/>
        <v>1</v>
      </c>
      <c r="AT727" s="15">
        <f t="shared" si="451"/>
        <v>1</v>
      </c>
      <c r="AU727" s="15">
        <f t="shared" si="452"/>
        <v>1</v>
      </c>
      <c r="AV727" s="15">
        <f t="shared" si="453"/>
        <v>1</v>
      </c>
      <c r="AW727" s="15">
        <f t="shared" si="454"/>
        <v>1</v>
      </c>
      <c r="AX727" s="15">
        <f t="shared" si="455"/>
        <v>1</v>
      </c>
      <c r="AY727" s="15">
        <f t="shared" si="456"/>
        <v>1</v>
      </c>
      <c r="AZ727" s="15">
        <f t="shared" si="457"/>
        <v>1</v>
      </c>
      <c r="BA727" s="15">
        <f t="shared" si="458"/>
        <v>1</v>
      </c>
      <c r="BB727" s="15">
        <f t="shared" si="465"/>
        <v>0</v>
      </c>
      <c r="BC727" s="15" t="str">
        <f t="shared" si="466"/>
        <v/>
      </c>
      <c r="BD727" s="15" t="str">
        <f t="shared" si="467"/>
        <v/>
      </c>
      <c r="BE727" s="11" t="e">
        <f t="shared" si="459"/>
        <v>#VALUE!</v>
      </c>
      <c r="BF727" s="11" t="e">
        <f t="shared" si="460"/>
        <v>#VALUE!</v>
      </c>
      <c r="BG727" s="11" t="e">
        <f t="shared" si="461"/>
        <v>#VALUE!</v>
      </c>
      <c r="BH727" t="str">
        <f t="shared" si="462"/>
        <v/>
      </c>
      <c r="BI727" t="str" cm="1">
        <f t="array" ref="BI727">_xlfn.IFS(
  L727&gt;0,"Critical Fail",
  M727&gt;0,"Important (Coaching)",
  TRUE,"Clean Pass"
)</f>
        <v>Clean Pass</v>
      </c>
      <c r="BJ727" t="str">
        <f t="shared" si="463"/>
        <v>NA</v>
      </c>
    </row>
    <row r="728" spans="1:62" x14ac:dyDescent="0.3">
      <c r="A728">
        <v>303900</v>
      </c>
      <c r="K728" t="str">
        <f t="shared" si="464"/>
        <v>Pass</v>
      </c>
      <c r="L728" s="15">
        <f t="shared" si="429"/>
        <v>0</v>
      </c>
      <c r="M728" s="15">
        <f t="shared" si="430"/>
        <v>0</v>
      </c>
      <c r="Z728" s="15">
        <f t="shared" si="431"/>
        <v>1</v>
      </c>
      <c r="AA728" s="15">
        <f t="shared" si="432"/>
        <v>1</v>
      </c>
      <c r="AB728" s="15">
        <f t="shared" si="433"/>
        <v>1</v>
      </c>
      <c r="AC728" s="15">
        <f t="shared" si="434"/>
        <v>1</v>
      </c>
      <c r="AD728" s="15">
        <f t="shared" si="435"/>
        <v>1</v>
      </c>
      <c r="AE728" s="15">
        <f t="shared" si="436"/>
        <v>1</v>
      </c>
      <c r="AF728" s="15">
        <f t="shared" si="437"/>
        <v>1</v>
      </c>
      <c r="AG728" s="15">
        <f t="shared" si="438"/>
        <v>1</v>
      </c>
      <c r="AH728" s="15">
        <f t="shared" si="439"/>
        <v>1</v>
      </c>
      <c r="AI728" s="15">
        <f t="shared" si="440"/>
        <v>1</v>
      </c>
      <c r="AJ728" s="15">
        <f t="shared" si="441"/>
        <v>1</v>
      </c>
      <c r="AK728" s="15">
        <f t="shared" si="442"/>
        <v>1</v>
      </c>
      <c r="AL728" s="15">
        <f t="shared" si="443"/>
        <v>1</v>
      </c>
      <c r="AM728" s="15">
        <f t="shared" si="444"/>
        <v>1</v>
      </c>
      <c r="AN728" s="15">
        <f t="shared" si="445"/>
        <v>1</v>
      </c>
      <c r="AO728" s="15">
        <f t="shared" si="446"/>
        <v>1</v>
      </c>
      <c r="AP728" s="15">
        <f t="shared" si="447"/>
        <v>1</v>
      </c>
      <c r="AQ728" s="15">
        <f t="shared" si="448"/>
        <v>1</v>
      </c>
      <c r="AR728" s="15">
        <f t="shared" si="449"/>
        <v>1</v>
      </c>
      <c r="AS728" s="15">
        <f t="shared" si="450"/>
        <v>1</v>
      </c>
      <c r="AT728" s="15">
        <f t="shared" si="451"/>
        <v>1</v>
      </c>
      <c r="AU728" s="15">
        <f t="shared" si="452"/>
        <v>1</v>
      </c>
      <c r="AV728" s="15">
        <f t="shared" si="453"/>
        <v>1</v>
      </c>
      <c r="AW728" s="15">
        <f t="shared" si="454"/>
        <v>1</v>
      </c>
      <c r="AX728" s="15">
        <f t="shared" si="455"/>
        <v>1</v>
      </c>
      <c r="AY728" s="15">
        <f t="shared" si="456"/>
        <v>1</v>
      </c>
      <c r="AZ728" s="15">
        <f t="shared" si="457"/>
        <v>1</v>
      </c>
      <c r="BA728" s="15">
        <f t="shared" si="458"/>
        <v>1</v>
      </c>
      <c r="BB728" s="15">
        <f t="shared" si="465"/>
        <v>0</v>
      </c>
      <c r="BC728" s="15" t="str">
        <f t="shared" si="466"/>
        <v/>
      </c>
      <c r="BD728" s="15" t="str">
        <f t="shared" si="467"/>
        <v/>
      </c>
      <c r="BE728" s="11" t="e">
        <f t="shared" si="459"/>
        <v>#VALUE!</v>
      </c>
      <c r="BF728" s="11" t="e">
        <f t="shared" si="460"/>
        <v>#VALUE!</v>
      </c>
      <c r="BG728" s="11" t="e">
        <f t="shared" si="461"/>
        <v>#VALUE!</v>
      </c>
      <c r="BH728" t="str">
        <f t="shared" si="462"/>
        <v/>
      </c>
      <c r="BI728" t="str" cm="1">
        <f t="array" ref="BI728">_xlfn.IFS(
  L728&gt;0,"Critical Fail",
  M728&gt;0,"Important (Coaching)",
  TRUE,"Clean Pass"
)</f>
        <v>Clean Pass</v>
      </c>
      <c r="BJ728" t="str">
        <f t="shared" si="463"/>
        <v>NA</v>
      </c>
    </row>
    <row r="729" spans="1:62" x14ac:dyDescent="0.3">
      <c r="A729">
        <v>435430</v>
      </c>
      <c r="K729" t="str">
        <f t="shared" si="464"/>
        <v>Pass</v>
      </c>
      <c r="L729" s="15">
        <f t="shared" si="429"/>
        <v>0</v>
      </c>
      <c r="M729" s="15">
        <f t="shared" si="430"/>
        <v>0</v>
      </c>
      <c r="Z729" s="15">
        <f t="shared" si="431"/>
        <v>1</v>
      </c>
      <c r="AA729" s="15">
        <f t="shared" si="432"/>
        <v>1</v>
      </c>
      <c r="AB729" s="15">
        <f t="shared" si="433"/>
        <v>1</v>
      </c>
      <c r="AC729" s="15">
        <f t="shared" si="434"/>
        <v>1</v>
      </c>
      <c r="AD729" s="15">
        <f t="shared" si="435"/>
        <v>1</v>
      </c>
      <c r="AE729" s="15">
        <f t="shared" si="436"/>
        <v>1</v>
      </c>
      <c r="AF729" s="15">
        <f t="shared" si="437"/>
        <v>1</v>
      </c>
      <c r="AG729" s="15">
        <f t="shared" si="438"/>
        <v>1</v>
      </c>
      <c r="AH729" s="15">
        <f t="shared" si="439"/>
        <v>1</v>
      </c>
      <c r="AI729" s="15">
        <f t="shared" si="440"/>
        <v>1</v>
      </c>
      <c r="AJ729" s="15">
        <f t="shared" si="441"/>
        <v>1</v>
      </c>
      <c r="AK729" s="15">
        <f t="shared" si="442"/>
        <v>1</v>
      </c>
      <c r="AL729" s="15">
        <f t="shared" si="443"/>
        <v>1</v>
      </c>
      <c r="AM729" s="15">
        <f t="shared" si="444"/>
        <v>1</v>
      </c>
      <c r="AN729" s="15">
        <f t="shared" si="445"/>
        <v>1</v>
      </c>
      <c r="AO729" s="15">
        <f t="shared" si="446"/>
        <v>1</v>
      </c>
      <c r="AP729" s="15">
        <f t="shared" si="447"/>
        <v>1</v>
      </c>
      <c r="AQ729" s="15">
        <f t="shared" si="448"/>
        <v>1</v>
      </c>
      <c r="AR729" s="15">
        <f t="shared" si="449"/>
        <v>1</v>
      </c>
      <c r="AS729" s="15">
        <f t="shared" si="450"/>
        <v>1</v>
      </c>
      <c r="AT729" s="15">
        <f t="shared" si="451"/>
        <v>1</v>
      </c>
      <c r="AU729" s="15">
        <f t="shared" si="452"/>
        <v>1</v>
      </c>
      <c r="AV729" s="15">
        <f t="shared" si="453"/>
        <v>1</v>
      </c>
      <c r="AW729" s="15">
        <f t="shared" si="454"/>
        <v>1</v>
      </c>
      <c r="AX729" s="15">
        <f t="shared" si="455"/>
        <v>1</v>
      </c>
      <c r="AY729" s="15">
        <f t="shared" si="456"/>
        <v>1</v>
      </c>
      <c r="AZ729" s="15">
        <f t="shared" si="457"/>
        <v>1</v>
      </c>
      <c r="BA729" s="15">
        <f t="shared" si="458"/>
        <v>1</v>
      </c>
      <c r="BB729" s="15">
        <f t="shared" si="465"/>
        <v>0</v>
      </c>
      <c r="BC729" s="15" t="str">
        <f t="shared" si="466"/>
        <v/>
      </c>
      <c r="BD729" s="15" t="str">
        <f t="shared" si="467"/>
        <v/>
      </c>
      <c r="BE729" s="11" t="e">
        <f t="shared" si="459"/>
        <v>#VALUE!</v>
      </c>
      <c r="BF729" s="11" t="e">
        <f t="shared" si="460"/>
        <v>#VALUE!</v>
      </c>
      <c r="BG729" s="11" t="e">
        <f t="shared" si="461"/>
        <v>#VALUE!</v>
      </c>
      <c r="BH729" t="str">
        <f t="shared" si="462"/>
        <v/>
      </c>
      <c r="BI729" t="str" cm="1">
        <f t="array" ref="BI729">_xlfn.IFS(
  L729&gt;0,"Critical Fail",
  M729&gt;0,"Important (Coaching)",
  TRUE,"Clean Pass"
)</f>
        <v>Clean Pass</v>
      </c>
      <c r="BJ729" t="str">
        <f t="shared" si="463"/>
        <v>NA</v>
      </c>
    </row>
    <row r="730" spans="1:62" x14ac:dyDescent="0.3">
      <c r="A730">
        <v>752445</v>
      </c>
      <c r="K730" t="str">
        <f t="shared" si="464"/>
        <v>Pass</v>
      </c>
      <c r="L730" s="15">
        <f t="shared" ref="L730:L793" si="468">COUNTA(N730,P730,R730)</f>
        <v>0</v>
      </c>
      <c r="M730" s="15">
        <f t="shared" ref="M730:M793" si="469">COUNTA(T730,V730,X730)</f>
        <v>0</v>
      </c>
      <c r="Z730" s="15">
        <f t="shared" ref="Z730:Z793" si="470">IF(AND(G730="DV",ISNUMBER(SEARCH("C1",N730&amp;P730&amp;R730&amp;T730&amp;V730&amp;X730))),0,1)</f>
        <v>1</v>
      </c>
      <c r="AA730" s="15">
        <f t="shared" ref="AA730:AA793" si="471">IF(AND(G730="DV",ISNUMBER(SEARCH("C2",N730&amp;P730&amp;R730&amp;T730&amp;V730&amp;X730))),0,1)</f>
        <v>1</v>
      </c>
      <c r="AB730" s="15">
        <f t="shared" ref="AB730:AB793" si="472">IF(AND(G730="DV",ISNUMBER(SEARCH("C3",N730&amp;P730&amp;R730&amp;T730&amp;V730&amp;X730))),0,1)</f>
        <v>1</v>
      </c>
      <c r="AC730" s="15">
        <f t="shared" ref="AC730:AC793" si="473">IF(AND(G730="DV",ISNUMBER(SEARCH("C4",N730&amp;P730&amp;R730&amp;T730&amp;V730&amp;X730))),0,1)</f>
        <v>1</v>
      </c>
      <c r="AD730" s="15">
        <f t="shared" ref="AD730:AD793" si="474">IF(AND(G730="DV",ISNUMBER(SEARCH("C5",N730&amp;P730&amp;R730&amp;T730&amp;V730&amp;X730))),0,1)</f>
        <v>1</v>
      </c>
      <c r="AE730" s="15">
        <f t="shared" ref="AE730:AE793" si="475">IF(AND(G730="DV",ISNUMBER(SEARCH("C6",N730&amp;P730&amp;R730&amp;T730&amp;V730&amp;X730))),0,1)</f>
        <v>1</v>
      </c>
      <c r="AF730" s="15">
        <f t="shared" ref="AF730:AF793" si="476">IF(AND(G730="DV",ISNUMBER(SEARCH("C7",N730&amp;P730&amp;R730&amp;T730&amp;V730&amp;X730))),0,1)</f>
        <v>1</v>
      </c>
      <c r="AG730" s="15">
        <f t="shared" ref="AG730:AG793" si="477">IF(AND(G730="DV",ISNUMBER(SEARCH("C8",N730&amp;P730&amp;R730&amp;T730&amp;V730&amp;X730))),0,1)</f>
        <v>1</v>
      </c>
      <c r="AH730" s="15">
        <f t="shared" ref="AH730:AH793" si="478">IF(AND(G730="DV",ISNUMBER(SEARCH("C9",N730&amp;P730&amp;R730&amp;T730&amp;V730&amp;X730))),0,1)</f>
        <v>1</v>
      </c>
      <c r="AI730" s="15">
        <f t="shared" ref="AI730:AI793" si="479">IF(AND(G730="DV",ISNUMBER(SEARCH("I1",N730&amp;P730&amp;R730&amp;T730&amp;V730&amp;X730))),0,1)</f>
        <v>1</v>
      </c>
      <c r="AJ730" s="15">
        <f t="shared" ref="AJ730:AJ793" si="480">IF(AND(G730="DV",ISNUMBER(SEARCH("I2",N730&amp;P730&amp;R730&amp;T730&amp;V730&amp;X730))),0,1)</f>
        <v>1</v>
      </c>
      <c r="AK730" s="15">
        <f t="shared" ref="AK730:AK793" si="481">IF(AND(G730="DV",ISNUMBER(SEARCH("I3",N730&amp;P730&amp;R730&amp;T730&amp;V730&amp;X730))),0,1)</f>
        <v>1</v>
      </c>
      <c r="AL730" s="15">
        <f t="shared" ref="AL730:AL793" si="482">IF(AND(G730="AL",ISNUMBER(SEARCH("C1",N730&amp;P730&amp;R730&amp;T730&amp;V730&amp;X730))),0,1)</f>
        <v>1</v>
      </c>
      <c r="AM730" s="15">
        <f t="shared" ref="AM730:AM793" si="483">IF(AND(G730="AL",ISNUMBER(SEARCH("C2",N730&amp;P730&amp;R730&amp;T730&amp;V730&amp;X730))),0,1)</f>
        <v>1</v>
      </c>
      <c r="AN730" s="15">
        <f t="shared" ref="AN730:AN793" si="484">IF(AND(G730="AL",ISNUMBER(SEARCH("C3",N730&amp;P730&amp;R730&amp;T730&amp;V730&amp;X730))),0,1)</f>
        <v>1</v>
      </c>
      <c r="AO730" s="15">
        <f t="shared" ref="AO730:AO793" si="485">IF(AND(G730="AL",ISNUMBER(SEARCH("C4",N730&amp;P730&amp;R730&amp;T730&amp;V730&amp;X730))),0,1)</f>
        <v>1</v>
      </c>
      <c r="AP730" s="15">
        <f t="shared" ref="AP730:AP793" si="486">IF(AND(G730="AL",ISNUMBER(SEARCH("C5",N730&amp;P730&amp;R730&amp;T730&amp;V730&amp;X730))),0,1)</f>
        <v>1</v>
      </c>
      <c r="AQ730" s="15">
        <f t="shared" ref="AQ730:AQ793" si="487">IF(AND(G730="AL",ISNUMBER(SEARCH("C6",N730&amp;P730&amp;R730&amp;T730&amp;V730&amp;X730))),0,1)</f>
        <v>1</v>
      </c>
      <c r="AR730" s="15">
        <f t="shared" ref="AR730:AR793" si="488">IF(AND(G730="AL",ISNUMBER(SEARCH("C7",N730&amp;P730&amp;R730&amp;T730&amp;V730&amp;X730))),0,1)</f>
        <v>1</v>
      </c>
      <c r="AS730" s="15">
        <f t="shared" ref="AS730:AS793" si="489">IF(AND(G730="AL",ISNUMBER(SEARCH("C8",N730&amp;P730&amp;R730&amp;T730&amp;V730&amp;X730))),0,1)</f>
        <v>1</v>
      </c>
      <c r="AT730" s="15">
        <f t="shared" ref="AT730:AT793" si="490">IF(AND(G730="AL",ISNUMBER(SEARCH("C9",N730&amp;P730&amp;R730&amp;T730&amp;V730&amp;X730))),0,1)</f>
        <v>1</v>
      </c>
      <c r="AU730" s="15">
        <f t="shared" ref="AU730:AU793" si="491">IF(AND(G730="AL",ISNUMBER(SEARCH("C10",N730&amp;P730&amp;R730&amp;T730&amp;V730&amp;X730))),0,1)</f>
        <v>1</v>
      </c>
      <c r="AV730" s="15">
        <f t="shared" ref="AV730:AV793" si="492">IF(AND(G730="AL",ISNUMBER(SEARCH("C11",N730&amp;P730&amp;R730&amp;T730&amp;V730&amp;X730))),0,1)</f>
        <v>1</v>
      </c>
      <c r="AW730" s="15">
        <f t="shared" ref="AW730:AW793" si="493">IF(AND(G730="AL",ISNUMBER(SEARCH("C12",N730&amp;P730&amp;R730&amp;T730&amp;V730&amp;X730))),0,1)</f>
        <v>1</v>
      </c>
      <c r="AX730" s="15">
        <f t="shared" ref="AX730:AX793" si="494">IF(AND(G730="AL",ISNUMBER(SEARCH("C13",N730&amp;P730&amp;R730&amp;T730&amp;V730&amp;X730))),0,1)</f>
        <v>1</v>
      </c>
      <c r="AY730" s="15">
        <f t="shared" ref="AY730:AY793" si="495">IF(AND(G730="AL",ISNUMBER(SEARCH("I1",N730&amp;P730&amp;R730&amp;T730&amp;V730&amp;X730))),0,1)</f>
        <v>1</v>
      </c>
      <c r="AZ730" s="15">
        <f t="shared" ref="AZ730:AZ793" si="496">IF(AND(G730="AL",ISNUMBER(SEARCH("I2",N730&amp;P730&amp;R730&amp;T730&amp;V730&amp;X730))),0,1)</f>
        <v>1</v>
      </c>
      <c r="BA730" s="15">
        <f t="shared" ref="BA730:BA793" si="497">IF(AND(G730="AL",ISNUMBER(SEARCH("I3",N730&amp;P730&amp;R730&amp;T730&amp;V730&amp;X730))),0,1)</f>
        <v>1</v>
      </c>
      <c r="BB730" s="15">
        <f t="shared" si="465"/>
        <v>0</v>
      </c>
      <c r="BC730" s="15" t="str">
        <f t="shared" si="466"/>
        <v/>
      </c>
      <c r="BD730" s="15" t="str">
        <f t="shared" si="467"/>
        <v/>
      </c>
      <c r="BE730" s="11" t="e">
        <f t="shared" ref="BE730:BE793" si="498">IF(BC730=0,1,(BC730-L730)/BC730)</f>
        <v>#VALUE!</v>
      </c>
      <c r="BF730" s="11" t="e">
        <f t="shared" ref="BF730:BF793" si="499">IF(BD730=0,1,(BD730-M730)/BD730)</f>
        <v>#VALUE!</v>
      </c>
      <c r="BG730" s="11" t="e">
        <f t="shared" ref="BG730:BG793" si="500">(BE730*0.7)+(BF730*0.3)</f>
        <v>#VALUE!</v>
      </c>
      <c r="BH730" t="str">
        <f t="shared" ref="BH730:BH793" si="501">_xlfn.TEXTJOIN(",",TRUE,N730,P730,R730)</f>
        <v/>
      </c>
      <c r="BI730" t="str" cm="1">
        <f t="array" ref="BI730">_xlfn.IFS(
  L730&gt;0,"Critical Fail",
  M730&gt;0,"Important (Coaching)",
  TRUE,"Clean Pass"
)</f>
        <v>Clean Pass</v>
      </c>
      <c r="BJ730" t="str">
        <f t="shared" ref="BJ730:BJ793" si="502">IF(COUNTA(N730:Y730)=0,"NA",_xlfn.TEXTJOIN(",",TRUE,N730:Y730))</f>
        <v>NA</v>
      </c>
    </row>
    <row r="731" spans="1:62" x14ac:dyDescent="0.3">
      <c r="A731">
        <v>337379</v>
      </c>
      <c r="K731" t="str">
        <f t="shared" si="464"/>
        <v>Pass</v>
      </c>
      <c r="L731" s="15">
        <f t="shared" si="468"/>
        <v>0</v>
      </c>
      <c r="M731" s="15">
        <f t="shared" si="469"/>
        <v>0</v>
      </c>
      <c r="Z731" s="15">
        <f t="shared" si="470"/>
        <v>1</v>
      </c>
      <c r="AA731" s="15">
        <f t="shared" si="471"/>
        <v>1</v>
      </c>
      <c r="AB731" s="15">
        <f t="shared" si="472"/>
        <v>1</v>
      </c>
      <c r="AC731" s="15">
        <f t="shared" si="473"/>
        <v>1</v>
      </c>
      <c r="AD731" s="15">
        <f t="shared" si="474"/>
        <v>1</v>
      </c>
      <c r="AE731" s="15">
        <f t="shared" si="475"/>
        <v>1</v>
      </c>
      <c r="AF731" s="15">
        <f t="shared" si="476"/>
        <v>1</v>
      </c>
      <c r="AG731" s="15">
        <f t="shared" si="477"/>
        <v>1</v>
      </c>
      <c r="AH731" s="15">
        <f t="shared" si="478"/>
        <v>1</v>
      </c>
      <c r="AI731" s="15">
        <f t="shared" si="479"/>
        <v>1</v>
      </c>
      <c r="AJ731" s="15">
        <f t="shared" si="480"/>
        <v>1</v>
      </c>
      <c r="AK731" s="15">
        <f t="shared" si="481"/>
        <v>1</v>
      </c>
      <c r="AL731" s="15">
        <f t="shared" si="482"/>
        <v>1</v>
      </c>
      <c r="AM731" s="15">
        <f t="shared" si="483"/>
        <v>1</v>
      </c>
      <c r="AN731" s="15">
        <f t="shared" si="484"/>
        <v>1</v>
      </c>
      <c r="AO731" s="15">
        <f t="shared" si="485"/>
        <v>1</v>
      </c>
      <c r="AP731" s="15">
        <f t="shared" si="486"/>
        <v>1</v>
      </c>
      <c r="AQ731" s="15">
        <f t="shared" si="487"/>
        <v>1</v>
      </c>
      <c r="AR731" s="15">
        <f t="shared" si="488"/>
        <v>1</v>
      </c>
      <c r="AS731" s="15">
        <f t="shared" si="489"/>
        <v>1</v>
      </c>
      <c r="AT731" s="15">
        <f t="shared" si="490"/>
        <v>1</v>
      </c>
      <c r="AU731" s="15">
        <f t="shared" si="491"/>
        <v>1</v>
      </c>
      <c r="AV731" s="15">
        <f t="shared" si="492"/>
        <v>1</v>
      </c>
      <c r="AW731" s="15">
        <f t="shared" si="493"/>
        <v>1</v>
      </c>
      <c r="AX731" s="15">
        <f t="shared" si="494"/>
        <v>1</v>
      </c>
      <c r="AY731" s="15">
        <f t="shared" si="495"/>
        <v>1</v>
      </c>
      <c r="AZ731" s="15">
        <f t="shared" si="496"/>
        <v>1</v>
      </c>
      <c r="BA731" s="15">
        <f t="shared" si="497"/>
        <v>1</v>
      </c>
      <c r="BB731" s="15">
        <f t="shared" si="465"/>
        <v>0</v>
      </c>
      <c r="BC731" s="15" t="str">
        <f t="shared" si="466"/>
        <v/>
      </c>
      <c r="BD731" s="15" t="str">
        <f t="shared" si="467"/>
        <v/>
      </c>
      <c r="BE731" s="11" t="e">
        <f t="shared" si="498"/>
        <v>#VALUE!</v>
      </c>
      <c r="BF731" s="11" t="e">
        <f t="shared" si="499"/>
        <v>#VALUE!</v>
      </c>
      <c r="BG731" s="11" t="e">
        <f t="shared" si="500"/>
        <v>#VALUE!</v>
      </c>
      <c r="BH731" t="str">
        <f t="shared" si="501"/>
        <v/>
      </c>
      <c r="BI731" t="str" cm="1">
        <f t="array" ref="BI731">_xlfn.IFS(
  L731&gt;0,"Critical Fail",
  M731&gt;0,"Important (Coaching)",
  TRUE,"Clean Pass"
)</f>
        <v>Clean Pass</v>
      </c>
      <c r="BJ731" t="str">
        <f t="shared" si="502"/>
        <v>NA</v>
      </c>
    </row>
    <row r="732" spans="1:62" x14ac:dyDescent="0.3">
      <c r="A732">
        <v>443392</v>
      </c>
      <c r="K732" t="str">
        <f t="shared" si="464"/>
        <v>Pass</v>
      </c>
      <c r="L732" s="15">
        <f t="shared" si="468"/>
        <v>0</v>
      </c>
      <c r="M732" s="15">
        <f t="shared" si="469"/>
        <v>0</v>
      </c>
      <c r="Z732" s="15">
        <f t="shared" si="470"/>
        <v>1</v>
      </c>
      <c r="AA732" s="15">
        <f t="shared" si="471"/>
        <v>1</v>
      </c>
      <c r="AB732" s="15">
        <f t="shared" si="472"/>
        <v>1</v>
      </c>
      <c r="AC732" s="15">
        <f t="shared" si="473"/>
        <v>1</v>
      </c>
      <c r="AD732" s="15">
        <f t="shared" si="474"/>
        <v>1</v>
      </c>
      <c r="AE732" s="15">
        <f t="shared" si="475"/>
        <v>1</v>
      </c>
      <c r="AF732" s="15">
        <f t="shared" si="476"/>
        <v>1</v>
      </c>
      <c r="AG732" s="15">
        <f t="shared" si="477"/>
        <v>1</v>
      </c>
      <c r="AH732" s="15">
        <f t="shared" si="478"/>
        <v>1</v>
      </c>
      <c r="AI732" s="15">
        <f t="shared" si="479"/>
        <v>1</v>
      </c>
      <c r="AJ732" s="15">
        <f t="shared" si="480"/>
        <v>1</v>
      </c>
      <c r="AK732" s="15">
        <f t="shared" si="481"/>
        <v>1</v>
      </c>
      <c r="AL732" s="15">
        <f t="shared" si="482"/>
        <v>1</v>
      </c>
      <c r="AM732" s="15">
        <f t="shared" si="483"/>
        <v>1</v>
      </c>
      <c r="AN732" s="15">
        <f t="shared" si="484"/>
        <v>1</v>
      </c>
      <c r="AO732" s="15">
        <f t="shared" si="485"/>
        <v>1</v>
      </c>
      <c r="AP732" s="15">
        <f t="shared" si="486"/>
        <v>1</v>
      </c>
      <c r="AQ732" s="15">
        <f t="shared" si="487"/>
        <v>1</v>
      </c>
      <c r="AR732" s="15">
        <f t="shared" si="488"/>
        <v>1</v>
      </c>
      <c r="AS732" s="15">
        <f t="shared" si="489"/>
        <v>1</v>
      </c>
      <c r="AT732" s="15">
        <f t="shared" si="490"/>
        <v>1</v>
      </c>
      <c r="AU732" s="15">
        <f t="shared" si="491"/>
        <v>1</v>
      </c>
      <c r="AV732" s="15">
        <f t="shared" si="492"/>
        <v>1</v>
      </c>
      <c r="AW732" s="15">
        <f t="shared" si="493"/>
        <v>1</v>
      </c>
      <c r="AX732" s="15">
        <f t="shared" si="494"/>
        <v>1</v>
      </c>
      <c r="AY732" s="15">
        <f t="shared" si="495"/>
        <v>1</v>
      </c>
      <c r="AZ732" s="15">
        <f t="shared" si="496"/>
        <v>1</v>
      </c>
      <c r="BA732" s="15">
        <f t="shared" si="497"/>
        <v>1</v>
      </c>
      <c r="BB732" s="15">
        <f t="shared" si="465"/>
        <v>0</v>
      </c>
      <c r="BC732" s="15" t="str">
        <f t="shared" si="466"/>
        <v/>
      </c>
      <c r="BD732" s="15" t="str">
        <f t="shared" si="467"/>
        <v/>
      </c>
      <c r="BE732" s="11" t="e">
        <f t="shared" si="498"/>
        <v>#VALUE!</v>
      </c>
      <c r="BF732" s="11" t="e">
        <f t="shared" si="499"/>
        <v>#VALUE!</v>
      </c>
      <c r="BG732" s="11" t="e">
        <f t="shared" si="500"/>
        <v>#VALUE!</v>
      </c>
      <c r="BH732" t="str">
        <f t="shared" si="501"/>
        <v/>
      </c>
      <c r="BI732" t="str" cm="1">
        <f t="array" ref="BI732">_xlfn.IFS(
  L732&gt;0,"Critical Fail",
  M732&gt;0,"Important (Coaching)",
  TRUE,"Clean Pass"
)</f>
        <v>Clean Pass</v>
      </c>
      <c r="BJ732" t="str">
        <f t="shared" si="502"/>
        <v>NA</v>
      </c>
    </row>
    <row r="733" spans="1:62" x14ac:dyDescent="0.3">
      <c r="A733">
        <v>850525</v>
      </c>
      <c r="K733" t="str">
        <f t="shared" si="464"/>
        <v>Pass</v>
      </c>
      <c r="L733" s="15">
        <f t="shared" si="468"/>
        <v>0</v>
      </c>
      <c r="M733" s="15">
        <f t="shared" si="469"/>
        <v>0</v>
      </c>
      <c r="Z733" s="15">
        <f t="shared" si="470"/>
        <v>1</v>
      </c>
      <c r="AA733" s="15">
        <f t="shared" si="471"/>
        <v>1</v>
      </c>
      <c r="AB733" s="15">
        <f t="shared" si="472"/>
        <v>1</v>
      </c>
      <c r="AC733" s="15">
        <f t="shared" si="473"/>
        <v>1</v>
      </c>
      <c r="AD733" s="15">
        <f t="shared" si="474"/>
        <v>1</v>
      </c>
      <c r="AE733" s="15">
        <f t="shared" si="475"/>
        <v>1</v>
      </c>
      <c r="AF733" s="15">
        <f t="shared" si="476"/>
        <v>1</v>
      </c>
      <c r="AG733" s="15">
        <f t="shared" si="477"/>
        <v>1</v>
      </c>
      <c r="AH733" s="15">
        <f t="shared" si="478"/>
        <v>1</v>
      </c>
      <c r="AI733" s="15">
        <f t="shared" si="479"/>
        <v>1</v>
      </c>
      <c r="AJ733" s="15">
        <f t="shared" si="480"/>
        <v>1</v>
      </c>
      <c r="AK733" s="15">
        <f t="shared" si="481"/>
        <v>1</v>
      </c>
      <c r="AL733" s="15">
        <f t="shared" si="482"/>
        <v>1</v>
      </c>
      <c r="AM733" s="15">
        <f t="shared" si="483"/>
        <v>1</v>
      </c>
      <c r="AN733" s="15">
        <f t="shared" si="484"/>
        <v>1</v>
      </c>
      <c r="AO733" s="15">
        <f t="shared" si="485"/>
        <v>1</v>
      </c>
      <c r="AP733" s="15">
        <f t="shared" si="486"/>
        <v>1</v>
      </c>
      <c r="AQ733" s="15">
        <f t="shared" si="487"/>
        <v>1</v>
      </c>
      <c r="AR733" s="15">
        <f t="shared" si="488"/>
        <v>1</v>
      </c>
      <c r="AS733" s="15">
        <f t="shared" si="489"/>
        <v>1</v>
      </c>
      <c r="AT733" s="15">
        <f t="shared" si="490"/>
        <v>1</v>
      </c>
      <c r="AU733" s="15">
        <f t="shared" si="491"/>
        <v>1</v>
      </c>
      <c r="AV733" s="15">
        <f t="shared" si="492"/>
        <v>1</v>
      </c>
      <c r="AW733" s="15">
        <f t="shared" si="493"/>
        <v>1</v>
      </c>
      <c r="AX733" s="15">
        <f t="shared" si="494"/>
        <v>1</v>
      </c>
      <c r="AY733" s="15">
        <f t="shared" si="495"/>
        <v>1</v>
      </c>
      <c r="AZ733" s="15">
        <f t="shared" si="496"/>
        <v>1</v>
      </c>
      <c r="BA733" s="15">
        <f t="shared" si="497"/>
        <v>1</v>
      </c>
      <c r="BB733" s="15">
        <f t="shared" si="465"/>
        <v>0</v>
      </c>
      <c r="BC733" s="15" t="str">
        <f t="shared" si="466"/>
        <v/>
      </c>
      <c r="BD733" s="15" t="str">
        <f t="shared" si="467"/>
        <v/>
      </c>
      <c r="BE733" s="11" t="e">
        <f t="shared" si="498"/>
        <v>#VALUE!</v>
      </c>
      <c r="BF733" s="11" t="e">
        <f t="shared" si="499"/>
        <v>#VALUE!</v>
      </c>
      <c r="BG733" s="11" t="e">
        <f t="shared" si="500"/>
        <v>#VALUE!</v>
      </c>
      <c r="BH733" t="str">
        <f t="shared" si="501"/>
        <v/>
      </c>
      <c r="BI733" t="str" cm="1">
        <f t="array" ref="BI733">_xlfn.IFS(
  L733&gt;0,"Critical Fail",
  M733&gt;0,"Important (Coaching)",
  TRUE,"Clean Pass"
)</f>
        <v>Clean Pass</v>
      </c>
      <c r="BJ733" t="str">
        <f t="shared" si="502"/>
        <v>NA</v>
      </c>
    </row>
    <row r="734" spans="1:62" x14ac:dyDescent="0.3">
      <c r="A734">
        <v>296315</v>
      </c>
      <c r="K734" t="str">
        <f t="shared" si="464"/>
        <v>Pass</v>
      </c>
      <c r="L734" s="15">
        <f t="shared" si="468"/>
        <v>0</v>
      </c>
      <c r="M734" s="15">
        <f t="shared" si="469"/>
        <v>0</v>
      </c>
      <c r="Z734" s="15">
        <f t="shared" si="470"/>
        <v>1</v>
      </c>
      <c r="AA734" s="15">
        <f t="shared" si="471"/>
        <v>1</v>
      </c>
      <c r="AB734" s="15">
        <f t="shared" si="472"/>
        <v>1</v>
      </c>
      <c r="AC734" s="15">
        <f t="shared" si="473"/>
        <v>1</v>
      </c>
      <c r="AD734" s="15">
        <f t="shared" si="474"/>
        <v>1</v>
      </c>
      <c r="AE734" s="15">
        <f t="shared" si="475"/>
        <v>1</v>
      </c>
      <c r="AF734" s="15">
        <f t="shared" si="476"/>
        <v>1</v>
      </c>
      <c r="AG734" s="15">
        <f t="shared" si="477"/>
        <v>1</v>
      </c>
      <c r="AH734" s="15">
        <f t="shared" si="478"/>
        <v>1</v>
      </c>
      <c r="AI734" s="15">
        <f t="shared" si="479"/>
        <v>1</v>
      </c>
      <c r="AJ734" s="15">
        <f t="shared" si="480"/>
        <v>1</v>
      </c>
      <c r="AK734" s="15">
        <f t="shared" si="481"/>
        <v>1</v>
      </c>
      <c r="AL734" s="15">
        <f t="shared" si="482"/>
        <v>1</v>
      </c>
      <c r="AM734" s="15">
        <f t="shared" si="483"/>
        <v>1</v>
      </c>
      <c r="AN734" s="15">
        <f t="shared" si="484"/>
        <v>1</v>
      </c>
      <c r="AO734" s="15">
        <f t="shared" si="485"/>
        <v>1</v>
      </c>
      <c r="AP734" s="15">
        <f t="shared" si="486"/>
        <v>1</v>
      </c>
      <c r="AQ734" s="15">
        <f t="shared" si="487"/>
        <v>1</v>
      </c>
      <c r="AR734" s="15">
        <f t="shared" si="488"/>
        <v>1</v>
      </c>
      <c r="AS734" s="15">
        <f t="shared" si="489"/>
        <v>1</v>
      </c>
      <c r="AT734" s="15">
        <f t="shared" si="490"/>
        <v>1</v>
      </c>
      <c r="AU734" s="15">
        <f t="shared" si="491"/>
        <v>1</v>
      </c>
      <c r="AV734" s="15">
        <f t="shared" si="492"/>
        <v>1</v>
      </c>
      <c r="AW734" s="15">
        <f t="shared" si="493"/>
        <v>1</v>
      </c>
      <c r="AX734" s="15">
        <f t="shared" si="494"/>
        <v>1</v>
      </c>
      <c r="AY734" s="15">
        <f t="shared" si="495"/>
        <v>1</v>
      </c>
      <c r="AZ734" s="15">
        <f t="shared" si="496"/>
        <v>1</v>
      </c>
      <c r="BA734" s="15">
        <f t="shared" si="497"/>
        <v>1</v>
      </c>
      <c r="BB734" s="15">
        <f t="shared" si="465"/>
        <v>0</v>
      </c>
      <c r="BC734" s="15" t="str">
        <f t="shared" si="466"/>
        <v/>
      </c>
      <c r="BD734" s="15" t="str">
        <f t="shared" si="467"/>
        <v/>
      </c>
      <c r="BE734" s="11" t="e">
        <f t="shared" si="498"/>
        <v>#VALUE!</v>
      </c>
      <c r="BF734" s="11" t="e">
        <f t="shared" si="499"/>
        <v>#VALUE!</v>
      </c>
      <c r="BG734" s="11" t="e">
        <f t="shared" si="500"/>
        <v>#VALUE!</v>
      </c>
      <c r="BH734" t="str">
        <f t="shared" si="501"/>
        <v/>
      </c>
      <c r="BI734" t="str" cm="1">
        <f t="array" ref="BI734">_xlfn.IFS(
  L734&gt;0,"Critical Fail",
  M734&gt;0,"Important (Coaching)",
  TRUE,"Clean Pass"
)</f>
        <v>Clean Pass</v>
      </c>
      <c r="BJ734" t="str">
        <f t="shared" si="502"/>
        <v>NA</v>
      </c>
    </row>
    <row r="735" spans="1:62" x14ac:dyDescent="0.3">
      <c r="A735">
        <v>832771</v>
      </c>
      <c r="K735" t="str">
        <f t="shared" si="464"/>
        <v>Pass</v>
      </c>
      <c r="L735" s="15">
        <f t="shared" si="468"/>
        <v>0</v>
      </c>
      <c r="M735" s="15">
        <f t="shared" si="469"/>
        <v>0</v>
      </c>
      <c r="Z735" s="15">
        <f t="shared" si="470"/>
        <v>1</v>
      </c>
      <c r="AA735" s="15">
        <f t="shared" si="471"/>
        <v>1</v>
      </c>
      <c r="AB735" s="15">
        <f t="shared" si="472"/>
        <v>1</v>
      </c>
      <c r="AC735" s="15">
        <f t="shared" si="473"/>
        <v>1</v>
      </c>
      <c r="AD735" s="15">
        <f t="shared" si="474"/>
        <v>1</v>
      </c>
      <c r="AE735" s="15">
        <f t="shared" si="475"/>
        <v>1</v>
      </c>
      <c r="AF735" s="15">
        <f t="shared" si="476"/>
        <v>1</v>
      </c>
      <c r="AG735" s="15">
        <f t="shared" si="477"/>
        <v>1</v>
      </c>
      <c r="AH735" s="15">
        <f t="shared" si="478"/>
        <v>1</v>
      </c>
      <c r="AI735" s="15">
        <f t="shared" si="479"/>
        <v>1</v>
      </c>
      <c r="AJ735" s="15">
        <f t="shared" si="480"/>
        <v>1</v>
      </c>
      <c r="AK735" s="15">
        <f t="shared" si="481"/>
        <v>1</v>
      </c>
      <c r="AL735" s="15">
        <f t="shared" si="482"/>
        <v>1</v>
      </c>
      <c r="AM735" s="15">
        <f t="shared" si="483"/>
        <v>1</v>
      </c>
      <c r="AN735" s="15">
        <f t="shared" si="484"/>
        <v>1</v>
      </c>
      <c r="AO735" s="15">
        <f t="shared" si="485"/>
        <v>1</v>
      </c>
      <c r="AP735" s="15">
        <f t="shared" si="486"/>
        <v>1</v>
      </c>
      <c r="AQ735" s="15">
        <f t="shared" si="487"/>
        <v>1</v>
      </c>
      <c r="AR735" s="15">
        <f t="shared" si="488"/>
        <v>1</v>
      </c>
      <c r="AS735" s="15">
        <f t="shared" si="489"/>
        <v>1</v>
      </c>
      <c r="AT735" s="15">
        <f t="shared" si="490"/>
        <v>1</v>
      </c>
      <c r="AU735" s="15">
        <f t="shared" si="491"/>
        <v>1</v>
      </c>
      <c r="AV735" s="15">
        <f t="shared" si="492"/>
        <v>1</v>
      </c>
      <c r="AW735" s="15">
        <f t="shared" si="493"/>
        <v>1</v>
      </c>
      <c r="AX735" s="15">
        <f t="shared" si="494"/>
        <v>1</v>
      </c>
      <c r="AY735" s="15">
        <f t="shared" si="495"/>
        <v>1</v>
      </c>
      <c r="AZ735" s="15">
        <f t="shared" si="496"/>
        <v>1</v>
      </c>
      <c r="BA735" s="15">
        <f t="shared" si="497"/>
        <v>1</v>
      </c>
      <c r="BB735" s="15">
        <f t="shared" si="465"/>
        <v>0</v>
      </c>
      <c r="BC735" s="15" t="str">
        <f t="shared" si="466"/>
        <v/>
      </c>
      <c r="BD735" s="15" t="str">
        <f t="shared" si="467"/>
        <v/>
      </c>
      <c r="BE735" s="11" t="e">
        <f t="shared" si="498"/>
        <v>#VALUE!</v>
      </c>
      <c r="BF735" s="11" t="e">
        <f t="shared" si="499"/>
        <v>#VALUE!</v>
      </c>
      <c r="BG735" s="11" t="e">
        <f t="shared" si="500"/>
        <v>#VALUE!</v>
      </c>
      <c r="BH735" t="str">
        <f t="shared" si="501"/>
        <v/>
      </c>
      <c r="BI735" t="str" cm="1">
        <f t="array" ref="BI735">_xlfn.IFS(
  L735&gt;0,"Critical Fail",
  M735&gt;0,"Important (Coaching)",
  TRUE,"Clean Pass"
)</f>
        <v>Clean Pass</v>
      </c>
      <c r="BJ735" t="str">
        <f t="shared" si="502"/>
        <v>NA</v>
      </c>
    </row>
    <row r="736" spans="1:62" x14ac:dyDescent="0.3">
      <c r="A736">
        <v>366700</v>
      </c>
      <c r="K736" t="str">
        <f t="shared" si="464"/>
        <v>Pass</v>
      </c>
      <c r="L736" s="15">
        <f t="shared" si="468"/>
        <v>0</v>
      </c>
      <c r="M736" s="15">
        <f t="shared" si="469"/>
        <v>0</v>
      </c>
      <c r="Z736" s="15">
        <f t="shared" si="470"/>
        <v>1</v>
      </c>
      <c r="AA736" s="15">
        <f t="shared" si="471"/>
        <v>1</v>
      </c>
      <c r="AB736" s="15">
        <f t="shared" si="472"/>
        <v>1</v>
      </c>
      <c r="AC736" s="15">
        <f t="shared" si="473"/>
        <v>1</v>
      </c>
      <c r="AD736" s="15">
        <f t="shared" si="474"/>
        <v>1</v>
      </c>
      <c r="AE736" s="15">
        <f t="shared" si="475"/>
        <v>1</v>
      </c>
      <c r="AF736" s="15">
        <f t="shared" si="476"/>
        <v>1</v>
      </c>
      <c r="AG736" s="15">
        <f t="shared" si="477"/>
        <v>1</v>
      </c>
      <c r="AH736" s="15">
        <f t="shared" si="478"/>
        <v>1</v>
      </c>
      <c r="AI736" s="15">
        <f t="shared" si="479"/>
        <v>1</v>
      </c>
      <c r="AJ736" s="15">
        <f t="shared" si="480"/>
        <v>1</v>
      </c>
      <c r="AK736" s="15">
        <f t="shared" si="481"/>
        <v>1</v>
      </c>
      <c r="AL736" s="15">
        <f t="shared" si="482"/>
        <v>1</v>
      </c>
      <c r="AM736" s="15">
        <f t="shared" si="483"/>
        <v>1</v>
      </c>
      <c r="AN736" s="15">
        <f t="shared" si="484"/>
        <v>1</v>
      </c>
      <c r="AO736" s="15">
        <f t="shared" si="485"/>
        <v>1</v>
      </c>
      <c r="AP736" s="15">
        <f t="shared" si="486"/>
        <v>1</v>
      </c>
      <c r="AQ736" s="15">
        <f t="shared" si="487"/>
        <v>1</v>
      </c>
      <c r="AR736" s="15">
        <f t="shared" si="488"/>
        <v>1</v>
      </c>
      <c r="AS736" s="15">
        <f t="shared" si="489"/>
        <v>1</v>
      </c>
      <c r="AT736" s="15">
        <f t="shared" si="490"/>
        <v>1</v>
      </c>
      <c r="AU736" s="15">
        <f t="shared" si="491"/>
        <v>1</v>
      </c>
      <c r="AV736" s="15">
        <f t="shared" si="492"/>
        <v>1</v>
      </c>
      <c r="AW736" s="15">
        <f t="shared" si="493"/>
        <v>1</v>
      </c>
      <c r="AX736" s="15">
        <f t="shared" si="494"/>
        <v>1</v>
      </c>
      <c r="AY736" s="15">
        <f t="shared" si="495"/>
        <v>1</v>
      </c>
      <c r="AZ736" s="15">
        <f t="shared" si="496"/>
        <v>1</v>
      </c>
      <c r="BA736" s="15">
        <f t="shared" si="497"/>
        <v>1</v>
      </c>
      <c r="BB736" s="15">
        <f t="shared" si="465"/>
        <v>0</v>
      </c>
      <c r="BC736" s="15" t="str">
        <f t="shared" si="466"/>
        <v/>
      </c>
      <c r="BD736" s="15" t="str">
        <f t="shared" si="467"/>
        <v/>
      </c>
      <c r="BE736" s="11" t="e">
        <f t="shared" si="498"/>
        <v>#VALUE!</v>
      </c>
      <c r="BF736" s="11" t="e">
        <f t="shared" si="499"/>
        <v>#VALUE!</v>
      </c>
      <c r="BG736" s="11" t="e">
        <f t="shared" si="500"/>
        <v>#VALUE!</v>
      </c>
      <c r="BH736" t="str">
        <f t="shared" si="501"/>
        <v/>
      </c>
      <c r="BI736" t="str" cm="1">
        <f t="array" ref="BI736">_xlfn.IFS(
  L736&gt;0,"Critical Fail",
  M736&gt;0,"Important (Coaching)",
  TRUE,"Clean Pass"
)</f>
        <v>Clean Pass</v>
      </c>
      <c r="BJ736" t="str">
        <f t="shared" si="502"/>
        <v>NA</v>
      </c>
    </row>
    <row r="737" spans="1:62" x14ac:dyDescent="0.3">
      <c r="A737">
        <v>257720</v>
      </c>
      <c r="K737" t="str">
        <f t="shared" si="464"/>
        <v>Pass</v>
      </c>
      <c r="L737" s="15">
        <f t="shared" si="468"/>
        <v>0</v>
      </c>
      <c r="M737" s="15">
        <f t="shared" si="469"/>
        <v>0</v>
      </c>
      <c r="Z737" s="15">
        <f t="shared" si="470"/>
        <v>1</v>
      </c>
      <c r="AA737" s="15">
        <f t="shared" si="471"/>
        <v>1</v>
      </c>
      <c r="AB737" s="15">
        <f t="shared" si="472"/>
        <v>1</v>
      </c>
      <c r="AC737" s="15">
        <f t="shared" si="473"/>
        <v>1</v>
      </c>
      <c r="AD737" s="15">
        <f t="shared" si="474"/>
        <v>1</v>
      </c>
      <c r="AE737" s="15">
        <f t="shared" si="475"/>
        <v>1</v>
      </c>
      <c r="AF737" s="15">
        <f t="shared" si="476"/>
        <v>1</v>
      </c>
      <c r="AG737" s="15">
        <f t="shared" si="477"/>
        <v>1</v>
      </c>
      <c r="AH737" s="15">
        <f t="shared" si="478"/>
        <v>1</v>
      </c>
      <c r="AI737" s="15">
        <f t="shared" si="479"/>
        <v>1</v>
      </c>
      <c r="AJ737" s="15">
        <f t="shared" si="480"/>
        <v>1</v>
      </c>
      <c r="AK737" s="15">
        <f t="shared" si="481"/>
        <v>1</v>
      </c>
      <c r="AL737" s="15">
        <f t="shared" si="482"/>
        <v>1</v>
      </c>
      <c r="AM737" s="15">
        <f t="shared" si="483"/>
        <v>1</v>
      </c>
      <c r="AN737" s="15">
        <f t="shared" si="484"/>
        <v>1</v>
      </c>
      <c r="AO737" s="15">
        <f t="shared" si="485"/>
        <v>1</v>
      </c>
      <c r="AP737" s="15">
        <f t="shared" si="486"/>
        <v>1</v>
      </c>
      <c r="AQ737" s="15">
        <f t="shared" si="487"/>
        <v>1</v>
      </c>
      <c r="AR737" s="15">
        <f t="shared" si="488"/>
        <v>1</v>
      </c>
      <c r="AS737" s="15">
        <f t="shared" si="489"/>
        <v>1</v>
      </c>
      <c r="AT737" s="15">
        <f t="shared" si="490"/>
        <v>1</v>
      </c>
      <c r="AU737" s="15">
        <f t="shared" si="491"/>
        <v>1</v>
      </c>
      <c r="AV737" s="15">
        <f t="shared" si="492"/>
        <v>1</v>
      </c>
      <c r="AW737" s="15">
        <f t="shared" si="493"/>
        <v>1</v>
      </c>
      <c r="AX737" s="15">
        <f t="shared" si="494"/>
        <v>1</v>
      </c>
      <c r="AY737" s="15">
        <f t="shared" si="495"/>
        <v>1</v>
      </c>
      <c r="AZ737" s="15">
        <f t="shared" si="496"/>
        <v>1</v>
      </c>
      <c r="BA737" s="15">
        <f t="shared" si="497"/>
        <v>1</v>
      </c>
      <c r="BB737" s="15">
        <f t="shared" si="465"/>
        <v>0</v>
      </c>
      <c r="BC737" s="15" t="str">
        <f t="shared" si="466"/>
        <v/>
      </c>
      <c r="BD737" s="15" t="str">
        <f t="shared" si="467"/>
        <v/>
      </c>
      <c r="BE737" s="11" t="e">
        <f t="shared" si="498"/>
        <v>#VALUE!</v>
      </c>
      <c r="BF737" s="11" t="e">
        <f t="shared" si="499"/>
        <v>#VALUE!</v>
      </c>
      <c r="BG737" s="11" t="e">
        <f t="shared" si="500"/>
        <v>#VALUE!</v>
      </c>
      <c r="BH737" t="str">
        <f t="shared" si="501"/>
        <v/>
      </c>
      <c r="BI737" t="str" cm="1">
        <f t="array" ref="BI737">_xlfn.IFS(
  L737&gt;0,"Critical Fail",
  M737&gt;0,"Important (Coaching)",
  TRUE,"Clean Pass"
)</f>
        <v>Clean Pass</v>
      </c>
      <c r="BJ737" t="str">
        <f t="shared" si="502"/>
        <v>NA</v>
      </c>
    </row>
    <row r="738" spans="1:62" x14ac:dyDescent="0.3">
      <c r="A738">
        <v>185173</v>
      </c>
      <c r="K738" t="str">
        <f t="shared" si="464"/>
        <v>Pass</v>
      </c>
      <c r="L738" s="15">
        <f t="shared" si="468"/>
        <v>0</v>
      </c>
      <c r="M738" s="15">
        <f t="shared" si="469"/>
        <v>0</v>
      </c>
      <c r="Z738" s="15">
        <f t="shared" si="470"/>
        <v>1</v>
      </c>
      <c r="AA738" s="15">
        <f t="shared" si="471"/>
        <v>1</v>
      </c>
      <c r="AB738" s="15">
        <f t="shared" si="472"/>
        <v>1</v>
      </c>
      <c r="AC738" s="15">
        <f t="shared" si="473"/>
        <v>1</v>
      </c>
      <c r="AD738" s="15">
        <f t="shared" si="474"/>
        <v>1</v>
      </c>
      <c r="AE738" s="15">
        <f t="shared" si="475"/>
        <v>1</v>
      </c>
      <c r="AF738" s="15">
        <f t="shared" si="476"/>
        <v>1</v>
      </c>
      <c r="AG738" s="15">
        <f t="shared" si="477"/>
        <v>1</v>
      </c>
      <c r="AH738" s="15">
        <f t="shared" si="478"/>
        <v>1</v>
      </c>
      <c r="AI738" s="15">
        <f t="shared" si="479"/>
        <v>1</v>
      </c>
      <c r="AJ738" s="15">
        <f t="shared" si="480"/>
        <v>1</v>
      </c>
      <c r="AK738" s="15">
        <f t="shared" si="481"/>
        <v>1</v>
      </c>
      <c r="AL738" s="15">
        <f t="shared" si="482"/>
        <v>1</v>
      </c>
      <c r="AM738" s="15">
        <f t="shared" si="483"/>
        <v>1</v>
      </c>
      <c r="AN738" s="15">
        <f t="shared" si="484"/>
        <v>1</v>
      </c>
      <c r="AO738" s="15">
        <f t="shared" si="485"/>
        <v>1</v>
      </c>
      <c r="AP738" s="15">
        <f t="shared" si="486"/>
        <v>1</v>
      </c>
      <c r="AQ738" s="15">
        <f t="shared" si="487"/>
        <v>1</v>
      </c>
      <c r="AR738" s="15">
        <f t="shared" si="488"/>
        <v>1</v>
      </c>
      <c r="AS738" s="15">
        <f t="shared" si="489"/>
        <v>1</v>
      </c>
      <c r="AT738" s="15">
        <f t="shared" si="490"/>
        <v>1</v>
      </c>
      <c r="AU738" s="15">
        <f t="shared" si="491"/>
        <v>1</v>
      </c>
      <c r="AV738" s="15">
        <f t="shared" si="492"/>
        <v>1</v>
      </c>
      <c r="AW738" s="15">
        <f t="shared" si="493"/>
        <v>1</v>
      </c>
      <c r="AX738" s="15">
        <f t="shared" si="494"/>
        <v>1</v>
      </c>
      <c r="AY738" s="15">
        <f t="shared" si="495"/>
        <v>1</v>
      </c>
      <c r="AZ738" s="15">
        <f t="shared" si="496"/>
        <v>1</v>
      </c>
      <c r="BA738" s="15">
        <f t="shared" si="497"/>
        <v>1</v>
      </c>
      <c r="BB738" s="15">
        <f t="shared" si="465"/>
        <v>0</v>
      </c>
      <c r="BC738" s="15" t="str">
        <f t="shared" si="466"/>
        <v/>
      </c>
      <c r="BD738" s="15" t="str">
        <f t="shared" si="467"/>
        <v/>
      </c>
      <c r="BE738" s="11" t="e">
        <f t="shared" si="498"/>
        <v>#VALUE!</v>
      </c>
      <c r="BF738" s="11" t="e">
        <f t="shared" si="499"/>
        <v>#VALUE!</v>
      </c>
      <c r="BG738" s="11" t="e">
        <f t="shared" si="500"/>
        <v>#VALUE!</v>
      </c>
      <c r="BH738" t="str">
        <f t="shared" si="501"/>
        <v/>
      </c>
      <c r="BI738" t="str" cm="1">
        <f t="array" ref="BI738">_xlfn.IFS(
  L738&gt;0,"Critical Fail",
  M738&gt;0,"Important (Coaching)",
  TRUE,"Clean Pass"
)</f>
        <v>Clean Pass</v>
      </c>
      <c r="BJ738" t="str">
        <f t="shared" si="502"/>
        <v>NA</v>
      </c>
    </row>
    <row r="739" spans="1:62" x14ac:dyDescent="0.3">
      <c r="A739">
        <v>592801</v>
      </c>
      <c r="K739" t="str">
        <f t="shared" si="464"/>
        <v>Pass</v>
      </c>
      <c r="L739" s="15">
        <f t="shared" si="468"/>
        <v>0</v>
      </c>
      <c r="M739" s="15">
        <f t="shared" si="469"/>
        <v>0</v>
      </c>
      <c r="Z739" s="15">
        <f t="shared" si="470"/>
        <v>1</v>
      </c>
      <c r="AA739" s="15">
        <f t="shared" si="471"/>
        <v>1</v>
      </c>
      <c r="AB739" s="15">
        <f t="shared" si="472"/>
        <v>1</v>
      </c>
      <c r="AC739" s="15">
        <f t="shared" si="473"/>
        <v>1</v>
      </c>
      <c r="AD739" s="15">
        <f t="shared" si="474"/>
        <v>1</v>
      </c>
      <c r="AE739" s="15">
        <f t="shared" si="475"/>
        <v>1</v>
      </c>
      <c r="AF739" s="15">
        <f t="shared" si="476"/>
        <v>1</v>
      </c>
      <c r="AG739" s="15">
        <f t="shared" si="477"/>
        <v>1</v>
      </c>
      <c r="AH739" s="15">
        <f t="shared" si="478"/>
        <v>1</v>
      </c>
      <c r="AI739" s="15">
        <f t="shared" si="479"/>
        <v>1</v>
      </c>
      <c r="AJ739" s="15">
        <f t="shared" si="480"/>
        <v>1</v>
      </c>
      <c r="AK739" s="15">
        <f t="shared" si="481"/>
        <v>1</v>
      </c>
      <c r="AL739" s="15">
        <f t="shared" si="482"/>
        <v>1</v>
      </c>
      <c r="AM739" s="15">
        <f t="shared" si="483"/>
        <v>1</v>
      </c>
      <c r="AN739" s="15">
        <f t="shared" si="484"/>
        <v>1</v>
      </c>
      <c r="AO739" s="15">
        <f t="shared" si="485"/>
        <v>1</v>
      </c>
      <c r="AP739" s="15">
        <f t="shared" si="486"/>
        <v>1</v>
      </c>
      <c r="AQ739" s="15">
        <f t="shared" si="487"/>
        <v>1</v>
      </c>
      <c r="AR739" s="15">
        <f t="shared" si="488"/>
        <v>1</v>
      </c>
      <c r="AS739" s="15">
        <f t="shared" si="489"/>
        <v>1</v>
      </c>
      <c r="AT739" s="15">
        <f t="shared" si="490"/>
        <v>1</v>
      </c>
      <c r="AU739" s="15">
        <f t="shared" si="491"/>
        <v>1</v>
      </c>
      <c r="AV739" s="15">
        <f t="shared" si="492"/>
        <v>1</v>
      </c>
      <c r="AW739" s="15">
        <f t="shared" si="493"/>
        <v>1</v>
      </c>
      <c r="AX739" s="15">
        <f t="shared" si="494"/>
        <v>1</v>
      </c>
      <c r="AY739" s="15">
        <f t="shared" si="495"/>
        <v>1</v>
      </c>
      <c r="AZ739" s="15">
        <f t="shared" si="496"/>
        <v>1</v>
      </c>
      <c r="BA739" s="15">
        <f t="shared" si="497"/>
        <v>1</v>
      </c>
      <c r="BB739" s="15">
        <f t="shared" si="465"/>
        <v>0</v>
      </c>
      <c r="BC739" s="15" t="str">
        <f t="shared" si="466"/>
        <v/>
      </c>
      <c r="BD739" s="15" t="str">
        <f t="shared" si="467"/>
        <v/>
      </c>
      <c r="BE739" s="11" t="e">
        <f t="shared" si="498"/>
        <v>#VALUE!</v>
      </c>
      <c r="BF739" s="11" t="e">
        <f t="shared" si="499"/>
        <v>#VALUE!</v>
      </c>
      <c r="BG739" s="11" t="e">
        <f t="shared" si="500"/>
        <v>#VALUE!</v>
      </c>
      <c r="BH739" t="str">
        <f t="shared" si="501"/>
        <v/>
      </c>
      <c r="BI739" t="str" cm="1">
        <f t="array" ref="BI739">_xlfn.IFS(
  L739&gt;0,"Critical Fail",
  M739&gt;0,"Important (Coaching)",
  TRUE,"Clean Pass"
)</f>
        <v>Clean Pass</v>
      </c>
      <c r="BJ739" t="str">
        <f t="shared" si="502"/>
        <v>NA</v>
      </c>
    </row>
    <row r="740" spans="1:62" x14ac:dyDescent="0.3">
      <c r="A740">
        <v>220680</v>
      </c>
      <c r="K740" t="str">
        <f t="shared" si="464"/>
        <v>Pass</v>
      </c>
      <c r="L740" s="15">
        <f t="shared" si="468"/>
        <v>0</v>
      </c>
      <c r="M740" s="15">
        <f t="shared" si="469"/>
        <v>0</v>
      </c>
      <c r="Z740" s="15">
        <f t="shared" si="470"/>
        <v>1</v>
      </c>
      <c r="AA740" s="15">
        <f t="shared" si="471"/>
        <v>1</v>
      </c>
      <c r="AB740" s="15">
        <f t="shared" si="472"/>
        <v>1</v>
      </c>
      <c r="AC740" s="15">
        <f t="shared" si="473"/>
        <v>1</v>
      </c>
      <c r="AD740" s="15">
        <f t="shared" si="474"/>
        <v>1</v>
      </c>
      <c r="AE740" s="15">
        <f t="shared" si="475"/>
        <v>1</v>
      </c>
      <c r="AF740" s="15">
        <f t="shared" si="476"/>
        <v>1</v>
      </c>
      <c r="AG740" s="15">
        <f t="shared" si="477"/>
        <v>1</v>
      </c>
      <c r="AH740" s="15">
        <f t="shared" si="478"/>
        <v>1</v>
      </c>
      <c r="AI740" s="15">
        <f t="shared" si="479"/>
        <v>1</v>
      </c>
      <c r="AJ740" s="15">
        <f t="shared" si="480"/>
        <v>1</v>
      </c>
      <c r="AK740" s="15">
        <f t="shared" si="481"/>
        <v>1</v>
      </c>
      <c r="AL740" s="15">
        <f t="shared" si="482"/>
        <v>1</v>
      </c>
      <c r="AM740" s="15">
        <f t="shared" si="483"/>
        <v>1</v>
      </c>
      <c r="AN740" s="15">
        <f t="shared" si="484"/>
        <v>1</v>
      </c>
      <c r="AO740" s="15">
        <f t="shared" si="485"/>
        <v>1</v>
      </c>
      <c r="AP740" s="15">
        <f t="shared" si="486"/>
        <v>1</v>
      </c>
      <c r="AQ740" s="15">
        <f t="shared" si="487"/>
        <v>1</v>
      </c>
      <c r="AR740" s="15">
        <f t="shared" si="488"/>
        <v>1</v>
      </c>
      <c r="AS740" s="15">
        <f t="shared" si="489"/>
        <v>1</v>
      </c>
      <c r="AT740" s="15">
        <f t="shared" si="490"/>
        <v>1</v>
      </c>
      <c r="AU740" s="15">
        <f t="shared" si="491"/>
        <v>1</v>
      </c>
      <c r="AV740" s="15">
        <f t="shared" si="492"/>
        <v>1</v>
      </c>
      <c r="AW740" s="15">
        <f t="shared" si="493"/>
        <v>1</v>
      </c>
      <c r="AX740" s="15">
        <f t="shared" si="494"/>
        <v>1</v>
      </c>
      <c r="AY740" s="15">
        <f t="shared" si="495"/>
        <v>1</v>
      </c>
      <c r="AZ740" s="15">
        <f t="shared" si="496"/>
        <v>1</v>
      </c>
      <c r="BA740" s="15">
        <f t="shared" si="497"/>
        <v>1</v>
      </c>
      <c r="BB740" s="15">
        <f t="shared" si="465"/>
        <v>0</v>
      </c>
      <c r="BC740" s="15" t="str">
        <f t="shared" si="466"/>
        <v/>
      </c>
      <c r="BD740" s="15" t="str">
        <f t="shared" si="467"/>
        <v/>
      </c>
      <c r="BE740" s="11" t="e">
        <f t="shared" si="498"/>
        <v>#VALUE!</v>
      </c>
      <c r="BF740" s="11" t="e">
        <f t="shared" si="499"/>
        <v>#VALUE!</v>
      </c>
      <c r="BG740" s="11" t="e">
        <f t="shared" si="500"/>
        <v>#VALUE!</v>
      </c>
      <c r="BH740" t="str">
        <f t="shared" si="501"/>
        <v/>
      </c>
      <c r="BI740" t="str" cm="1">
        <f t="array" ref="BI740">_xlfn.IFS(
  L740&gt;0,"Critical Fail",
  M740&gt;0,"Important (Coaching)",
  TRUE,"Clean Pass"
)</f>
        <v>Clean Pass</v>
      </c>
      <c r="BJ740" t="str">
        <f t="shared" si="502"/>
        <v>NA</v>
      </c>
    </row>
    <row r="741" spans="1:62" x14ac:dyDescent="0.3">
      <c r="A741">
        <v>470553</v>
      </c>
      <c r="K741" t="str">
        <f t="shared" si="464"/>
        <v>Pass</v>
      </c>
      <c r="L741" s="15">
        <f t="shared" si="468"/>
        <v>0</v>
      </c>
      <c r="M741" s="15">
        <f t="shared" si="469"/>
        <v>0</v>
      </c>
      <c r="Z741" s="15">
        <f t="shared" si="470"/>
        <v>1</v>
      </c>
      <c r="AA741" s="15">
        <f t="shared" si="471"/>
        <v>1</v>
      </c>
      <c r="AB741" s="15">
        <f t="shared" si="472"/>
        <v>1</v>
      </c>
      <c r="AC741" s="15">
        <f t="shared" si="473"/>
        <v>1</v>
      </c>
      <c r="AD741" s="15">
        <f t="shared" si="474"/>
        <v>1</v>
      </c>
      <c r="AE741" s="15">
        <f t="shared" si="475"/>
        <v>1</v>
      </c>
      <c r="AF741" s="15">
        <f t="shared" si="476"/>
        <v>1</v>
      </c>
      <c r="AG741" s="15">
        <f t="shared" si="477"/>
        <v>1</v>
      </c>
      <c r="AH741" s="15">
        <f t="shared" si="478"/>
        <v>1</v>
      </c>
      <c r="AI741" s="15">
        <f t="shared" si="479"/>
        <v>1</v>
      </c>
      <c r="AJ741" s="15">
        <f t="shared" si="480"/>
        <v>1</v>
      </c>
      <c r="AK741" s="15">
        <f t="shared" si="481"/>
        <v>1</v>
      </c>
      <c r="AL741" s="15">
        <f t="shared" si="482"/>
        <v>1</v>
      </c>
      <c r="AM741" s="15">
        <f t="shared" si="483"/>
        <v>1</v>
      </c>
      <c r="AN741" s="15">
        <f t="shared" si="484"/>
        <v>1</v>
      </c>
      <c r="AO741" s="15">
        <f t="shared" si="485"/>
        <v>1</v>
      </c>
      <c r="AP741" s="15">
        <f t="shared" si="486"/>
        <v>1</v>
      </c>
      <c r="AQ741" s="15">
        <f t="shared" si="487"/>
        <v>1</v>
      </c>
      <c r="AR741" s="15">
        <f t="shared" si="488"/>
        <v>1</v>
      </c>
      <c r="AS741" s="15">
        <f t="shared" si="489"/>
        <v>1</v>
      </c>
      <c r="AT741" s="15">
        <f t="shared" si="490"/>
        <v>1</v>
      </c>
      <c r="AU741" s="15">
        <f t="shared" si="491"/>
        <v>1</v>
      </c>
      <c r="AV741" s="15">
        <f t="shared" si="492"/>
        <v>1</v>
      </c>
      <c r="AW741" s="15">
        <f t="shared" si="493"/>
        <v>1</v>
      </c>
      <c r="AX741" s="15">
        <f t="shared" si="494"/>
        <v>1</v>
      </c>
      <c r="AY741" s="15">
        <f t="shared" si="495"/>
        <v>1</v>
      </c>
      <c r="AZ741" s="15">
        <f t="shared" si="496"/>
        <v>1</v>
      </c>
      <c r="BA741" s="15">
        <f t="shared" si="497"/>
        <v>1</v>
      </c>
      <c r="BB741" s="15">
        <f t="shared" si="465"/>
        <v>0</v>
      </c>
      <c r="BC741" s="15" t="str">
        <f t="shared" si="466"/>
        <v/>
      </c>
      <c r="BD741" s="15" t="str">
        <f t="shared" si="467"/>
        <v/>
      </c>
      <c r="BE741" s="11" t="e">
        <f t="shared" si="498"/>
        <v>#VALUE!</v>
      </c>
      <c r="BF741" s="11" t="e">
        <f t="shared" si="499"/>
        <v>#VALUE!</v>
      </c>
      <c r="BG741" s="11" t="e">
        <f t="shared" si="500"/>
        <v>#VALUE!</v>
      </c>
      <c r="BH741" t="str">
        <f t="shared" si="501"/>
        <v/>
      </c>
      <c r="BI741" t="str" cm="1">
        <f t="array" ref="BI741">_xlfn.IFS(
  L741&gt;0,"Critical Fail",
  M741&gt;0,"Important (Coaching)",
  TRUE,"Clean Pass"
)</f>
        <v>Clean Pass</v>
      </c>
      <c r="BJ741" t="str">
        <f t="shared" si="502"/>
        <v>NA</v>
      </c>
    </row>
    <row r="742" spans="1:62" x14ac:dyDescent="0.3">
      <c r="A742">
        <v>753245</v>
      </c>
      <c r="K742" t="str">
        <f t="shared" si="464"/>
        <v>Pass</v>
      </c>
      <c r="L742" s="15">
        <f t="shared" si="468"/>
        <v>0</v>
      </c>
      <c r="M742" s="15">
        <f t="shared" si="469"/>
        <v>0</v>
      </c>
      <c r="Z742" s="15">
        <f t="shared" si="470"/>
        <v>1</v>
      </c>
      <c r="AA742" s="15">
        <f t="shared" si="471"/>
        <v>1</v>
      </c>
      <c r="AB742" s="15">
        <f t="shared" si="472"/>
        <v>1</v>
      </c>
      <c r="AC742" s="15">
        <f t="shared" si="473"/>
        <v>1</v>
      </c>
      <c r="AD742" s="15">
        <f t="shared" si="474"/>
        <v>1</v>
      </c>
      <c r="AE742" s="15">
        <f t="shared" si="475"/>
        <v>1</v>
      </c>
      <c r="AF742" s="15">
        <f t="shared" si="476"/>
        <v>1</v>
      </c>
      <c r="AG742" s="15">
        <f t="shared" si="477"/>
        <v>1</v>
      </c>
      <c r="AH742" s="15">
        <f t="shared" si="478"/>
        <v>1</v>
      </c>
      <c r="AI742" s="15">
        <f t="shared" si="479"/>
        <v>1</v>
      </c>
      <c r="AJ742" s="15">
        <f t="shared" si="480"/>
        <v>1</v>
      </c>
      <c r="AK742" s="15">
        <f t="shared" si="481"/>
        <v>1</v>
      </c>
      <c r="AL742" s="15">
        <f t="shared" si="482"/>
        <v>1</v>
      </c>
      <c r="AM742" s="15">
        <f t="shared" si="483"/>
        <v>1</v>
      </c>
      <c r="AN742" s="15">
        <f t="shared" si="484"/>
        <v>1</v>
      </c>
      <c r="AO742" s="15">
        <f t="shared" si="485"/>
        <v>1</v>
      </c>
      <c r="AP742" s="15">
        <f t="shared" si="486"/>
        <v>1</v>
      </c>
      <c r="AQ742" s="15">
        <f t="shared" si="487"/>
        <v>1</v>
      </c>
      <c r="AR742" s="15">
        <f t="shared" si="488"/>
        <v>1</v>
      </c>
      <c r="AS742" s="15">
        <f t="shared" si="489"/>
        <v>1</v>
      </c>
      <c r="AT742" s="15">
        <f t="shared" si="490"/>
        <v>1</v>
      </c>
      <c r="AU742" s="15">
        <f t="shared" si="491"/>
        <v>1</v>
      </c>
      <c r="AV742" s="15">
        <f t="shared" si="492"/>
        <v>1</v>
      </c>
      <c r="AW742" s="15">
        <f t="shared" si="493"/>
        <v>1</v>
      </c>
      <c r="AX742" s="15">
        <f t="shared" si="494"/>
        <v>1</v>
      </c>
      <c r="AY742" s="15">
        <f t="shared" si="495"/>
        <v>1</v>
      </c>
      <c r="AZ742" s="15">
        <f t="shared" si="496"/>
        <v>1</v>
      </c>
      <c r="BA742" s="15">
        <f t="shared" si="497"/>
        <v>1</v>
      </c>
      <c r="BB742" s="15">
        <f t="shared" si="465"/>
        <v>0</v>
      </c>
      <c r="BC742" s="15" t="str">
        <f t="shared" si="466"/>
        <v/>
      </c>
      <c r="BD742" s="15" t="str">
        <f t="shared" si="467"/>
        <v/>
      </c>
      <c r="BE742" s="11" t="e">
        <f t="shared" si="498"/>
        <v>#VALUE!</v>
      </c>
      <c r="BF742" s="11" t="e">
        <f t="shared" si="499"/>
        <v>#VALUE!</v>
      </c>
      <c r="BG742" s="11" t="e">
        <f t="shared" si="500"/>
        <v>#VALUE!</v>
      </c>
      <c r="BH742" t="str">
        <f t="shared" si="501"/>
        <v/>
      </c>
      <c r="BI742" t="str" cm="1">
        <f t="array" ref="BI742">_xlfn.IFS(
  L742&gt;0,"Critical Fail",
  M742&gt;0,"Important (Coaching)",
  TRUE,"Clean Pass"
)</f>
        <v>Clean Pass</v>
      </c>
      <c r="BJ742" t="str">
        <f t="shared" si="502"/>
        <v>NA</v>
      </c>
    </row>
    <row r="743" spans="1:62" x14ac:dyDescent="0.3">
      <c r="A743">
        <v>592660</v>
      </c>
      <c r="K743" t="str">
        <f t="shared" si="464"/>
        <v>Pass</v>
      </c>
      <c r="L743" s="15">
        <f t="shared" si="468"/>
        <v>0</v>
      </c>
      <c r="M743" s="15">
        <f t="shared" si="469"/>
        <v>0</v>
      </c>
      <c r="Z743" s="15">
        <f t="shared" si="470"/>
        <v>1</v>
      </c>
      <c r="AA743" s="15">
        <f t="shared" si="471"/>
        <v>1</v>
      </c>
      <c r="AB743" s="15">
        <f t="shared" si="472"/>
        <v>1</v>
      </c>
      <c r="AC743" s="15">
        <f t="shared" si="473"/>
        <v>1</v>
      </c>
      <c r="AD743" s="15">
        <f t="shared" si="474"/>
        <v>1</v>
      </c>
      <c r="AE743" s="15">
        <f t="shared" si="475"/>
        <v>1</v>
      </c>
      <c r="AF743" s="15">
        <f t="shared" si="476"/>
        <v>1</v>
      </c>
      <c r="AG743" s="15">
        <f t="shared" si="477"/>
        <v>1</v>
      </c>
      <c r="AH743" s="15">
        <f t="shared" si="478"/>
        <v>1</v>
      </c>
      <c r="AI743" s="15">
        <f t="shared" si="479"/>
        <v>1</v>
      </c>
      <c r="AJ743" s="15">
        <f t="shared" si="480"/>
        <v>1</v>
      </c>
      <c r="AK743" s="15">
        <f t="shared" si="481"/>
        <v>1</v>
      </c>
      <c r="AL743" s="15">
        <f t="shared" si="482"/>
        <v>1</v>
      </c>
      <c r="AM743" s="15">
        <f t="shared" si="483"/>
        <v>1</v>
      </c>
      <c r="AN743" s="15">
        <f t="shared" si="484"/>
        <v>1</v>
      </c>
      <c r="AO743" s="15">
        <f t="shared" si="485"/>
        <v>1</v>
      </c>
      <c r="AP743" s="15">
        <f t="shared" si="486"/>
        <v>1</v>
      </c>
      <c r="AQ743" s="15">
        <f t="shared" si="487"/>
        <v>1</v>
      </c>
      <c r="AR743" s="15">
        <f t="shared" si="488"/>
        <v>1</v>
      </c>
      <c r="AS743" s="15">
        <f t="shared" si="489"/>
        <v>1</v>
      </c>
      <c r="AT743" s="15">
        <f t="shared" si="490"/>
        <v>1</v>
      </c>
      <c r="AU743" s="15">
        <f t="shared" si="491"/>
        <v>1</v>
      </c>
      <c r="AV743" s="15">
        <f t="shared" si="492"/>
        <v>1</v>
      </c>
      <c r="AW743" s="15">
        <f t="shared" si="493"/>
        <v>1</v>
      </c>
      <c r="AX743" s="15">
        <f t="shared" si="494"/>
        <v>1</v>
      </c>
      <c r="AY743" s="15">
        <f t="shared" si="495"/>
        <v>1</v>
      </c>
      <c r="AZ743" s="15">
        <f t="shared" si="496"/>
        <v>1</v>
      </c>
      <c r="BA743" s="15">
        <f t="shared" si="497"/>
        <v>1</v>
      </c>
      <c r="BB743" s="15">
        <f t="shared" si="465"/>
        <v>0</v>
      </c>
      <c r="BC743" s="15" t="str">
        <f t="shared" si="466"/>
        <v/>
      </c>
      <c r="BD743" s="15" t="str">
        <f t="shared" si="467"/>
        <v/>
      </c>
      <c r="BE743" s="11" t="e">
        <f t="shared" si="498"/>
        <v>#VALUE!</v>
      </c>
      <c r="BF743" s="11" t="e">
        <f t="shared" si="499"/>
        <v>#VALUE!</v>
      </c>
      <c r="BG743" s="11" t="e">
        <f t="shared" si="500"/>
        <v>#VALUE!</v>
      </c>
      <c r="BH743" t="str">
        <f t="shared" si="501"/>
        <v/>
      </c>
      <c r="BI743" t="str" cm="1">
        <f t="array" ref="BI743">_xlfn.IFS(
  L743&gt;0,"Critical Fail",
  M743&gt;0,"Important (Coaching)",
  TRUE,"Clean Pass"
)</f>
        <v>Clean Pass</v>
      </c>
      <c r="BJ743" t="str">
        <f t="shared" si="502"/>
        <v>NA</v>
      </c>
    </row>
    <row r="744" spans="1:62" x14ac:dyDescent="0.3">
      <c r="A744">
        <v>497141</v>
      </c>
      <c r="K744" t="str">
        <f t="shared" si="464"/>
        <v>Pass</v>
      </c>
      <c r="L744" s="15">
        <f t="shared" si="468"/>
        <v>0</v>
      </c>
      <c r="M744" s="15">
        <f t="shared" si="469"/>
        <v>0</v>
      </c>
      <c r="Z744" s="15">
        <f t="shared" si="470"/>
        <v>1</v>
      </c>
      <c r="AA744" s="15">
        <f t="shared" si="471"/>
        <v>1</v>
      </c>
      <c r="AB744" s="15">
        <f t="shared" si="472"/>
        <v>1</v>
      </c>
      <c r="AC744" s="15">
        <f t="shared" si="473"/>
        <v>1</v>
      </c>
      <c r="AD744" s="15">
        <f t="shared" si="474"/>
        <v>1</v>
      </c>
      <c r="AE744" s="15">
        <f t="shared" si="475"/>
        <v>1</v>
      </c>
      <c r="AF744" s="15">
        <f t="shared" si="476"/>
        <v>1</v>
      </c>
      <c r="AG744" s="15">
        <f t="shared" si="477"/>
        <v>1</v>
      </c>
      <c r="AH744" s="15">
        <f t="shared" si="478"/>
        <v>1</v>
      </c>
      <c r="AI744" s="15">
        <f t="shared" si="479"/>
        <v>1</v>
      </c>
      <c r="AJ744" s="15">
        <f t="shared" si="480"/>
        <v>1</v>
      </c>
      <c r="AK744" s="15">
        <f t="shared" si="481"/>
        <v>1</v>
      </c>
      <c r="AL744" s="15">
        <f t="shared" si="482"/>
        <v>1</v>
      </c>
      <c r="AM744" s="15">
        <f t="shared" si="483"/>
        <v>1</v>
      </c>
      <c r="AN744" s="15">
        <f t="shared" si="484"/>
        <v>1</v>
      </c>
      <c r="AO744" s="15">
        <f t="shared" si="485"/>
        <v>1</v>
      </c>
      <c r="AP744" s="15">
        <f t="shared" si="486"/>
        <v>1</v>
      </c>
      <c r="AQ744" s="15">
        <f t="shared" si="487"/>
        <v>1</v>
      </c>
      <c r="AR744" s="15">
        <f t="shared" si="488"/>
        <v>1</v>
      </c>
      <c r="AS744" s="15">
        <f t="shared" si="489"/>
        <v>1</v>
      </c>
      <c r="AT744" s="15">
        <f t="shared" si="490"/>
        <v>1</v>
      </c>
      <c r="AU744" s="15">
        <f t="shared" si="491"/>
        <v>1</v>
      </c>
      <c r="AV744" s="15">
        <f t="shared" si="492"/>
        <v>1</v>
      </c>
      <c r="AW744" s="15">
        <f t="shared" si="493"/>
        <v>1</v>
      </c>
      <c r="AX744" s="15">
        <f t="shared" si="494"/>
        <v>1</v>
      </c>
      <c r="AY744" s="15">
        <f t="shared" si="495"/>
        <v>1</v>
      </c>
      <c r="AZ744" s="15">
        <f t="shared" si="496"/>
        <v>1</v>
      </c>
      <c r="BA744" s="15">
        <f t="shared" si="497"/>
        <v>1</v>
      </c>
      <c r="BB744" s="15">
        <f t="shared" si="465"/>
        <v>0</v>
      </c>
      <c r="BC744" s="15" t="str">
        <f t="shared" si="466"/>
        <v/>
      </c>
      <c r="BD744" s="15" t="str">
        <f t="shared" si="467"/>
        <v/>
      </c>
      <c r="BE744" s="11" t="e">
        <f t="shared" si="498"/>
        <v>#VALUE!</v>
      </c>
      <c r="BF744" s="11" t="e">
        <f t="shared" si="499"/>
        <v>#VALUE!</v>
      </c>
      <c r="BG744" s="11" t="e">
        <f t="shared" si="500"/>
        <v>#VALUE!</v>
      </c>
      <c r="BH744" t="str">
        <f t="shared" si="501"/>
        <v/>
      </c>
      <c r="BI744" t="str" cm="1">
        <f t="array" ref="BI744">_xlfn.IFS(
  L744&gt;0,"Critical Fail",
  M744&gt;0,"Important (Coaching)",
  TRUE,"Clean Pass"
)</f>
        <v>Clean Pass</v>
      </c>
      <c r="BJ744" t="str">
        <f t="shared" si="502"/>
        <v>NA</v>
      </c>
    </row>
    <row r="745" spans="1:62" x14ac:dyDescent="0.3">
      <c r="A745">
        <v>318957</v>
      </c>
      <c r="K745" t="str">
        <f t="shared" si="464"/>
        <v>Pass</v>
      </c>
      <c r="L745" s="15">
        <f t="shared" si="468"/>
        <v>0</v>
      </c>
      <c r="M745" s="15">
        <f t="shared" si="469"/>
        <v>0</v>
      </c>
      <c r="Z745" s="15">
        <f t="shared" si="470"/>
        <v>1</v>
      </c>
      <c r="AA745" s="15">
        <f t="shared" si="471"/>
        <v>1</v>
      </c>
      <c r="AB745" s="15">
        <f t="shared" si="472"/>
        <v>1</v>
      </c>
      <c r="AC745" s="15">
        <f t="shared" si="473"/>
        <v>1</v>
      </c>
      <c r="AD745" s="15">
        <f t="shared" si="474"/>
        <v>1</v>
      </c>
      <c r="AE745" s="15">
        <f t="shared" si="475"/>
        <v>1</v>
      </c>
      <c r="AF745" s="15">
        <f t="shared" si="476"/>
        <v>1</v>
      </c>
      <c r="AG745" s="15">
        <f t="shared" si="477"/>
        <v>1</v>
      </c>
      <c r="AH745" s="15">
        <f t="shared" si="478"/>
        <v>1</v>
      </c>
      <c r="AI745" s="15">
        <f t="shared" si="479"/>
        <v>1</v>
      </c>
      <c r="AJ745" s="15">
        <f t="shared" si="480"/>
        <v>1</v>
      </c>
      <c r="AK745" s="15">
        <f t="shared" si="481"/>
        <v>1</v>
      </c>
      <c r="AL745" s="15">
        <f t="shared" si="482"/>
        <v>1</v>
      </c>
      <c r="AM745" s="15">
        <f t="shared" si="483"/>
        <v>1</v>
      </c>
      <c r="AN745" s="15">
        <f t="shared" si="484"/>
        <v>1</v>
      </c>
      <c r="AO745" s="15">
        <f t="shared" si="485"/>
        <v>1</v>
      </c>
      <c r="AP745" s="15">
        <f t="shared" si="486"/>
        <v>1</v>
      </c>
      <c r="AQ745" s="15">
        <f t="shared" si="487"/>
        <v>1</v>
      </c>
      <c r="AR745" s="15">
        <f t="shared" si="488"/>
        <v>1</v>
      </c>
      <c r="AS745" s="15">
        <f t="shared" si="489"/>
        <v>1</v>
      </c>
      <c r="AT745" s="15">
        <f t="shared" si="490"/>
        <v>1</v>
      </c>
      <c r="AU745" s="15">
        <f t="shared" si="491"/>
        <v>1</v>
      </c>
      <c r="AV745" s="15">
        <f t="shared" si="492"/>
        <v>1</v>
      </c>
      <c r="AW745" s="15">
        <f t="shared" si="493"/>
        <v>1</v>
      </c>
      <c r="AX745" s="15">
        <f t="shared" si="494"/>
        <v>1</v>
      </c>
      <c r="AY745" s="15">
        <f t="shared" si="495"/>
        <v>1</v>
      </c>
      <c r="AZ745" s="15">
        <f t="shared" si="496"/>
        <v>1</v>
      </c>
      <c r="BA745" s="15">
        <f t="shared" si="497"/>
        <v>1</v>
      </c>
      <c r="BB745" s="15">
        <f t="shared" si="465"/>
        <v>0</v>
      </c>
      <c r="BC745" s="15" t="str">
        <f t="shared" si="466"/>
        <v/>
      </c>
      <c r="BD745" s="15" t="str">
        <f t="shared" si="467"/>
        <v/>
      </c>
      <c r="BE745" s="11" t="e">
        <f t="shared" si="498"/>
        <v>#VALUE!</v>
      </c>
      <c r="BF745" s="11" t="e">
        <f t="shared" si="499"/>
        <v>#VALUE!</v>
      </c>
      <c r="BG745" s="11" t="e">
        <f t="shared" si="500"/>
        <v>#VALUE!</v>
      </c>
      <c r="BH745" t="str">
        <f t="shared" si="501"/>
        <v/>
      </c>
      <c r="BI745" t="str" cm="1">
        <f t="array" ref="BI745">_xlfn.IFS(
  L745&gt;0,"Critical Fail",
  M745&gt;0,"Important (Coaching)",
  TRUE,"Clean Pass"
)</f>
        <v>Clean Pass</v>
      </c>
      <c r="BJ745" t="str">
        <f t="shared" si="502"/>
        <v>NA</v>
      </c>
    </row>
    <row r="746" spans="1:62" x14ac:dyDescent="0.3">
      <c r="A746">
        <v>832458</v>
      </c>
      <c r="K746" t="str">
        <f t="shared" si="464"/>
        <v>Pass</v>
      </c>
      <c r="L746" s="15">
        <f t="shared" si="468"/>
        <v>0</v>
      </c>
      <c r="M746" s="15">
        <f t="shared" si="469"/>
        <v>0</v>
      </c>
      <c r="Z746" s="15">
        <f t="shared" si="470"/>
        <v>1</v>
      </c>
      <c r="AA746" s="15">
        <f t="shared" si="471"/>
        <v>1</v>
      </c>
      <c r="AB746" s="15">
        <f t="shared" si="472"/>
        <v>1</v>
      </c>
      <c r="AC746" s="15">
        <f t="shared" si="473"/>
        <v>1</v>
      </c>
      <c r="AD746" s="15">
        <f t="shared" si="474"/>
        <v>1</v>
      </c>
      <c r="AE746" s="15">
        <f t="shared" si="475"/>
        <v>1</v>
      </c>
      <c r="AF746" s="15">
        <f t="shared" si="476"/>
        <v>1</v>
      </c>
      <c r="AG746" s="15">
        <f t="shared" si="477"/>
        <v>1</v>
      </c>
      <c r="AH746" s="15">
        <f t="shared" si="478"/>
        <v>1</v>
      </c>
      <c r="AI746" s="15">
        <f t="shared" si="479"/>
        <v>1</v>
      </c>
      <c r="AJ746" s="15">
        <f t="shared" si="480"/>
        <v>1</v>
      </c>
      <c r="AK746" s="15">
        <f t="shared" si="481"/>
        <v>1</v>
      </c>
      <c r="AL746" s="15">
        <f t="shared" si="482"/>
        <v>1</v>
      </c>
      <c r="AM746" s="15">
        <f t="shared" si="483"/>
        <v>1</v>
      </c>
      <c r="AN746" s="15">
        <f t="shared" si="484"/>
        <v>1</v>
      </c>
      <c r="AO746" s="15">
        <f t="shared" si="485"/>
        <v>1</v>
      </c>
      <c r="AP746" s="15">
        <f t="shared" si="486"/>
        <v>1</v>
      </c>
      <c r="AQ746" s="15">
        <f t="shared" si="487"/>
        <v>1</v>
      </c>
      <c r="AR746" s="15">
        <f t="shared" si="488"/>
        <v>1</v>
      </c>
      <c r="AS746" s="15">
        <f t="shared" si="489"/>
        <v>1</v>
      </c>
      <c r="AT746" s="15">
        <f t="shared" si="490"/>
        <v>1</v>
      </c>
      <c r="AU746" s="15">
        <f t="shared" si="491"/>
        <v>1</v>
      </c>
      <c r="AV746" s="15">
        <f t="shared" si="492"/>
        <v>1</v>
      </c>
      <c r="AW746" s="15">
        <f t="shared" si="493"/>
        <v>1</v>
      </c>
      <c r="AX746" s="15">
        <f t="shared" si="494"/>
        <v>1</v>
      </c>
      <c r="AY746" s="15">
        <f t="shared" si="495"/>
        <v>1</v>
      </c>
      <c r="AZ746" s="15">
        <f t="shared" si="496"/>
        <v>1</v>
      </c>
      <c r="BA746" s="15">
        <f t="shared" si="497"/>
        <v>1</v>
      </c>
      <c r="BB746" s="15">
        <f t="shared" si="465"/>
        <v>0</v>
      </c>
      <c r="BC746" s="15" t="str">
        <f t="shared" si="466"/>
        <v/>
      </c>
      <c r="BD746" s="15" t="str">
        <f t="shared" si="467"/>
        <v/>
      </c>
      <c r="BE746" s="11" t="e">
        <f t="shared" si="498"/>
        <v>#VALUE!</v>
      </c>
      <c r="BF746" s="11" t="e">
        <f t="shared" si="499"/>
        <v>#VALUE!</v>
      </c>
      <c r="BG746" s="11" t="e">
        <f t="shared" si="500"/>
        <v>#VALUE!</v>
      </c>
      <c r="BH746" t="str">
        <f t="shared" si="501"/>
        <v/>
      </c>
      <c r="BI746" t="str" cm="1">
        <f t="array" ref="BI746">_xlfn.IFS(
  L746&gt;0,"Critical Fail",
  M746&gt;0,"Important (Coaching)",
  TRUE,"Clean Pass"
)</f>
        <v>Clean Pass</v>
      </c>
      <c r="BJ746" t="str">
        <f t="shared" si="502"/>
        <v>NA</v>
      </c>
    </row>
    <row r="747" spans="1:62" x14ac:dyDescent="0.3">
      <c r="A747">
        <v>336071</v>
      </c>
      <c r="K747" t="str">
        <f t="shared" si="464"/>
        <v>Pass</v>
      </c>
      <c r="L747" s="15">
        <f t="shared" si="468"/>
        <v>0</v>
      </c>
      <c r="M747" s="15">
        <f t="shared" si="469"/>
        <v>0</v>
      </c>
      <c r="Z747" s="15">
        <f t="shared" si="470"/>
        <v>1</v>
      </c>
      <c r="AA747" s="15">
        <f t="shared" si="471"/>
        <v>1</v>
      </c>
      <c r="AB747" s="15">
        <f t="shared" si="472"/>
        <v>1</v>
      </c>
      <c r="AC747" s="15">
        <f t="shared" si="473"/>
        <v>1</v>
      </c>
      <c r="AD747" s="15">
        <f t="shared" si="474"/>
        <v>1</v>
      </c>
      <c r="AE747" s="15">
        <f t="shared" si="475"/>
        <v>1</v>
      </c>
      <c r="AF747" s="15">
        <f t="shared" si="476"/>
        <v>1</v>
      </c>
      <c r="AG747" s="15">
        <f t="shared" si="477"/>
        <v>1</v>
      </c>
      <c r="AH747" s="15">
        <f t="shared" si="478"/>
        <v>1</v>
      </c>
      <c r="AI747" s="15">
        <f t="shared" si="479"/>
        <v>1</v>
      </c>
      <c r="AJ747" s="15">
        <f t="shared" si="480"/>
        <v>1</v>
      </c>
      <c r="AK747" s="15">
        <f t="shared" si="481"/>
        <v>1</v>
      </c>
      <c r="AL747" s="15">
        <f t="shared" si="482"/>
        <v>1</v>
      </c>
      <c r="AM747" s="15">
        <f t="shared" si="483"/>
        <v>1</v>
      </c>
      <c r="AN747" s="15">
        <f t="shared" si="484"/>
        <v>1</v>
      </c>
      <c r="AO747" s="15">
        <f t="shared" si="485"/>
        <v>1</v>
      </c>
      <c r="AP747" s="15">
        <f t="shared" si="486"/>
        <v>1</v>
      </c>
      <c r="AQ747" s="15">
        <f t="shared" si="487"/>
        <v>1</v>
      </c>
      <c r="AR747" s="15">
        <f t="shared" si="488"/>
        <v>1</v>
      </c>
      <c r="AS747" s="15">
        <f t="shared" si="489"/>
        <v>1</v>
      </c>
      <c r="AT747" s="15">
        <f t="shared" si="490"/>
        <v>1</v>
      </c>
      <c r="AU747" s="15">
        <f t="shared" si="491"/>
        <v>1</v>
      </c>
      <c r="AV747" s="15">
        <f t="shared" si="492"/>
        <v>1</v>
      </c>
      <c r="AW747" s="15">
        <f t="shared" si="493"/>
        <v>1</v>
      </c>
      <c r="AX747" s="15">
        <f t="shared" si="494"/>
        <v>1</v>
      </c>
      <c r="AY747" s="15">
        <f t="shared" si="495"/>
        <v>1</v>
      </c>
      <c r="AZ747" s="15">
        <f t="shared" si="496"/>
        <v>1</v>
      </c>
      <c r="BA747" s="15">
        <f t="shared" si="497"/>
        <v>1</v>
      </c>
      <c r="BB747" s="15">
        <f t="shared" si="465"/>
        <v>0</v>
      </c>
      <c r="BC747" s="15" t="str">
        <f t="shared" si="466"/>
        <v/>
      </c>
      <c r="BD747" s="15" t="str">
        <f t="shared" si="467"/>
        <v/>
      </c>
      <c r="BE747" s="11" t="e">
        <f t="shared" si="498"/>
        <v>#VALUE!</v>
      </c>
      <c r="BF747" s="11" t="e">
        <f t="shared" si="499"/>
        <v>#VALUE!</v>
      </c>
      <c r="BG747" s="11" t="e">
        <f t="shared" si="500"/>
        <v>#VALUE!</v>
      </c>
      <c r="BH747" t="str">
        <f t="shared" si="501"/>
        <v/>
      </c>
      <c r="BI747" t="str" cm="1">
        <f t="array" ref="BI747">_xlfn.IFS(
  L747&gt;0,"Critical Fail",
  M747&gt;0,"Important (Coaching)",
  TRUE,"Clean Pass"
)</f>
        <v>Clean Pass</v>
      </c>
      <c r="BJ747" t="str">
        <f t="shared" si="502"/>
        <v>NA</v>
      </c>
    </row>
    <row r="748" spans="1:62" x14ac:dyDescent="0.3">
      <c r="A748">
        <v>115005</v>
      </c>
      <c r="K748" t="str">
        <f t="shared" si="464"/>
        <v>Pass</v>
      </c>
      <c r="L748" s="15">
        <f t="shared" si="468"/>
        <v>0</v>
      </c>
      <c r="M748" s="15">
        <f t="shared" si="469"/>
        <v>0</v>
      </c>
      <c r="Z748" s="15">
        <f t="shared" si="470"/>
        <v>1</v>
      </c>
      <c r="AA748" s="15">
        <f t="shared" si="471"/>
        <v>1</v>
      </c>
      <c r="AB748" s="15">
        <f t="shared" si="472"/>
        <v>1</v>
      </c>
      <c r="AC748" s="15">
        <f t="shared" si="473"/>
        <v>1</v>
      </c>
      <c r="AD748" s="15">
        <f t="shared" si="474"/>
        <v>1</v>
      </c>
      <c r="AE748" s="15">
        <f t="shared" si="475"/>
        <v>1</v>
      </c>
      <c r="AF748" s="15">
        <f t="shared" si="476"/>
        <v>1</v>
      </c>
      <c r="AG748" s="15">
        <f t="shared" si="477"/>
        <v>1</v>
      </c>
      <c r="AH748" s="15">
        <f t="shared" si="478"/>
        <v>1</v>
      </c>
      <c r="AI748" s="15">
        <f t="shared" si="479"/>
        <v>1</v>
      </c>
      <c r="AJ748" s="15">
        <f t="shared" si="480"/>
        <v>1</v>
      </c>
      <c r="AK748" s="15">
        <f t="shared" si="481"/>
        <v>1</v>
      </c>
      <c r="AL748" s="15">
        <f t="shared" si="482"/>
        <v>1</v>
      </c>
      <c r="AM748" s="15">
        <f t="shared" si="483"/>
        <v>1</v>
      </c>
      <c r="AN748" s="15">
        <f t="shared" si="484"/>
        <v>1</v>
      </c>
      <c r="AO748" s="15">
        <f t="shared" si="485"/>
        <v>1</v>
      </c>
      <c r="AP748" s="15">
        <f t="shared" si="486"/>
        <v>1</v>
      </c>
      <c r="AQ748" s="15">
        <f t="shared" si="487"/>
        <v>1</v>
      </c>
      <c r="AR748" s="15">
        <f t="shared" si="488"/>
        <v>1</v>
      </c>
      <c r="AS748" s="15">
        <f t="shared" si="489"/>
        <v>1</v>
      </c>
      <c r="AT748" s="15">
        <f t="shared" si="490"/>
        <v>1</v>
      </c>
      <c r="AU748" s="15">
        <f t="shared" si="491"/>
        <v>1</v>
      </c>
      <c r="AV748" s="15">
        <f t="shared" si="492"/>
        <v>1</v>
      </c>
      <c r="AW748" s="15">
        <f t="shared" si="493"/>
        <v>1</v>
      </c>
      <c r="AX748" s="15">
        <f t="shared" si="494"/>
        <v>1</v>
      </c>
      <c r="AY748" s="15">
        <f t="shared" si="495"/>
        <v>1</v>
      </c>
      <c r="AZ748" s="15">
        <f t="shared" si="496"/>
        <v>1</v>
      </c>
      <c r="BA748" s="15">
        <f t="shared" si="497"/>
        <v>1</v>
      </c>
      <c r="BB748" s="15">
        <f t="shared" si="465"/>
        <v>0</v>
      </c>
      <c r="BC748" s="15" t="str">
        <f t="shared" si="466"/>
        <v/>
      </c>
      <c r="BD748" s="15" t="str">
        <f t="shared" si="467"/>
        <v/>
      </c>
      <c r="BE748" s="11" t="e">
        <f t="shared" si="498"/>
        <v>#VALUE!</v>
      </c>
      <c r="BF748" s="11" t="e">
        <f t="shared" si="499"/>
        <v>#VALUE!</v>
      </c>
      <c r="BG748" s="11" t="e">
        <f t="shared" si="500"/>
        <v>#VALUE!</v>
      </c>
      <c r="BH748" t="str">
        <f t="shared" si="501"/>
        <v/>
      </c>
      <c r="BI748" t="str" cm="1">
        <f t="array" ref="BI748">_xlfn.IFS(
  L748&gt;0,"Critical Fail",
  M748&gt;0,"Important (Coaching)",
  TRUE,"Clean Pass"
)</f>
        <v>Clean Pass</v>
      </c>
      <c r="BJ748" t="str">
        <f t="shared" si="502"/>
        <v>NA</v>
      </c>
    </row>
    <row r="749" spans="1:62" x14ac:dyDescent="0.3">
      <c r="A749">
        <v>231135</v>
      </c>
      <c r="K749" t="str">
        <f t="shared" si="464"/>
        <v>Pass</v>
      </c>
      <c r="L749" s="15">
        <f t="shared" si="468"/>
        <v>0</v>
      </c>
      <c r="M749" s="15">
        <f t="shared" si="469"/>
        <v>0</v>
      </c>
      <c r="Z749" s="15">
        <f t="shared" si="470"/>
        <v>1</v>
      </c>
      <c r="AA749" s="15">
        <f t="shared" si="471"/>
        <v>1</v>
      </c>
      <c r="AB749" s="15">
        <f t="shared" si="472"/>
        <v>1</v>
      </c>
      <c r="AC749" s="15">
        <f t="shared" si="473"/>
        <v>1</v>
      </c>
      <c r="AD749" s="15">
        <f t="shared" si="474"/>
        <v>1</v>
      </c>
      <c r="AE749" s="15">
        <f t="shared" si="475"/>
        <v>1</v>
      </c>
      <c r="AF749" s="15">
        <f t="shared" si="476"/>
        <v>1</v>
      </c>
      <c r="AG749" s="15">
        <f t="shared" si="477"/>
        <v>1</v>
      </c>
      <c r="AH749" s="15">
        <f t="shared" si="478"/>
        <v>1</v>
      </c>
      <c r="AI749" s="15">
        <f t="shared" si="479"/>
        <v>1</v>
      </c>
      <c r="AJ749" s="15">
        <f t="shared" si="480"/>
        <v>1</v>
      </c>
      <c r="AK749" s="15">
        <f t="shared" si="481"/>
        <v>1</v>
      </c>
      <c r="AL749" s="15">
        <f t="shared" si="482"/>
        <v>1</v>
      </c>
      <c r="AM749" s="15">
        <f t="shared" si="483"/>
        <v>1</v>
      </c>
      <c r="AN749" s="15">
        <f t="shared" si="484"/>
        <v>1</v>
      </c>
      <c r="AO749" s="15">
        <f t="shared" si="485"/>
        <v>1</v>
      </c>
      <c r="AP749" s="15">
        <f t="shared" si="486"/>
        <v>1</v>
      </c>
      <c r="AQ749" s="15">
        <f t="shared" si="487"/>
        <v>1</v>
      </c>
      <c r="AR749" s="15">
        <f t="shared" si="488"/>
        <v>1</v>
      </c>
      <c r="AS749" s="15">
        <f t="shared" si="489"/>
        <v>1</v>
      </c>
      <c r="AT749" s="15">
        <f t="shared" si="490"/>
        <v>1</v>
      </c>
      <c r="AU749" s="15">
        <f t="shared" si="491"/>
        <v>1</v>
      </c>
      <c r="AV749" s="15">
        <f t="shared" si="492"/>
        <v>1</v>
      </c>
      <c r="AW749" s="15">
        <f t="shared" si="493"/>
        <v>1</v>
      </c>
      <c r="AX749" s="15">
        <f t="shared" si="494"/>
        <v>1</v>
      </c>
      <c r="AY749" s="15">
        <f t="shared" si="495"/>
        <v>1</v>
      </c>
      <c r="AZ749" s="15">
        <f t="shared" si="496"/>
        <v>1</v>
      </c>
      <c r="BA749" s="15">
        <f t="shared" si="497"/>
        <v>1</v>
      </c>
      <c r="BB749" s="15">
        <f t="shared" si="465"/>
        <v>0</v>
      </c>
      <c r="BC749" s="15" t="str">
        <f t="shared" si="466"/>
        <v/>
      </c>
      <c r="BD749" s="15" t="str">
        <f t="shared" si="467"/>
        <v/>
      </c>
      <c r="BE749" s="11" t="e">
        <f t="shared" si="498"/>
        <v>#VALUE!</v>
      </c>
      <c r="BF749" s="11" t="e">
        <f t="shared" si="499"/>
        <v>#VALUE!</v>
      </c>
      <c r="BG749" s="11" t="e">
        <f t="shared" si="500"/>
        <v>#VALUE!</v>
      </c>
      <c r="BH749" t="str">
        <f t="shared" si="501"/>
        <v/>
      </c>
      <c r="BI749" t="str" cm="1">
        <f t="array" ref="BI749">_xlfn.IFS(
  L749&gt;0,"Critical Fail",
  M749&gt;0,"Important (Coaching)",
  TRUE,"Clean Pass"
)</f>
        <v>Clean Pass</v>
      </c>
      <c r="BJ749" t="str">
        <f t="shared" si="502"/>
        <v>NA</v>
      </c>
    </row>
    <row r="750" spans="1:62" x14ac:dyDescent="0.3">
      <c r="A750">
        <v>532788</v>
      </c>
      <c r="K750" t="str">
        <f t="shared" si="464"/>
        <v>Pass</v>
      </c>
      <c r="L750" s="15">
        <f t="shared" si="468"/>
        <v>0</v>
      </c>
      <c r="M750" s="15">
        <f t="shared" si="469"/>
        <v>0</v>
      </c>
      <c r="Z750" s="15">
        <f t="shared" si="470"/>
        <v>1</v>
      </c>
      <c r="AA750" s="15">
        <f t="shared" si="471"/>
        <v>1</v>
      </c>
      <c r="AB750" s="15">
        <f t="shared" si="472"/>
        <v>1</v>
      </c>
      <c r="AC750" s="15">
        <f t="shared" si="473"/>
        <v>1</v>
      </c>
      <c r="AD750" s="15">
        <f t="shared" si="474"/>
        <v>1</v>
      </c>
      <c r="AE750" s="15">
        <f t="shared" si="475"/>
        <v>1</v>
      </c>
      <c r="AF750" s="15">
        <f t="shared" si="476"/>
        <v>1</v>
      </c>
      <c r="AG750" s="15">
        <f t="shared" si="477"/>
        <v>1</v>
      </c>
      <c r="AH750" s="15">
        <f t="shared" si="478"/>
        <v>1</v>
      </c>
      <c r="AI750" s="15">
        <f t="shared" si="479"/>
        <v>1</v>
      </c>
      <c r="AJ750" s="15">
        <f t="shared" si="480"/>
        <v>1</v>
      </c>
      <c r="AK750" s="15">
        <f t="shared" si="481"/>
        <v>1</v>
      </c>
      <c r="AL750" s="15">
        <f t="shared" si="482"/>
        <v>1</v>
      </c>
      <c r="AM750" s="15">
        <f t="shared" si="483"/>
        <v>1</v>
      </c>
      <c r="AN750" s="15">
        <f t="shared" si="484"/>
        <v>1</v>
      </c>
      <c r="AO750" s="15">
        <f t="shared" si="485"/>
        <v>1</v>
      </c>
      <c r="AP750" s="15">
        <f t="shared" si="486"/>
        <v>1</v>
      </c>
      <c r="AQ750" s="15">
        <f t="shared" si="487"/>
        <v>1</v>
      </c>
      <c r="AR750" s="15">
        <f t="shared" si="488"/>
        <v>1</v>
      </c>
      <c r="AS750" s="15">
        <f t="shared" si="489"/>
        <v>1</v>
      </c>
      <c r="AT750" s="15">
        <f t="shared" si="490"/>
        <v>1</v>
      </c>
      <c r="AU750" s="15">
        <f t="shared" si="491"/>
        <v>1</v>
      </c>
      <c r="AV750" s="15">
        <f t="shared" si="492"/>
        <v>1</v>
      </c>
      <c r="AW750" s="15">
        <f t="shared" si="493"/>
        <v>1</v>
      </c>
      <c r="AX750" s="15">
        <f t="shared" si="494"/>
        <v>1</v>
      </c>
      <c r="AY750" s="15">
        <f t="shared" si="495"/>
        <v>1</v>
      </c>
      <c r="AZ750" s="15">
        <f t="shared" si="496"/>
        <v>1</v>
      </c>
      <c r="BA750" s="15">
        <f t="shared" si="497"/>
        <v>1</v>
      </c>
      <c r="BB750" s="15">
        <f t="shared" si="465"/>
        <v>0</v>
      </c>
      <c r="BC750" s="15" t="str">
        <f t="shared" si="466"/>
        <v/>
      </c>
      <c r="BD750" s="15" t="str">
        <f t="shared" si="467"/>
        <v/>
      </c>
      <c r="BE750" s="11" t="e">
        <f t="shared" si="498"/>
        <v>#VALUE!</v>
      </c>
      <c r="BF750" s="11" t="e">
        <f t="shared" si="499"/>
        <v>#VALUE!</v>
      </c>
      <c r="BG750" s="11" t="e">
        <f t="shared" si="500"/>
        <v>#VALUE!</v>
      </c>
      <c r="BH750" t="str">
        <f t="shared" si="501"/>
        <v/>
      </c>
      <c r="BI750" t="str" cm="1">
        <f t="array" ref="BI750">_xlfn.IFS(
  L750&gt;0,"Critical Fail",
  M750&gt;0,"Important (Coaching)",
  TRUE,"Clean Pass"
)</f>
        <v>Clean Pass</v>
      </c>
      <c r="BJ750" t="str">
        <f t="shared" si="502"/>
        <v>NA</v>
      </c>
    </row>
    <row r="751" spans="1:62" x14ac:dyDescent="0.3">
      <c r="A751">
        <v>916515</v>
      </c>
      <c r="K751" t="str">
        <f t="shared" si="464"/>
        <v>Pass</v>
      </c>
      <c r="L751" s="15">
        <f t="shared" si="468"/>
        <v>0</v>
      </c>
      <c r="M751" s="15">
        <f t="shared" si="469"/>
        <v>0</v>
      </c>
      <c r="Z751" s="15">
        <f t="shared" si="470"/>
        <v>1</v>
      </c>
      <c r="AA751" s="15">
        <f t="shared" si="471"/>
        <v>1</v>
      </c>
      <c r="AB751" s="15">
        <f t="shared" si="472"/>
        <v>1</v>
      </c>
      <c r="AC751" s="15">
        <f t="shared" si="473"/>
        <v>1</v>
      </c>
      <c r="AD751" s="15">
        <f t="shared" si="474"/>
        <v>1</v>
      </c>
      <c r="AE751" s="15">
        <f t="shared" si="475"/>
        <v>1</v>
      </c>
      <c r="AF751" s="15">
        <f t="shared" si="476"/>
        <v>1</v>
      </c>
      <c r="AG751" s="15">
        <f t="shared" si="477"/>
        <v>1</v>
      </c>
      <c r="AH751" s="15">
        <f t="shared" si="478"/>
        <v>1</v>
      </c>
      <c r="AI751" s="15">
        <f t="shared" si="479"/>
        <v>1</v>
      </c>
      <c r="AJ751" s="15">
        <f t="shared" si="480"/>
        <v>1</v>
      </c>
      <c r="AK751" s="15">
        <f t="shared" si="481"/>
        <v>1</v>
      </c>
      <c r="AL751" s="15">
        <f t="shared" si="482"/>
        <v>1</v>
      </c>
      <c r="AM751" s="15">
        <f t="shared" si="483"/>
        <v>1</v>
      </c>
      <c r="AN751" s="15">
        <f t="shared" si="484"/>
        <v>1</v>
      </c>
      <c r="AO751" s="15">
        <f t="shared" si="485"/>
        <v>1</v>
      </c>
      <c r="AP751" s="15">
        <f t="shared" si="486"/>
        <v>1</v>
      </c>
      <c r="AQ751" s="15">
        <f t="shared" si="487"/>
        <v>1</v>
      </c>
      <c r="AR751" s="15">
        <f t="shared" si="488"/>
        <v>1</v>
      </c>
      <c r="AS751" s="15">
        <f t="shared" si="489"/>
        <v>1</v>
      </c>
      <c r="AT751" s="15">
        <f t="shared" si="490"/>
        <v>1</v>
      </c>
      <c r="AU751" s="15">
        <f t="shared" si="491"/>
        <v>1</v>
      </c>
      <c r="AV751" s="15">
        <f t="shared" si="492"/>
        <v>1</v>
      </c>
      <c r="AW751" s="15">
        <f t="shared" si="493"/>
        <v>1</v>
      </c>
      <c r="AX751" s="15">
        <f t="shared" si="494"/>
        <v>1</v>
      </c>
      <c r="AY751" s="15">
        <f t="shared" si="495"/>
        <v>1</v>
      </c>
      <c r="AZ751" s="15">
        <f t="shared" si="496"/>
        <v>1</v>
      </c>
      <c r="BA751" s="15">
        <f t="shared" si="497"/>
        <v>1</v>
      </c>
      <c r="BB751" s="15">
        <f t="shared" si="465"/>
        <v>0</v>
      </c>
      <c r="BC751" s="15" t="str">
        <f t="shared" si="466"/>
        <v/>
      </c>
      <c r="BD751" s="15" t="str">
        <f t="shared" si="467"/>
        <v/>
      </c>
      <c r="BE751" s="11" t="e">
        <f t="shared" si="498"/>
        <v>#VALUE!</v>
      </c>
      <c r="BF751" s="11" t="e">
        <f t="shared" si="499"/>
        <v>#VALUE!</v>
      </c>
      <c r="BG751" s="11" t="e">
        <f t="shared" si="500"/>
        <v>#VALUE!</v>
      </c>
      <c r="BH751" t="str">
        <f t="shared" si="501"/>
        <v/>
      </c>
      <c r="BI751" t="str" cm="1">
        <f t="array" ref="BI751">_xlfn.IFS(
  L751&gt;0,"Critical Fail",
  M751&gt;0,"Important (Coaching)",
  TRUE,"Clean Pass"
)</f>
        <v>Clean Pass</v>
      </c>
      <c r="BJ751" t="str">
        <f t="shared" si="502"/>
        <v>NA</v>
      </c>
    </row>
    <row r="752" spans="1:62" x14ac:dyDescent="0.3">
      <c r="A752">
        <v>194108</v>
      </c>
      <c r="K752" t="str">
        <f t="shared" si="464"/>
        <v>Pass</v>
      </c>
      <c r="L752" s="15">
        <f t="shared" si="468"/>
        <v>0</v>
      </c>
      <c r="M752" s="15">
        <f t="shared" si="469"/>
        <v>0</v>
      </c>
      <c r="Z752" s="15">
        <f t="shared" si="470"/>
        <v>1</v>
      </c>
      <c r="AA752" s="15">
        <f t="shared" si="471"/>
        <v>1</v>
      </c>
      <c r="AB752" s="15">
        <f t="shared" si="472"/>
        <v>1</v>
      </c>
      <c r="AC752" s="15">
        <f t="shared" si="473"/>
        <v>1</v>
      </c>
      <c r="AD752" s="15">
        <f t="shared" si="474"/>
        <v>1</v>
      </c>
      <c r="AE752" s="15">
        <f t="shared" si="475"/>
        <v>1</v>
      </c>
      <c r="AF752" s="15">
        <f t="shared" si="476"/>
        <v>1</v>
      </c>
      <c r="AG752" s="15">
        <f t="shared" si="477"/>
        <v>1</v>
      </c>
      <c r="AH752" s="15">
        <f t="shared" si="478"/>
        <v>1</v>
      </c>
      <c r="AI752" s="15">
        <f t="shared" si="479"/>
        <v>1</v>
      </c>
      <c r="AJ752" s="15">
        <f t="shared" si="480"/>
        <v>1</v>
      </c>
      <c r="AK752" s="15">
        <f t="shared" si="481"/>
        <v>1</v>
      </c>
      <c r="AL752" s="15">
        <f t="shared" si="482"/>
        <v>1</v>
      </c>
      <c r="AM752" s="15">
        <f t="shared" si="483"/>
        <v>1</v>
      </c>
      <c r="AN752" s="15">
        <f t="shared" si="484"/>
        <v>1</v>
      </c>
      <c r="AO752" s="15">
        <f t="shared" si="485"/>
        <v>1</v>
      </c>
      <c r="AP752" s="15">
        <f t="shared" si="486"/>
        <v>1</v>
      </c>
      <c r="AQ752" s="15">
        <f t="shared" si="487"/>
        <v>1</v>
      </c>
      <c r="AR752" s="15">
        <f t="shared" si="488"/>
        <v>1</v>
      </c>
      <c r="AS752" s="15">
        <f t="shared" si="489"/>
        <v>1</v>
      </c>
      <c r="AT752" s="15">
        <f t="shared" si="490"/>
        <v>1</v>
      </c>
      <c r="AU752" s="15">
        <f t="shared" si="491"/>
        <v>1</v>
      </c>
      <c r="AV752" s="15">
        <f t="shared" si="492"/>
        <v>1</v>
      </c>
      <c r="AW752" s="15">
        <f t="shared" si="493"/>
        <v>1</v>
      </c>
      <c r="AX752" s="15">
        <f t="shared" si="494"/>
        <v>1</v>
      </c>
      <c r="AY752" s="15">
        <f t="shared" si="495"/>
        <v>1</v>
      </c>
      <c r="AZ752" s="15">
        <f t="shared" si="496"/>
        <v>1</v>
      </c>
      <c r="BA752" s="15">
        <f t="shared" si="497"/>
        <v>1</v>
      </c>
      <c r="BB752" s="15">
        <f t="shared" si="465"/>
        <v>0</v>
      </c>
      <c r="BC752" s="15" t="str">
        <f t="shared" si="466"/>
        <v/>
      </c>
      <c r="BD752" s="15" t="str">
        <f t="shared" si="467"/>
        <v/>
      </c>
      <c r="BE752" s="11" t="e">
        <f t="shared" si="498"/>
        <v>#VALUE!</v>
      </c>
      <c r="BF752" s="11" t="e">
        <f t="shared" si="499"/>
        <v>#VALUE!</v>
      </c>
      <c r="BG752" s="11" t="e">
        <f t="shared" si="500"/>
        <v>#VALUE!</v>
      </c>
      <c r="BH752" t="str">
        <f t="shared" si="501"/>
        <v/>
      </c>
      <c r="BI752" t="str" cm="1">
        <f t="array" ref="BI752">_xlfn.IFS(
  L752&gt;0,"Critical Fail",
  M752&gt;0,"Important (Coaching)",
  TRUE,"Clean Pass"
)</f>
        <v>Clean Pass</v>
      </c>
      <c r="BJ752" t="str">
        <f t="shared" si="502"/>
        <v>NA</v>
      </c>
    </row>
    <row r="753" spans="1:62" x14ac:dyDescent="0.3">
      <c r="A753">
        <v>621348</v>
      </c>
      <c r="K753" t="str">
        <f t="shared" si="464"/>
        <v>Pass</v>
      </c>
      <c r="L753" s="15">
        <f t="shared" si="468"/>
        <v>0</v>
      </c>
      <c r="M753" s="15">
        <f t="shared" si="469"/>
        <v>0</v>
      </c>
      <c r="Z753" s="15">
        <f t="shared" si="470"/>
        <v>1</v>
      </c>
      <c r="AA753" s="15">
        <f t="shared" si="471"/>
        <v>1</v>
      </c>
      <c r="AB753" s="15">
        <f t="shared" si="472"/>
        <v>1</v>
      </c>
      <c r="AC753" s="15">
        <f t="shared" si="473"/>
        <v>1</v>
      </c>
      <c r="AD753" s="15">
        <f t="shared" si="474"/>
        <v>1</v>
      </c>
      <c r="AE753" s="15">
        <f t="shared" si="475"/>
        <v>1</v>
      </c>
      <c r="AF753" s="15">
        <f t="shared" si="476"/>
        <v>1</v>
      </c>
      <c r="AG753" s="15">
        <f t="shared" si="477"/>
        <v>1</v>
      </c>
      <c r="AH753" s="15">
        <f t="shared" si="478"/>
        <v>1</v>
      </c>
      <c r="AI753" s="15">
        <f t="shared" si="479"/>
        <v>1</v>
      </c>
      <c r="AJ753" s="15">
        <f t="shared" si="480"/>
        <v>1</v>
      </c>
      <c r="AK753" s="15">
        <f t="shared" si="481"/>
        <v>1</v>
      </c>
      <c r="AL753" s="15">
        <f t="shared" si="482"/>
        <v>1</v>
      </c>
      <c r="AM753" s="15">
        <f t="shared" si="483"/>
        <v>1</v>
      </c>
      <c r="AN753" s="15">
        <f t="shared" si="484"/>
        <v>1</v>
      </c>
      <c r="AO753" s="15">
        <f t="shared" si="485"/>
        <v>1</v>
      </c>
      <c r="AP753" s="15">
        <f t="shared" si="486"/>
        <v>1</v>
      </c>
      <c r="AQ753" s="15">
        <f t="shared" si="487"/>
        <v>1</v>
      </c>
      <c r="AR753" s="15">
        <f t="shared" si="488"/>
        <v>1</v>
      </c>
      <c r="AS753" s="15">
        <f t="shared" si="489"/>
        <v>1</v>
      </c>
      <c r="AT753" s="15">
        <f t="shared" si="490"/>
        <v>1</v>
      </c>
      <c r="AU753" s="15">
        <f t="shared" si="491"/>
        <v>1</v>
      </c>
      <c r="AV753" s="15">
        <f t="shared" si="492"/>
        <v>1</v>
      </c>
      <c r="AW753" s="15">
        <f t="shared" si="493"/>
        <v>1</v>
      </c>
      <c r="AX753" s="15">
        <f t="shared" si="494"/>
        <v>1</v>
      </c>
      <c r="AY753" s="15">
        <f t="shared" si="495"/>
        <v>1</v>
      </c>
      <c r="AZ753" s="15">
        <f t="shared" si="496"/>
        <v>1</v>
      </c>
      <c r="BA753" s="15">
        <f t="shared" si="497"/>
        <v>1</v>
      </c>
      <c r="BB753" s="15">
        <f t="shared" si="465"/>
        <v>0</v>
      </c>
      <c r="BC753" s="15" t="str">
        <f t="shared" si="466"/>
        <v/>
      </c>
      <c r="BD753" s="15" t="str">
        <f t="shared" si="467"/>
        <v/>
      </c>
      <c r="BE753" s="11" t="e">
        <f t="shared" si="498"/>
        <v>#VALUE!</v>
      </c>
      <c r="BF753" s="11" t="e">
        <f t="shared" si="499"/>
        <v>#VALUE!</v>
      </c>
      <c r="BG753" s="11" t="e">
        <f t="shared" si="500"/>
        <v>#VALUE!</v>
      </c>
      <c r="BH753" t="str">
        <f t="shared" si="501"/>
        <v/>
      </c>
      <c r="BI753" t="str" cm="1">
        <f t="array" ref="BI753">_xlfn.IFS(
  L753&gt;0,"Critical Fail",
  M753&gt;0,"Important (Coaching)",
  TRUE,"Clean Pass"
)</f>
        <v>Clean Pass</v>
      </c>
      <c r="BJ753" t="str">
        <f t="shared" si="502"/>
        <v>NA</v>
      </c>
    </row>
    <row r="754" spans="1:62" x14ac:dyDescent="0.3">
      <c r="A754">
        <v>427121</v>
      </c>
      <c r="K754" t="str">
        <f t="shared" si="464"/>
        <v>Pass</v>
      </c>
      <c r="L754" s="15">
        <f t="shared" si="468"/>
        <v>0</v>
      </c>
      <c r="M754" s="15">
        <f t="shared" si="469"/>
        <v>0</v>
      </c>
      <c r="Z754" s="15">
        <f t="shared" si="470"/>
        <v>1</v>
      </c>
      <c r="AA754" s="15">
        <f t="shared" si="471"/>
        <v>1</v>
      </c>
      <c r="AB754" s="15">
        <f t="shared" si="472"/>
        <v>1</v>
      </c>
      <c r="AC754" s="15">
        <f t="shared" si="473"/>
        <v>1</v>
      </c>
      <c r="AD754" s="15">
        <f t="shared" si="474"/>
        <v>1</v>
      </c>
      <c r="AE754" s="15">
        <f t="shared" si="475"/>
        <v>1</v>
      </c>
      <c r="AF754" s="15">
        <f t="shared" si="476"/>
        <v>1</v>
      </c>
      <c r="AG754" s="15">
        <f t="shared" si="477"/>
        <v>1</v>
      </c>
      <c r="AH754" s="15">
        <f t="shared" si="478"/>
        <v>1</v>
      </c>
      <c r="AI754" s="15">
        <f t="shared" si="479"/>
        <v>1</v>
      </c>
      <c r="AJ754" s="15">
        <f t="shared" si="480"/>
        <v>1</v>
      </c>
      <c r="AK754" s="15">
        <f t="shared" si="481"/>
        <v>1</v>
      </c>
      <c r="AL754" s="15">
        <f t="shared" si="482"/>
        <v>1</v>
      </c>
      <c r="AM754" s="15">
        <f t="shared" si="483"/>
        <v>1</v>
      </c>
      <c r="AN754" s="15">
        <f t="shared" si="484"/>
        <v>1</v>
      </c>
      <c r="AO754" s="15">
        <f t="shared" si="485"/>
        <v>1</v>
      </c>
      <c r="AP754" s="15">
        <f t="shared" si="486"/>
        <v>1</v>
      </c>
      <c r="AQ754" s="15">
        <f t="shared" si="487"/>
        <v>1</v>
      </c>
      <c r="AR754" s="15">
        <f t="shared" si="488"/>
        <v>1</v>
      </c>
      <c r="AS754" s="15">
        <f t="shared" si="489"/>
        <v>1</v>
      </c>
      <c r="AT754" s="15">
        <f t="shared" si="490"/>
        <v>1</v>
      </c>
      <c r="AU754" s="15">
        <f t="shared" si="491"/>
        <v>1</v>
      </c>
      <c r="AV754" s="15">
        <f t="shared" si="492"/>
        <v>1</v>
      </c>
      <c r="AW754" s="15">
        <f t="shared" si="493"/>
        <v>1</v>
      </c>
      <c r="AX754" s="15">
        <f t="shared" si="494"/>
        <v>1</v>
      </c>
      <c r="AY754" s="15">
        <f t="shared" si="495"/>
        <v>1</v>
      </c>
      <c r="AZ754" s="15">
        <f t="shared" si="496"/>
        <v>1</v>
      </c>
      <c r="BA754" s="15">
        <f t="shared" si="497"/>
        <v>1</v>
      </c>
      <c r="BB754" s="15">
        <f t="shared" si="465"/>
        <v>0</v>
      </c>
      <c r="BC754" s="15" t="str">
        <f t="shared" si="466"/>
        <v/>
      </c>
      <c r="BD754" s="15" t="str">
        <f t="shared" si="467"/>
        <v/>
      </c>
      <c r="BE754" s="11" t="e">
        <f t="shared" si="498"/>
        <v>#VALUE!</v>
      </c>
      <c r="BF754" s="11" t="e">
        <f t="shared" si="499"/>
        <v>#VALUE!</v>
      </c>
      <c r="BG754" s="11" t="e">
        <f t="shared" si="500"/>
        <v>#VALUE!</v>
      </c>
      <c r="BH754" t="str">
        <f t="shared" si="501"/>
        <v/>
      </c>
      <c r="BI754" t="str" cm="1">
        <f t="array" ref="BI754">_xlfn.IFS(
  L754&gt;0,"Critical Fail",
  M754&gt;0,"Important (Coaching)",
  TRUE,"Clean Pass"
)</f>
        <v>Clean Pass</v>
      </c>
      <c r="BJ754" t="str">
        <f t="shared" si="502"/>
        <v>NA</v>
      </c>
    </row>
    <row r="755" spans="1:62" x14ac:dyDescent="0.3">
      <c r="A755">
        <v>594523</v>
      </c>
      <c r="K755" t="str">
        <f t="shared" si="464"/>
        <v>Pass</v>
      </c>
      <c r="L755" s="15">
        <f t="shared" si="468"/>
        <v>0</v>
      </c>
      <c r="M755" s="15">
        <f t="shared" si="469"/>
        <v>0</v>
      </c>
      <c r="Z755" s="15">
        <f t="shared" si="470"/>
        <v>1</v>
      </c>
      <c r="AA755" s="15">
        <f t="shared" si="471"/>
        <v>1</v>
      </c>
      <c r="AB755" s="15">
        <f t="shared" si="472"/>
        <v>1</v>
      </c>
      <c r="AC755" s="15">
        <f t="shared" si="473"/>
        <v>1</v>
      </c>
      <c r="AD755" s="15">
        <f t="shared" si="474"/>
        <v>1</v>
      </c>
      <c r="AE755" s="15">
        <f t="shared" si="475"/>
        <v>1</v>
      </c>
      <c r="AF755" s="15">
        <f t="shared" si="476"/>
        <v>1</v>
      </c>
      <c r="AG755" s="15">
        <f t="shared" si="477"/>
        <v>1</v>
      </c>
      <c r="AH755" s="15">
        <f t="shared" si="478"/>
        <v>1</v>
      </c>
      <c r="AI755" s="15">
        <f t="shared" si="479"/>
        <v>1</v>
      </c>
      <c r="AJ755" s="15">
        <f t="shared" si="480"/>
        <v>1</v>
      </c>
      <c r="AK755" s="15">
        <f t="shared" si="481"/>
        <v>1</v>
      </c>
      <c r="AL755" s="15">
        <f t="shared" si="482"/>
        <v>1</v>
      </c>
      <c r="AM755" s="15">
        <f t="shared" si="483"/>
        <v>1</v>
      </c>
      <c r="AN755" s="15">
        <f t="shared" si="484"/>
        <v>1</v>
      </c>
      <c r="AO755" s="15">
        <f t="shared" si="485"/>
        <v>1</v>
      </c>
      <c r="AP755" s="15">
        <f t="shared" si="486"/>
        <v>1</v>
      </c>
      <c r="AQ755" s="15">
        <f t="shared" si="487"/>
        <v>1</v>
      </c>
      <c r="AR755" s="15">
        <f t="shared" si="488"/>
        <v>1</v>
      </c>
      <c r="AS755" s="15">
        <f t="shared" si="489"/>
        <v>1</v>
      </c>
      <c r="AT755" s="15">
        <f t="shared" si="490"/>
        <v>1</v>
      </c>
      <c r="AU755" s="15">
        <f t="shared" si="491"/>
        <v>1</v>
      </c>
      <c r="AV755" s="15">
        <f t="shared" si="492"/>
        <v>1</v>
      </c>
      <c r="AW755" s="15">
        <f t="shared" si="493"/>
        <v>1</v>
      </c>
      <c r="AX755" s="15">
        <f t="shared" si="494"/>
        <v>1</v>
      </c>
      <c r="AY755" s="15">
        <f t="shared" si="495"/>
        <v>1</v>
      </c>
      <c r="AZ755" s="15">
        <f t="shared" si="496"/>
        <v>1</v>
      </c>
      <c r="BA755" s="15">
        <f t="shared" si="497"/>
        <v>1</v>
      </c>
      <c r="BB755" s="15">
        <f t="shared" si="465"/>
        <v>0</v>
      </c>
      <c r="BC755" s="15" t="str">
        <f t="shared" si="466"/>
        <v/>
      </c>
      <c r="BD755" s="15" t="str">
        <f t="shared" si="467"/>
        <v/>
      </c>
      <c r="BE755" s="11" t="e">
        <f t="shared" si="498"/>
        <v>#VALUE!</v>
      </c>
      <c r="BF755" s="11" t="e">
        <f t="shared" si="499"/>
        <v>#VALUE!</v>
      </c>
      <c r="BG755" s="11" t="e">
        <f t="shared" si="500"/>
        <v>#VALUE!</v>
      </c>
      <c r="BH755" t="str">
        <f t="shared" si="501"/>
        <v/>
      </c>
      <c r="BI755" t="str" cm="1">
        <f t="array" ref="BI755">_xlfn.IFS(
  L755&gt;0,"Critical Fail",
  M755&gt;0,"Important (Coaching)",
  TRUE,"Clean Pass"
)</f>
        <v>Clean Pass</v>
      </c>
      <c r="BJ755" t="str">
        <f t="shared" si="502"/>
        <v>NA</v>
      </c>
    </row>
    <row r="756" spans="1:62" x14ac:dyDescent="0.3">
      <c r="A756">
        <v>756571</v>
      </c>
      <c r="K756" t="str">
        <f t="shared" si="464"/>
        <v>Pass</v>
      </c>
      <c r="L756" s="15">
        <f t="shared" si="468"/>
        <v>0</v>
      </c>
      <c r="M756" s="15">
        <f t="shared" si="469"/>
        <v>0</v>
      </c>
      <c r="Z756" s="15">
        <f t="shared" si="470"/>
        <v>1</v>
      </c>
      <c r="AA756" s="15">
        <f t="shared" si="471"/>
        <v>1</v>
      </c>
      <c r="AB756" s="15">
        <f t="shared" si="472"/>
        <v>1</v>
      </c>
      <c r="AC756" s="15">
        <f t="shared" si="473"/>
        <v>1</v>
      </c>
      <c r="AD756" s="15">
        <f t="shared" si="474"/>
        <v>1</v>
      </c>
      <c r="AE756" s="15">
        <f t="shared" si="475"/>
        <v>1</v>
      </c>
      <c r="AF756" s="15">
        <f t="shared" si="476"/>
        <v>1</v>
      </c>
      <c r="AG756" s="15">
        <f t="shared" si="477"/>
        <v>1</v>
      </c>
      <c r="AH756" s="15">
        <f t="shared" si="478"/>
        <v>1</v>
      </c>
      <c r="AI756" s="15">
        <f t="shared" si="479"/>
        <v>1</v>
      </c>
      <c r="AJ756" s="15">
        <f t="shared" si="480"/>
        <v>1</v>
      </c>
      <c r="AK756" s="15">
        <f t="shared" si="481"/>
        <v>1</v>
      </c>
      <c r="AL756" s="15">
        <f t="shared" si="482"/>
        <v>1</v>
      </c>
      <c r="AM756" s="15">
        <f t="shared" si="483"/>
        <v>1</v>
      </c>
      <c r="AN756" s="15">
        <f t="shared" si="484"/>
        <v>1</v>
      </c>
      <c r="AO756" s="15">
        <f t="shared" si="485"/>
        <v>1</v>
      </c>
      <c r="AP756" s="15">
        <f t="shared" si="486"/>
        <v>1</v>
      </c>
      <c r="AQ756" s="15">
        <f t="shared" si="487"/>
        <v>1</v>
      </c>
      <c r="AR756" s="15">
        <f t="shared" si="488"/>
        <v>1</v>
      </c>
      <c r="AS756" s="15">
        <f t="shared" si="489"/>
        <v>1</v>
      </c>
      <c r="AT756" s="15">
        <f t="shared" si="490"/>
        <v>1</v>
      </c>
      <c r="AU756" s="15">
        <f t="shared" si="491"/>
        <v>1</v>
      </c>
      <c r="AV756" s="15">
        <f t="shared" si="492"/>
        <v>1</v>
      </c>
      <c r="AW756" s="15">
        <f t="shared" si="493"/>
        <v>1</v>
      </c>
      <c r="AX756" s="15">
        <f t="shared" si="494"/>
        <v>1</v>
      </c>
      <c r="AY756" s="15">
        <f t="shared" si="495"/>
        <v>1</v>
      </c>
      <c r="AZ756" s="15">
        <f t="shared" si="496"/>
        <v>1</v>
      </c>
      <c r="BA756" s="15">
        <f t="shared" si="497"/>
        <v>1</v>
      </c>
      <c r="BB756" s="15">
        <f t="shared" si="465"/>
        <v>0</v>
      </c>
      <c r="BC756" s="15" t="str">
        <f t="shared" si="466"/>
        <v/>
      </c>
      <c r="BD756" s="15" t="str">
        <f t="shared" si="467"/>
        <v/>
      </c>
      <c r="BE756" s="11" t="e">
        <f t="shared" si="498"/>
        <v>#VALUE!</v>
      </c>
      <c r="BF756" s="11" t="e">
        <f t="shared" si="499"/>
        <v>#VALUE!</v>
      </c>
      <c r="BG756" s="11" t="e">
        <f t="shared" si="500"/>
        <v>#VALUE!</v>
      </c>
      <c r="BH756" t="str">
        <f t="shared" si="501"/>
        <v/>
      </c>
      <c r="BI756" t="str" cm="1">
        <f t="array" ref="BI756">_xlfn.IFS(
  L756&gt;0,"Critical Fail",
  M756&gt;0,"Important (Coaching)",
  TRUE,"Clean Pass"
)</f>
        <v>Clean Pass</v>
      </c>
      <c r="BJ756" t="str">
        <f t="shared" si="502"/>
        <v>NA</v>
      </c>
    </row>
    <row r="757" spans="1:62" x14ac:dyDescent="0.3">
      <c r="A757">
        <v>848655</v>
      </c>
      <c r="K757" t="str">
        <f t="shared" si="464"/>
        <v>Pass</v>
      </c>
      <c r="L757" s="15">
        <f t="shared" si="468"/>
        <v>0</v>
      </c>
      <c r="M757" s="15">
        <f t="shared" si="469"/>
        <v>0</v>
      </c>
      <c r="Z757" s="15">
        <f t="shared" si="470"/>
        <v>1</v>
      </c>
      <c r="AA757" s="15">
        <f t="shared" si="471"/>
        <v>1</v>
      </c>
      <c r="AB757" s="15">
        <f t="shared" si="472"/>
        <v>1</v>
      </c>
      <c r="AC757" s="15">
        <f t="shared" si="473"/>
        <v>1</v>
      </c>
      <c r="AD757" s="15">
        <f t="shared" si="474"/>
        <v>1</v>
      </c>
      <c r="AE757" s="15">
        <f t="shared" si="475"/>
        <v>1</v>
      </c>
      <c r="AF757" s="15">
        <f t="shared" si="476"/>
        <v>1</v>
      </c>
      <c r="AG757" s="15">
        <f t="shared" si="477"/>
        <v>1</v>
      </c>
      <c r="AH757" s="15">
        <f t="shared" si="478"/>
        <v>1</v>
      </c>
      <c r="AI757" s="15">
        <f t="shared" si="479"/>
        <v>1</v>
      </c>
      <c r="AJ757" s="15">
        <f t="shared" si="480"/>
        <v>1</v>
      </c>
      <c r="AK757" s="15">
        <f t="shared" si="481"/>
        <v>1</v>
      </c>
      <c r="AL757" s="15">
        <f t="shared" si="482"/>
        <v>1</v>
      </c>
      <c r="AM757" s="15">
        <f t="shared" si="483"/>
        <v>1</v>
      </c>
      <c r="AN757" s="15">
        <f t="shared" si="484"/>
        <v>1</v>
      </c>
      <c r="AO757" s="15">
        <f t="shared" si="485"/>
        <v>1</v>
      </c>
      <c r="AP757" s="15">
        <f t="shared" si="486"/>
        <v>1</v>
      </c>
      <c r="AQ757" s="15">
        <f t="shared" si="487"/>
        <v>1</v>
      </c>
      <c r="AR757" s="15">
        <f t="shared" si="488"/>
        <v>1</v>
      </c>
      <c r="AS757" s="15">
        <f t="shared" si="489"/>
        <v>1</v>
      </c>
      <c r="AT757" s="15">
        <f t="shared" si="490"/>
        <v>1</v>
      </c>
      <c r="AU757" s="15">
        <f t="shared" si="491"/>
        <v>1</v>
      </c>
      <c r="AV757" s="15">
        <f t="shared" si="492"/>
        <v>1</v>
      </c>
      <c r="AW757" s="15">
        <f t="shared" si="493"/>
        <v>1</v>
      </c>
      <c r="AX757" s="15">
        <f t="shared" si="494"/>
        <v>1</v>
      </c>
      <c r="AY757" s="15">
        <f t="shared" si="495"/>
        <v>1</v>
      </c>
      <c r="AZ757" s="15">
        <f t="shared" si="496"/>
        <v>1</v>
      </c>
      <c r="BA757" s="15">
        <f t="shared" si="497"/>
        <v>1</v>
      </c>
      <c r="BB757" s="15">
        <f t="shared" si="465"/>
        <v>0</v>
      </c>
      <c r="BC757" s="15" t="str">
        <f t="shared" si="466"/>
        <v/>
      </c>
      <c r="BD757" s="15" t="str">
        <f t="shared" si="467"/>
        <v/>
      </c>
      <c r="BE757" s="11" t="e">
        <f t="shared" si="498"/>
        <v>#VALUE!</v>
      </c>
      <c r="BF757" s="11" t="e">
        <f t="shared" si="499"/>
        <v>#VALUE!</v>
      </c>
      <c r="BG757" s="11" t="e">
        <f t="shared" si="500"/>
        <v>#VALUE!</v>
      </c>
      <c r="BH757" t="str">
        <f t="shared" si="501"/>
        <v/>
      </c>
      <c r="BI757" t="str" cm="1">
        <f t="array" ref="BI757">_xlfn.IFS(
  L757&gt;0,"Critical Fail",
  M757&gt;0,"Important (Coaching)",
  TRUE,"Clean Pass"
)</f>
        <v>Clean Pass</v>
      </c>
      <c r="BJ757" t="str">
        <f t="shared" si="502"/>
        <v>NA</v>
      </c>
    </row>
    <row r="758" spans="1:62" x14ac:dyDescent="0.3">
      <c r="A758">
        <v>647019</v>
      </c>
      <c r="K758" t="str">
        <f t="shared" si="464"/>
        <v>Pass</v>
      </c>
      <c r="L758" s="15">
        <f t="shared" si="468"/>
        <v>0</v>
      </c>
      <c r="M758" s="15">
        <f t="shared" si="469"/>
        <v>0</v>
      </c>
      <c r="Z758" s="15">
        <f t="shared" si="470"/>
        <v>1</v>
      </c>
      <c r="AA758" s="15">
        <f t="shared" si="471"/>
        <v>1</v>
      </c>
      <c r="AB758" s="15">
        <f t="shared" si="472"/>
        <v>1</v>
      </c>
      <c r="AC758" s="15">
        <f t="shared" si="473"/>
        <v>1</v>
      </c>
      <c r="AD758" s="15">
        <f t="shared" si="474"/>
        <v>1</v>
      </c>
      <c r="AE758" s="15">
        <f t="shared" si="475"/>
        <v>1</v>
      </c>
      <c r="AF758" s="15">
        <f t="shared" si="476"/>
        <v>1</v>
      </c>
      <c r="AG758" s="15">
        <f t="shared" si="477"/>
        <v>1</v>
      </c>
      <c r="AH758" s="15">
        <f t="shared" si="478"/>
        <v>1</v>
      </c>
      <c r="AI758" s="15">
        <f t="shared" si="479"/>
        <v>1</v>
      </c>
      <c r="AJ758" s="15">
        <f t="shared" si="480"/>
        <v>1</v>
      </c>
      <c r="AK758" s="15">
        <f t="shared" si="481"/>
        <v>1</v>
      </c>
      <c r="AL758" s="15">
        <f t="shared" si="482"/>
        <v>1</v>
      </c>
      <c r="AM758" s="15">
        <f t="shared" si="483"/>
        <v>1</v>
      </c>
      <c r="AN758" s="15">
        <f t="shared" si="484"/>
        <v>1</v>
      </c>
      <c r="AO758" s="15">
        <f t="shared" si="485"/>
        <v>1</v>
      </c>
      <c r="AP758" s="15">
        <f t="shared" si="486"/>
        <v>1</v>
      </c>
      <c r="AQ758" s="15">
        <f t="shared" si="487"/>
        <v>1</v>
      </c>
      <c r="AR758" s="15">
        <f t="shared" si="488"/>
        <v>1</v>
      </c>
      <c r="AS758" s="15">
        <f t="shared" si="489"/>
        <v>1</v>
      </c>
      <c r="AT758" s="15">
        <f t="shared" si="490"/>
        <v>1</v>
      </c>
      <c r="AU758" s="15">
        <f t="shared" si="491"/>
        <v>1</v>
      </c>
      <c r="AV758" s="15">
        <f t="shared" si="492"/>
        <v>1</v>
      </c>
      <c r="AW758" s="15">
        <f t="shared" si="493"/>
        <v>1</v>
      </c>
      <c r="AX758" s="15">
        <f t="shared" si="494"/>
        <v>1</v>
      </c>
      <c r="AY758" s="15">
        <f t="shared" si="495"/>
        <v>1</v>
      </c>
      <c r="AZ758" s="15">
        <f t="shared" si="496"/>
        <v>1</v>
      </c>
      <c r="BA758" s="15">
        <f t="shared" si="497"/>
        <v>1</v>
      </c>
      <c r="BB758" s="15">
        <f t="shared" si="465"/>
        <v>0</v>
      </c>
      <c r="BC758" s="15" t="str">
        <f t="shared" si="466"/>
        <v/>
      </c>
      <c r="BD758" s="15" t="str">
        <f t="shared" si="467"/>
        <v/>
      </c>
      <c r="BE758" s="11" t="e">
        <f t="shared" si="498"/>
        <v>#VALUE!</v>
      </c>
      <c r="BF758" s="11" t="e">
        <f t="shared" si="499"/>
        <v>#VALUE!</v>
      </c>
      <c r="BG758" s="11" t="e">
        <f t="shared" si="500"/>
        <v>#VALUE!</v>
      </c>
      <c r="BH758" t="str">
        <f t="shared" si="501"/>
        <v/>
      </c>
      <c r="BI758" t="str" cm="1">
        <f t="array" ref="BI758">_xlfn.IFS(
  L758&gt;0,"Critical Fail",
  M758&gt;0,"Important (Coaching)",
  TRUE,"Clean Pass"
)</f>
        <v>Clean Pass</v>
      </c>
      <c r="BJ758" t="str">
        <f t="shared" si="502"/>
        <v>NA</v>
      </c>
    </row>
    <row r="759" spans="1:62" x14ac:dyDescent="0.3">
      <c r="A759">
        <v>267840</v>
      </c>
      <c r="K759" t="str">
        <f t="shared" si="464"/>
        <v>Pass</v>
      </c>
      <c r="L759" s="15">
        <f t="shared" si="468"/>
        <v>0</v>
      </c>
      <c r="M759" s="15">
        <f t="shared" si="469"/>
        <v>0</v>
      </c>
      <c r="Z759" s="15">
        <f t="shared" si="470"/>
        <v>1</v>
      </c>
      <c r="AA759" s="15">
        <f t="shared" si="471"/>
        <v>1</v>
      </c>
      <c r="AB759" s="15">
        <f t="shared" si="472"/>
        <v>1</v>
      </c>
      <c r="AC759" s="15">
        <f t="shared" si="473"/>
        <v>1</v>
      </c>
      <c r="AD759" s="15">
        <f t="shared" si="474"/>
        <v>1</v>
      </c>
      <c r="AE759" s="15">
        <f t="shared" si="475"/>
        <v>1</v>
      </c>
      <c r="AF759" s="15">
        <f t="shared" si="476"/>
        <v>1</v>
      </c>
      <c r="AG759" s="15">
        <f t="shared" si="477"/>
        <v>1</v>
      </c>
      <c r="AH759" s="15">
        <f t="shared" si="478"/>
        <v>1</v>
      </c>
      <c r="AI759" s="15">
        <f t="shared" si="479"/>
        <v>1</v>
      </c>
      <c r="AJ759" s="15">
        <f t="shared" si="480"/>
        <v>1</v>
      </c>
      <c r="AK759" s="15">
        <f t="shared" si="481"/>
        <v>1</v>
      </c>
      <c r="AL759" s="15">
        <f t="shared" si="482"/>
        <v>1</v>
      </c>
      <c r="AM759" s="15">
        <f t="shared" si="483"/>
        <v>1</v>
      </c>
      <c r="AN759" s="15">
        <f t="shared" si="484"/>
        <v>1</v>
      </c>
      <c r="AO759" s="15">
        <f t="shared" si="485"/>
        <v>1</v>
      </c>
      <c r="AP759" s="15">
        <f t="shared" si="486"/>
        <v>1</v>
      </c>
      <c r="AQ759" s="15">
        <f t="shared" si="487"/>
        <v>1</v>
      </c>
      <c r="AR759" s="15">
        <f t="shared" si="488"/>
        <v>1</v>
      </c>
      <c r="AS759" s="15">
        <f t="shared" si="489"/>
        <v>1</v>
      </c>
      <c r="AT759" s="15">
        <f t="shared" si="490"/>
        <v>1</v>
      </c>
      <c r="AU759" s="15">
        <f t="shared" si="491"/>
        <v>1</v>
      </c>
      <c r="AV759" s="15">
        <f t="shared" si="492"/>
        <v>1</v>
      </c>
      <c r="AW759" s="15">
        <f t="shared" si="493"/>
        <v>1</v>
      </c>
      <c r="AX759" s="15">
        <f t="shared" si="494"/>
        <v>1</v>
      </c>
      <c r="AY759" s="15">
        <f t="shared" si="495"/>
        <v>1</v>
      </c>
      <c r="AZ759" s="15">
        <f t="shared" si="496"/>
        <v>1</v>
      </c>
      <c r="BA759" s="15">
        <f t="shared" si="497"/>
        <v>1</v>
      </c>
      <c r="BB759" s="15">
        <f t="shared" si="465"/>
        <v>0</v>
      </c>
      <c r="BC759" s="15" t="str">
        <f t="shared" si="466"/>
        <v/>
      </c>
      <c r="BD759" s="15" t="str">
        <f t="shared" si="467"/>
        <v/>
      </c>
      <c r="BE759" s="11" t="e">
        <f t="shared" si="498"/>
        <v>#VALUE!</v>
      </c>
      <c r="BF759" s="11" t="e">
        <f t="shared" si="499"/>
        <v>#VALUE!</v>
      </c>
      <c r="BG759" s="11" t="e">
        <f t="shared" si="500"/>
        <v>#VALUE!</v>
      </c>
      <c r="BH759" t="str">
        <f t="shared" si="501"/>
        <v/>
      </c>
      <c r="BI759" t="str" cm="1">
        <f t="array" ref="BI759">_xlfn.IFS(
  L759&gt;0,"Critical Fail",
  M759&gt;0,"Important (Coaching)",
  TRUE,"Clean Pass"
)</f>
        <v>Clean Pass</v>
      </c>
      <c r="BJ759" t="str">
        <f t="shared" si="502"/>
        <v>NA</v>
      </c>
    </row>
    <row r="760" spans="1:62" x14ac:dyDescent="0.3">
      <c r="A760">
        <v>117015</v>
      </c>
      <c r="K760" t="str">
        <f t="shared" si="464"/>
        <v>Pass</v>
      </c>
      <c r="L760" s="15">
        <f t="shared" si="468"/>
        <v>0</v>
      </c>
      <c r="M760" s="15">
        <f t="shared" si="469"/>
        <v>0</v>
      </c>
      <c r="Z760" s="15">
        <f t="shared" si="470"/>
        <v>1</v>
      </c>
      <c r="AA760" s="15">
        <f t="shared" si="471"/>
        <v>1</v>
      </c>
      <c r="AB760" s="15">
        <f t="shared" si="472"/>
        <v>1</v>
      </c>
      <c r="AC760" s="15">
        <f t="shared" si="473"/>
        <v>1</v>
      </c>
      <c r="AD760" s="15">
        <f t="shared" si="474"/>
        <v>1</v>
      </c>
      <c r="AE760" s="15">
        <f t="shared" si="475"/>
        <v>1</v>
      </c>
      <c r="AF760" s="15">
        <f t="shared" si="476"/>
        <v>1</v>
      </c>
      <c r="AG760" s="15">
        <f t="shared" si="477"/>
        <v>1</v>
      </c>
      <c r="AH760" s="15">
        <f t="shared" si="478"/>
        <v>1</v>
      </c>
      <c r="AI760" s="15">
        <f t="shared" si="479"/>
        <v>1</v>
      </c>
      <c r="AJ760" s="15">
        <f t="shared" si="480"/>
        <v>1</v>
      </c>
      <c r="AK760" s="15">
        <f t="shared" si="481"/>
        <v>1</v>
      </c>
      <c r="AL760" s="15">
        <f t="shared" si="482"/>
        <v>1</v>
      </c>
      <c r="AM760" s="15">
        <f t="shared" si="483"/>
        <v>1</v>
      </c>
      <c r="AN760" s="15">
        <f t="shared" si="484"/>
        <v>1</v>
      </c>
      <c r="AO760" s="15">
        <f t="shared" si="485"/>
        <v>1</v>
      </c>
      <c r="AP760" s="15">
        <f t="shared" si="486"/>
        <v>1</v>
      </c>
      <c r="AQ760" s="15">
        <f t="shared" si="487"/>
        <v>1</v>
      </c>
      <c r="AR760" s="15">
        <f t="shared" si="488"/>
        <v>1</v>
      </c>
      <c r="AS760" s="15">
        <f t="shared" si="489"/>
        <v>1</v>
      </c>
      <c r="AT760" s="15">
        <f t="shared" si="490"/>
        <v>1</v>
      </c>
      <c r="AU760" s="15">
        <f t="shared" si="491"/>
        <v>1</v>
      </c>
      <c r="AV760" s="15">
        <f t="shared" si="492"/>
        <v>1</v>
      </c>
      <c r="AW760" s="15">
        <f t="shared" si="493"/>
        <v>1</v>
      </c>
      <c r="AX760" s="15">
        <f t="shared" si="494"/>
        <v>1</v>
      </c>
      <c r="AY760" s="15">
        <f t="shared" si="495"/>
        <v>1</v>
      </c>
      <c r="AZ760" s="15">
        <f t="shared" si="496"/>
        <v>1</v>
      </c>
      <c r="BA760" s="15">
        <f t="shared" si="497"/>
        <v>1</v>
      </c>
      <c r="BB760" s="15">
        <f t="shared" si="465"/>
        <v>0</v>
      </c>
      <c r="BC760" s="15" t="str">
        <f t="shared" si="466"/>
        <v/>
      </c>
      <c r="BD760" s="15" t="str">
        <f t="shared" si="467"/>
        <v/>
      </c>
      <c r="BE760" s="11" t="e">
        <f t="shared" si="498"/>
        <v>#VALUE!</v>
      </c>
      <c r="BF760" s="11" t="e">
        <f t="shared" si="499"/>
        <v>#VALUE!</v>
      </c>
      <c r="BG760" s="11" t="e">
        <f t="shared" si="500"/>
        <v>#VALUE!</v>
      </c>
      <c r="BH760" t="str">
        <f t="shared" si="501"/>
        <v/>
      </c>
      <c r="BI760" t="str" cm="1">
        <f t="array" ref="BI760">_xlfn.IFS(
  L760&gt;0,"Critical Fail",
  M760&gt;0,"Important (Coaching)",
  TRUE,"Clean Pass"
)</f>
        <v>Clean Pass</v>
      </c>
      <c r="BJ760" t="str">
        <f t="shared" si="502"/>
        <v>NA</v>
      </c>
    </row>
    <row r="761" spans="1:62" x14ac:dyDescent="0.3">
      <c r="A761">
        <v>892199</v>
      </c>
      <c r="K761" t="str">
        <f t="shared" si="464"/>
        <v>Pass</v>
      </c>
      <c r="L761" s="15">
        <f t="shared" si="468"/>
        <v>0</v>
      </c>
      <c r="M761" s="15">
        <f t="shared" si="469"/>
        <v>0</v>
      </c>
      <c r="Z761" s="15">
        <f t="shared" si="470"/>
        <v>1</v>
      </c>
      <c r="AA761" s="15">
        <f t="shared" si="471"/>
        <v>1</v>
      </c>
      <c r="AB761" s="15">
        <f t="shared" si="472"/>
        <v>1</v>
      </c>
      <c r="AC761" s="15">
        <f t="shared" si="473"/>
        <v>1</v>
      </c>
      <c r="AD761" s="15">
        <f t="shared" si="474"/>
        <v>1</v>
      </c>
      <c r="AE761" s="15">
        <f t="shared" si="475"/>
        <v>1</v>
      </c>
      <c r="AF761" s="15">
        <f t="shared" si="476"/>
        <v>1</v>
      </c>
      <c r="AG761" s="15">
        <f t="shared" si="477"/>
        <v>1</v>
      </c>
      <c r="AH761" s="15">
        <f t="shared" si="478"/>
        <v>1</v>
      </c>
      <c r="AI761" s="15">
        <f t="shared" si="479"/>
        <v>1</v>
      </c>
      <c r="AJ761" s="15">
        <f t="shared" si="480"/>
        <v>1</v>
      </c>
      <c r="AK761" s="15">
        <f t="shared" si="481"/>
        <v>1</v>
      </c>
      <c r="AL761" s="15">
        <f t="shared" si="482"/>
        <v>1</v>
      </c>
      <c r="AM761" s="15">
        <f t="shared" si="483"/>
        <v>1</v>
      </c>
      <c r="AN761" s="15">
        <f t="shared" si="484"/>
        <v>1</v>
      </c>
      <c r="AO761" s="15">
        <f t="shared" si="485"/>
        <v>1</v>
      </c>
      <c r="AP761" s="15">
        <f t="shared" si="486"/>
        <v>1</v>
      </c>
      <c r="AQ761" s="15">
        <f t="shared" si="487"/>
        <v>1</v>
      </c>
      <c r="AR761" s="15">
        <f t="shared" si="488"/>
        <v>1</v>
      </c>
      <c r="AS761" s="15">
        <f t="shared" si="489"/>
        <v>1</v>
      </c>
      <c r="AT761" s="15">
        <f t="shared" si="490"/>
        <v>1</v>
      </c>
      <c r="AU761" s="15">
        <f t="shared" si="491"/>
        <v>1</v>
      </c>
      <c r="AV761" s="15">
        <f t="shared" si="492"/>
        <v>1</v>
      </c>
      <c r="AW761" s="15">
        <f t="shared" si="493"/>
        <v>1</v>
      </c>
      <c r="AX761" s="15">
        <f t="shared" si="494"/>
        <v>1</v>
      </c>
      <c r="AY761" s="15">
        <f t="shared" si="495"/>
        <v>1</v>
      </c>
      <c r="AZ761" s="15">
        <f t="shared" si="496"/>
        <v>1</v>
      </c>
      <c r="BA761" s="15">
        <f t="shared" si="497"/>
        <v>1</v>
      </c>
      <c r="BB761" s="15">
        <f t="shared" si="465"/>
        <v>0</v>
      </c>
      <c r="BC761" s="15" t="str">
        <f t="shared" si="466"/>
        <v/>
      </c>
      <c r="BD761" s="15" t="str">
        <f t="shared" si="467"/>
        <v/>
      </c>
      <c r="BE761" s="11" t="e">
        <f t="shared" si="498"/>
        <v>#VALUE!</v>
      </c>
      <c r="BF761" s="11" t="e">
        <f t="shared" si="499"/>
        <v>#VALUE!</v>
      </c>
      <c r="BG761" s="11" t="e">
        <f t="shared" si="500"/>
        <v>#VALUE!</v>
      </c>
      <c r="BH761" t="str">
        <f t="shared" si="501"/>
        <v/>
      </c>
      <c r="BI761" t="str" cm="1">
        <f t="array" ref="BI761">_xlfn.IFS(
  L761&gt;0,"Critical Fail",
  M761&gt;0,"Important (Coaching)",
  TRUE,"Clean Pass"
)</f>
        <v>Clean Pass</v>
      </c>
      <c r="BJ761" t="str">
        <f t="shared" si="502"/>
        <v>NA</v>
      </c>
    </row>
    <row r="762" spans="1:62" x14ac:dyDescent="0.3">
      <c r="A762">
        <v>129116</v>
      </c>
      <c r="K762" t="str">
        <f t="shared" si="464"/>
        <v>Pass</v>
      </c>
      <c r="L762" s="15">
        <f t="shared" si="468"/>
        <v>0</v>
      </c>
      <c r="M762" s="15">
        <f t="shared" si="469"/>
        <v>0</v>
      </c>
      <c r="Z762" s="15">
        <f t="shared" si="470"/>
        <v>1</v>
      </c>
      <c r="AA762" s="15">
        <f t="shared" si="471"/>
        <v>1</v>
      </c>
      <c r="AB762" s="15">
        <f t="shared" si="472"/>
        <v>1</v>
      </c>
      <c r="AC762" s="15">
        <f t="shared" si="473"/>
        <v>1</v>
      </c>
      <c r="AD762" s="15">
        <f t="shared" si="474"/>
        <v>1</v>
      </c>
      <c r="AE762" s="15">
        <f t="shared" si="475"/>
        <v>1</v>
      </c>
      <c r="AF762" s="15">
        <f t="shared" si="476"/>
        <v>1</v>
      </c>
      <c r="AG762" s="15">
        <f t="shared" si="477"/>
        <v>1</v>
      </c>
      <c r="AH762" s="15">
        <f t="shared" si="478"/>
        <v>1</v>
      </c>
      <c r="AI762" s="15">
        <f t="shared" si="479"/>
        <v>1</v>
      </c>
      <c r="AJ762" s="15">
        <f t="shared" si="480"/>
        <v>1</v>
      </c>
      <c r="AK762" s="15">
        <f t="shared" si="481"/>
        <v>1</v>
      </c>
      <c r="AL762" s="15">
        <f t="shared" si="482"/>
        <v>1</v>
      </c>
      <c r="AM762" s="15">
        <f t="shared" si="483"/>
        <v>1</v>
      </c>
      <c r="AN762" s="15">
        <f t="shared" si="484"/>
        <v>1</v>
      </c>
      <c r="AO762" s="15">
        <f t="shared" si="485"/>
        <v>1</v>
      </c>
      <c r="AP762" s="15">
        <f t="shared" si="486"/>
        <v>1</v>
      </c>
      <c r="AQ762" s="15">
        <f t="shared" si="487"/>
        <v>1</v>
      </c>
      <c r="AR762" s="15">
        <f t="shared" si="488"/>
        <v>1</v>
      </c>
      <c r="AS762" s="15">
        <f t="shared" si="489"/>
        <v>1</v>
      </c>
      <c r="AT762" s="15">
        <f t="shared" si="490"/>
        <v>1</v>
      </c>
      <c r="AU762" s="15">
        <f t="shared" si="491"/>
        <v>1</v>
      </c>
      <c r="AV762" s="15">
        <f t="shared" si="492"/>
        <v>1</v>
      </c>
      <c r="AW762" s="15">
        <f t="shared" si="493"/>
        <v>1</v>
      </c>
      <c r="AX762" s="15">
        <f t="shared" si="494"/>
        <v>1</v>
      </c>
      <c r="AY762" s="15">
        <f t="shared" si="495"/>
        <v>1</v>
      </c>
      <c r="AZ762" s="15">
        <f t="shared" si="496"/>
        <v>1</v>
      </c>
      <c r="BA762" s="15">
        <f t="shared" si="497"/>
        <v>1</v>
      </c>
      <c r="BB762" s="15">
        <f t="shared" si="465"/>
        <v>0</v>
      </c>
      <c r="BC762" s="15" t="str">
        <f t="shared" si="466"/>
        <v/>
      </c>
      <c r="BD762" s="15" t="str">
        <f t="shared" si="467"/>
        <v/>
      </c>
      <c r="BE762" s="11" t="e">
        <f t="shared" si="498"/>
        <v>#VALUE!</v>
      </c>
      <c r="BF762" s="11" t="e">
        <f t="shared" si="499"/>
        <v>#VALUE!</v>
      </c>
      <c r="BG762" s="11" t="e">
        <f t="shared" si="500"/>
        <v>#VALUE!</v>
      </c>
      <c r="BH762" t="str">
        <f t="shared" si="501"/>
        <v/>
      </c>
      <c r="BI762" t="str" cm="1">
        <f t="array" ref="BI762">_xlfn.IFS(
  L762&gt;0,"Critical Fail",
  M762&gt;0,"Important (Coaching)",
  TRUE,"Clean Pass"
)</f>
        <v>Clean Pass</v>
      </c>
      <c r="BJ762" t="str">
        <f t="shared" si="502"/>
        <v>NA</v>
      </c>
    </row>
    <row r="763" spans="1:62" x14ac:dyDescent="0.3">
      <c r="A763">
        <v>578964</v>
      </c>
      <c r="K763" t="str">
        <f t="shared" si="464"/>
        <v>Pass</v>
      </c>
      <c r="L763" s="15">
        <f t="shared" si="468"/>
        <v>0</v>
      </c>
      <c r="M763" s="15">
        <f t="shared" si="469"/>
        <v>0</v>
      </c>
      <c r="Z763" s="15">
        <f t="shared" si="470"/>
        <v>1</v>
      </c>
      <c r="AA763" s="15">
        <f t="shared" si="471"/>
        <v>1</v>
      </c>
      <c r="AB763" s="15">
        <f t="shared" si="472"/>
        <v>1</v>
      </c>
      <c r="AC763" s="15">
        <f t="shared" si="473"/>
        <v>1</v>
      </c>
      <c r="AD763" s="15">
        <f t="shared" si="474"/>
        <v>1</v>
      </c>
      <c r="AE763" s="15">
        <f t="shared" si="475"/>
        <v>1</v>
      </c>
      <c r="AF763" s="15">
        <f t="shared" si="476"/>
        <v>1</v>
      </c>
      <c r="AG763" s="15">
        <f t="shared" si="477"/>
        <v>1</v>
      </c>
      <c r="AH763" s="15">
        <f t="shared" si="478"/>
        <v>1</v>
      </c>
      <c r="AI763" s="15">
        <f t="shared" si="479"/>
        <v>1</v>
      </c>
      <c r="AJ763" s="15">
        <f t="shared" si="480"/>
        <v>1</v>
      </c>
      <c r="AK763" s="15">
        <f t="shared" si="481"/>
        <v>1</v>
      </c>
      <c r="AL763" s="15">
        <f t="shared" si="482"/>
        <v>1</v>
      </c>
      <c r="AM763" s="15">
        <f t="shared" si="483"/>
        <v>1</v>
      </c>
      <c r="AN763" s="15">
        <f t="shared" si="484"/>
        <v>1</v>
      </c>
      <c r="AO763" s="15">
        <f t="shared" si="485"/>
        <v>1</v>
      </c>
      <c r="AP763" s="15">
        <f t="shared" si="486"/>
        <v>1</v>
      </c>
      <c r="AQ763" s="15">
        <f t="shared" si="487"/>
        <v>1</v>
      </c>
      <c r="AR763" s="15">
        <f t="shared" si="488"/>
        <v>1</v>
      </c>
      <c r="AS763" s="15">
        <f t="shared" si="489"/>
        <v>1</v>
      </c>
      <c r="AT763" s="15">
        <f t="shared" si="490"/>
        <v>1</v>
      </c>
      <c r="AU763" s="15">
        <f t="shared" si="491"/>
        <v>1</v>
      </c>
      <c r="AV763" s="15">
        <f t="shared" si="492"/>
        <v>1</v>
      </c>
      <c r="AW763" s="15">
        <f t="shared" si="493"/>
        <v>1</v>
      </c>
      <c r="AX763" s="15">
        <f t="shared" si="494"/>
        <v>1</v>
      </c>
      <c r="AY763" s="15">
        <f t="shared" si="495"/>
        <v>1</v>
      </c>
      <c r="AZ763" s="15">
        <f t="shared" si="496"/>
        <v>1</v>
      </c>
      <c r="BA763" s="15">
        <f t="shared" si="497"/>
        <v>1</v>
      </c>
      <c r="BB763" s="15">
        <f t="shared" si="465"/>
        <v>0</v>
      </c>
      <c r="BC763" s="15" t="str">
        <f t="shared" si="466"/>
        <v/>
      </c>
      <c r="BD763" s="15" t="str">
        <f t="shared" si="467"/>
        <v/>
      </c>
      <c r="BE763" s="11" t="e">
        <f t="shared" si="498"/>
        <v>#VALUE!</v>
      </c>
      <c r="BF763" s="11" t="e">
        <f t="shared" si="499"/>
        <v>#VALUE!</v>
      </c>
      <c r="BG763" s="11" t="e">
        <f t="shared" si="500"/>
        <v>#VALUE!</v>
      </c>
      <c r="BH763" t="str">
        <f t="shared" si="501"/>
        <v/>
      </c>
      <c r="BI763" t="str" cm="1">
        <f t="array" ref="BI763">_xlfn.IFS(
  L763&gt;0,"Critical Fail",
  M763&gt;0,"Important (Coaching)",
  TRUE,"Clean Pass"
)</f>
        <v>Clean Pass</v>
      </c>
      <c r="BJ763" t="str">
        <f t="shared" si="502"/>
        <v>NA</v>
      </c>
    </row>
    <row r="764" spans="1:62" x14ac:dyDescent="0.3">
      <c r="A764">
        <v>844777</v>
      </c>
      <c r="K764" t="str">
        <f t="shared" si="464"/>
        <v>Pass</v>
      </c>
      <c r="L764" s="15">
        <f t="shared" si="468"/>
        <v>0</v>
      </c>
      <c r="M764" s="15">
        <f t="shared" si="469"/>
        <v>0</v>
      </c>
      <c r="Z764" s="15">
        <f t="shared" si="470"/>
        <v>1</v>
      </c>
      <c r="AA764" s="15">
        <f t="shared" si="471"/>
        <v>1</v>
      </c>
      <c r="AB764" s="15">
        <f t="shared" si="472"/>
        <v>1</v>
      </c>
      <c r="AC764" s="15">
        <f t="shared" si="473"/>
        <v>1</v>
      </c>
      <c r="AD764" s="15">
        <f t="shared" si="474"/>
        <v>1</v>
      </c>
      <c r="AE764" s="15">
        <f t="shared" si="475"/>
        <v>1</v>
      </c>
      <c r="AF764" s="15">
        <f t="shared" si="476"/>
        <v>1</v>
      </c>
      <c r="AG764" s="15">
        <f t="shared" si="477"/>
        <v>1</v>
      </c>
      <c r="AH764" s="15">
        <f t="shared" si="478"/>
        <v>1</v>
      </c>
      <c r="AI764" s="15">
        <f t="shared" si="479"/>
        <v>1</v>
      </c>
      <c r="AJ764" s="15">
        <f t="shared" si="480"/>
        <v>1</v>
      </c>
      <c r="AK764" s="15">
        <f t="shared" si="481"/>
        <v>1</v>
      </c>
      <c r="AL764" s="15">
        <f t="shared" si="482"/>
        <v>1</v>
      </c>
      <c r="AM764" s="15">
        <f t="shared" si="483"/>
        <v>1</v>
      </c>
      <c r="AN764" s="15">
        <f t="shared" si="484"/>
        <v>1</v>
      </c>
      <c r="AO764" s="15">
        <f t="shared" si="485"/>
        <v>1</v>
      </c>
      <c r="AP764" s="15">
        <f t="shared" si="486"/>
        <v>1</v>
      </c>
      <c r="AQ764" s="15">
        <f t="shared" si="487"/>
        <v>1</v>
      </c>
      <c r="AR764" s="15">
        <f t="shared" si="488"/>
        <v>1</v>
      </c>
      <c r="AS764" s="15">
        <f t="shared" si="489"/>
        <v>1</v>
      </c>
      <c r="AT764" s="15">
        <f t="shared" si="490"/>
        <v>1</v>
      </c>
      <c r="AU764" s="15">
        <f t="shared" si="491"/>
        <v>1</v>
      </c>
      <c r="AV764" s="15">
        <f t="shared" si="492"/>
        <v>1</v>
      </c>
      <c r="AW764" s="15">
        <f t="shared" si="493"/>
        <v>1</v>
      </c>
      <c r="AX764" s="15">
        <f t="shared" si="494"/>
        <v>1</v>
      </c>
      <c r="AY764" s="15">
        <f t="shared" si="495"/>
        <v>1</v>
      </c>
      <c r="AZ764" s="15">
        <f t="shared" si="496"/>
        <v>1</v>
      </c>
      <c r="BA764" s="15">
        <f t="shared" si="497"/>
        <v>1</v>
      </c>
      <c r="BB764" s="15">
        <f t="shared" si="465"/>
        <v>0</v>
      </c>
      <c r="BC764" s="15" t="str">
        <f t="shared" si="466"/>
        <v/>
      </c>
      <c r="BD764" s="15" t="str">
        <f t="shared" si="467"/>
        <v/>
      </c>
      <c r="BE764" s="11" t="e">
        <f t="shared" si="498"/>
        <v>#VALUE!</v>
      </c>
      <c r="BF764" s="11" t="e">
        <f t="shared" si="499"/>
        <v>#VALUE!</v>
      </c>
      <c r="BG764" s="11" t="e">
        <f t="shared" si="500"/>
        <v>#VALUE!</v>
      </c>
      <c r="BH764" t="str">
        <f t="shared" si="501"/>
        <v/>
      </c>
      <c r="BI764" t="str" cm="1">
        <f t="array" ref="BI764">_xlfn.IFS(
  L764&gt;0,"Critical Fail",
  M764&gt;0,"Important (Coaching)",
  TRUE,"Clean Pass"
)</f>
        <v>Clean Pass</v>
      </c>
      <c r="BJ764" t="str">
        <f t="shared" si="502"/>
        <v>NA</v>
      </c>
    </row>
    <row r="765" spans="1:62" x14ac:dyDescent="0.3">
      <c r="A765">
        <v>612501</v>
      </c>
      <c r="K765" t="str">
        <f t="shared" si="464"/>
        <v>Pass</v>
      </c>
      <c r="L765" s="15">
        <f t="shared" si="468"/>
        <v>0</v>
      </c>
      <c r="M765" s="15">
        <f t="shared" si="469"/>
        <v>0</v>
      </c>
      <c r="Z765" s="15">
        <f t="shared" si="470"/>
        <v>1</v>
      </c>
      <c r="AA765" s="15">
        <f t="shared" si="471"/>
        <v>1</v>
      </c>
      <c r="AB765" s="15">
        <f t="shared" si="472"/>
        <v>1</v>
      </c>
      <c r="AC765" s="15">
        <f t="shared" si="473"/>
        <v>1</v>
      </c>
      <c r="AD765" s="15">
        <f t="shared" si="474"/>
        <v>1</v>
      </c>
      <c r="AE765" s="15">
        <f t="shared" si="475"/>
        <v>1</v>
      </c>
      <c r="AF765" s="15">
        <f t="shared" si="476"/>
        <v>1</v>
      </c>
      <c r="AG765" s="15">
        <f t="shared" si="477"/>
        <v>1</v>
      </c>
      <c r="AH765" s="15">
        <f t="shared" si="478"/>
        <v>1</v>
      </c>
      <c r="AI765" s="15">
        <f t="shared" si="479"/>
        <v>1</v>
      </c>
      <c r="AJ765" s="15">
        <f t="shared" si="480"/>
        <v>1</v>
      </c>
      <c r="AK765" s="15">
        <f t="shared" si="481"/>
        <v>1</v>
      </c>
      <c r="AL765" s="15">
        <f t="shared" si="482"/>
        <v>1</v>
      </c>
      <c r="AM765" s="15">
        <f t="shared" si="483"/>
        <v>1</v>
      </c>
      <c r="AN765" s="15">
        <f t="shared" si="484"/>
        <v>1</v>
      </c>
      <c r="AO765" s="15">
        <f t="shared" si="485"/>
        <v>1</v>
      </c>
      <c r="AP765" s="15">
        <f t="shared" si="486"/>
        <v>1</v>
      </c>
      <c r="AQ765" s="15">
        <f t="shared" si="487"/>
        <v>1</v>
      </c>
      <c r="AR765" s="15">
        <f t="shared" si="488"/>
        <v>1</v>
      </c>
      <c r="AS765" s="15">
        <f t="shared" si="489"/>
        <v>1</v>
      </c>
      <c r="AT765" s="15">
        <f t="shared" si="490"/>
        <v>1</v>
      </c>
      <c r="AU765" s="15">
        <f t="shared" si="491"/>
        <v>1</v>
      </c>
      <c r="AV765" s="15">
        <f t="shared" si="492"/>
        <v>1</v>
      </c>
      <c r="AW765" s="15">
        <f t="shared" si="493"/>
        <v>1</v>
      </c>
      <c r="AX765" s="15">
        <f t="shared" si="494"/>
        <v>1</v>
      </c>
      <c r="AY765" s="15">
        <f t="shared" si="495"/>
        <v>1</v>
      </c>
      <c r="AZ765" s="15">
        <f t="shared" si="496"/>
        <v>1</v>
      </c>
      <c r="BA765" s="15">
        <f t="shared" si="497"/>
        <v>1</v>
      </c>
      <c r="BB765" s="15">
        <f t="shared" si="465"/>
        <v>0</v>
      </c>
      <c r="BC765" s="15" t="str">
        <f t="shared" si="466"/>
        <v/>
      </c>
      <c r="BD765" s="15" t="str">
        <f t="shared" si="467"/>
        <v/>
      </c>
      <c r="BE765" s="11" t="e">
        <f t="shared" si="498"/>
        <v>#VALUE!</v>
      </c>
      <c r="BF765" s="11" t="e">
        <f t="shared" si="499"/>
        <v>#VALUE!</v>
      </c>
      <c r="BG765" s="11" t="e">
        <f t="shared" si="500"/>
        <v>#VALUE!</v>
      </c>
      <c r="BH765" t="str">
        <f t="shared" si="501"/>
        <v/>
      </c>
      <c r="BI765" t="str" cm="1">
        <f t="array" ref="BI765">_xlfn.IFS(
  L765&gt;0,"Critical Fail",
  M765&gt;0,"Important (Coaching)",
  TRUE,"Clean Pass"
)</f>
        <v>Clean Pass</v>
      </c>
      <c r="BJ765" t="str">
        <f t="shared" si="502"/>
        <v>NA</v>
      </c>
    </row>
    <row r="766" spans="1:62" x14ac:dyDescent="0.3">
      <c r="A766">
        <v>839718</v>
      </c>
      <c r="K766" t="str">
        <f t="shared" si="464"/>
        <v>Pass</v>
      </c>
      <c r="L766" s="15">
        <f t="shared" si="468"/>
        <v>0</v>
      </c>
      <c r="M766" s="15">
        <f t="shared" si="469"/>
        <v>0</v>
      </c>
      <c r="Z766" s="15">
        <f t="shared" si="470"/>
        <v>1</v>
      </c>
      <c r="AA766" s="15">
        <f t="shared" si="471"/>
        <v>1</v>
      </c>
      <c r="AB766" s="15">
        <f t="shared" si="472"/>
        <v>1</v>
      </c>
      <c r="AC766" s="15">
        <f t="shared" si="473"/>
        <v>1</v>
      </c>
      <c r="AD766" s="15">
        <f t="shared" si="474"/>
        <v>1</v>
      </c>
      <c r="AE766" s="15">
        <f t="shared" si="475"/>
        <v>1</v>
      </c>
      <c r="AF766" s="15">
        <f t="shared" si="476"/>
        <v>1</v>
      </c>
      <c r="AG766" s="15">
        <f t="shared" si="477"/>
        <v>1</v>
      </c>
      <c r="AH766" s="15">
        <f t="shared" si="478"/>
        <v>1</v>
      </c>
      <c r="AI766" s="15">
        <f t="shared" si="479"/>
        <v>1</v>
      </c>
      <c r="AJ766" s="15">
        <f t="shared" si="480"/>
        <v>1</v>
      </c>
      <c r="AK766" s="15">
        <f t="shared" si="481"/>
        <v>1</v>
      </c>
      <c r="AL766" s="15">
        <f t="shared" si="482"/>
        <v>1</v>
      </c>
      <c r="AM766" s="15">
        <f t="shared" si="483"/>
        <v>1</v>
      </c>
      <c r="AN766" s="15">
        <f t="shared" si="484"/>
        <v>1</v>
      </c>
      <c r="AO766" s="15">
        <f t="shared" si="485"/>
        <v>1</v>
      </c>
      <c r="AP766" s="15">
        <f t="shared" si="486"/>
        <v>1</v>
      </c>
      <c r="AQ766" s="15">
        <f t="shared" si="487"/>
        <v>1</v>
      </c>
      <c r="AR766" s="15">
        <f t="shared" si="488"/>
        <v>1</v>
      </c>
      <c r="AS766" s="15">
        <f t="shared" si="489"/>
        <v>1</v>
      </c>
      <c r="AT766" s="15">
        <f t="shared" si="490"/>
        <v>1</v>
      </c>
      <c r="AU766" s="15">
        <f t="shared" si="491"/>
        <v>1</v>
      </c>
      <c r="AV766" s="15">
        <f t="shared" si="492"/>
        <v>1</v>
      </c>
      <c r="AW766" s="15">
        <f t="shared" si="493"/>
        <v>1</v>
      </c>
      <c r="AX766" s="15">
        <f t="shared" si="494"/>
        <v>1</v>
      </c>
      <c r="AY766" s="15">
        <f t="shared" si="495"/>
        <v>1</v>
      </c>
      <c r="AZ766" s="15">
        <f t="shared" si="496"/>
        <v>1</v>
      </c>
      <c r="BA766" s="15">
        <f t="shared" si="497"/>
        <v>1</v>
      </c>
      <c r="BB766" s="15">
        <f t="shared" si="465"/>
        <v>0</v>
      </c>
      <c r="BC766" s="15" t="str">
        <f t="shared" si="466"/>
        <v/>
      </c>
      <c r="BD766" s="15" t="str">
        <f t="shared" si="467"/>
        <v/>
      </c>
      <c r="BE766" s="11" t="e">
        <f t="shared" si="498"/>
        <v>#VALUE!</v>
      </c>
      <c r="BF766" s="11" t="e">
        <f t="shared" si="499"/>
        <v>#VALUE!</v>
      </c>
      <c r="BG766" s="11" t="e">
        <f t="shared" si="500"/>
        <v>#VALUE!</v>
      </c>
      <c r="BH766" t="str">
        <f t="shared" si="501"/>
        <v/>
      </c>
      <c r="BI766" t="str" cm="1">
        <f t="array" ref="BI766">_xlfn.IFS(
  L766&gt;0,"Critical Fail",
  M766&gt;0,"Important (Coaching)",
  TRUE,"Clean Pass"
)</f>
        <v>Clean Pass</v>
      </c>
      <c r="BJ766" t="str">
        <f t="shared" si="502"/>
        <v>NA</v>
      </c>
    </row>
    <row r="767" spans="1:62" x14ac:dyDescent="0.3">
      <c r="A767">
        <v>939190</v>
      </c>
      <c r="K767" t="str">
        <f t="shared" si="464"/>
        <v>Pass</v>
      </c>
      <c r="L767" s="15">
        <f t="shared" si="468"/>
        <v>0</v>
      </c>
      <c r="M767" s="15">
        <f t="shared" si="469"/>
        <v>0</v>
      </c>
      <c r="Z767" s="15">
        <f t="shared" si="470"/>
        <v>1</v>
      </c>
      <c r="AA767" s="15">
        <f t="shared" si="471"/>
        <v>1</v>
      </c>
      <c r="AB767" s="15">
        <f t="shared" si="472"/>
        <v>1</v>
      </c>
      <c r="AC767" s="15">
        <f t="shared" si="473"/>
        <v>1</v>
      </c>
      <c r="AD767" s="15">
        <f t="shared" si="474"/>
        <v>1</v>
      </c>
      <c r="AE767" s="15">
        <f t="shared" si="475"/>
        <v>1</v>
      </c>
      <c r="AF767" s="15">
        <f t="shared" si="476"/>
        <v>1</v>
      </c>
      <c r="AG767" s="15">
        <f t="shared" si="477"/>
        <v>1</v>
      </c>
      <c r="AH767" s="15">
        <f t="shared" si="478"/>
        <v>1</v>
      </c>
      <c r="AI767" s="15">
        <f t="shared" si="479"/>
        <v>1</v>
      </c>
      <c r="AJ767" s="15">
        <f t="shared" si="480"/>
        <v>1</v>
      </c>
      <c r="AK767" s="15">
        <f t="shared" si="481"/>
        <v>1</v>
      </c>
      <c r="AL767" s="15">
        <f t="shared" si="482"/>
        <v>1</v>
      </c>
      <c r="AM767" s="15">
        <f t="shared" si="483"/>
        <v>1</v>
      </c>
      <c r="AN767" s="15">
        <f t="shared" si="484"/>
        <v>1</v>
      </c>
      <c r="AO767" s="15">
        <f t="shared" si="485"/>
        <v>1</v>
      </c>
      <c r="AP767" s="15">
        <f t="shared" si="486"/>
        <v>1</v>
      </c>
      <c r="AQ767" s="15">
        <f t="shared" si="487"/>
        <v>1</v>
      </c>
      <c r="AR767" s="15">
        <f t="shared" si="488"/>
        <v>1</v>
      </c>
      <c r="AS767" s="15">
        <f t="shared" si="489"/>
        <v>1</v>
      </c>
      <c r="AT767" s="15">
        <f t="shared" si="490"/>
        <v>1</v>
      </c>
      <c r="AU767" s="15">
        <f t="shared" si="491"/>
        <v>1</v>
      </c>
      <c r="AV767" s="15">
        <f t="shared" si="492"/>
        <v>1</v>
      </c>
      <c r="AW767" s="15">
        <f t="shared" si="493"/>
        <v>1</v>
      </c>
      <c r="AX767" s="15">
        <f t="shared" si="494"/>
        <v>1</v>
      </c>
      <c r="AY767" s="15">
        <f t="shared" si="495"/>
        <v>1</v>
      </c>
      <c r="AZ767" s="15">
        <f t="shared" si="496"/>
        <v>1</v>
      </c>
      <c r="BA767" s="15">
        <f t="shared" si="497"/>
        <v>1</v>
      </c>
      <c r="BB767" s="15">
        <f t="shared" si="465"/>
        <v>0</v>
      </c>
      <c r="BC767" s="15" t="str">
        <f t="shared" si="466"/>
        <v/>
      </c>
      <c r="BD767" s="15" t="str">
        <f t="shared" si="467"/>
        <v/>
      </c>
      <c r="BE767" s="11" t="e">
        <f t="shared" si="498"/>
        <v>#VALUE!</v>
      </c>
      <c r="BF767" s="11" t="e">
        <f t="shared" si="499"/>
        <v>#VALUE!</v>
      </c>
      <c r="BG767" s="11" t="e">
        <f t="shared" si="500"/>
        <v>#VALUE!</v>
      </c>
      <c r="BH767" t="str">
        <f t="shared" si="501"/>
        <v/>
      </c>
      <c r="BI767" t="str" cm="1">
        <f t="array" ref="BI767">_xlfn.IFS(
  L767&gt;0,"Critical Fail",
  M767&gt;0,"Important (Coaching)",
  TRUE,"Clean Pass"
)</f>
        <v>Clean Pass</v>
      </c>
      <c r="BJ767" t="str">
        <f t="shared" si="502"/>
        <v>NA</v>
      </c>
    </row>
    <row r="768" spans="1:62" x14ac:dyDescent="0.3">
      <c r="A768">
        <v>178863</v>
      </c>
      <c r="K768" t="str">
        <f t="shared" si="464"/>
        <v>Pass</v>
      </c>
      <c r="L768" s="15">
        <f t="shared" si="468"/>
        <v>0</v>
      </c>
      <c r="M768" s="15">
        <f t="shared" si="469"/>
        <v>0</v>
      </c>
      <c r="Z768" s="15">
        <f t="shared" si="470"/>
        <v>1</v>
      </c>
      <c r="AA768" s="15">
        <f t="shared" si="471"/>
        <v>1</v>
      </c>
      <c r="AB768" s="15">
        <f t="shared" si="472"/>
        <v>1</v>
      </c>
      <c r="AC768" s="15">
        <f t="shared" si="473"/>
        <v>1</v>
      </c>
      <c r="AD768" s="15">
        <f t="shared" si="474"/>
        <v>1</v>
      </c>
      <c r="AE768" s="15">
        <f t="shared" si="475"/>
        <v>1</v>
      </c>
      <c r="AF768" s="15">
        <f t="shared" si="476"/>
        <v>1</v>
      </c>
      <c r="AG768" s="15">
        <f t="shared" si="477"/>
        <v>1</v>
      </c>
      <c r="AH768" s="15">
        <f t="shared" si="478"/>
        <v>1</v>
      </c>
      <c r="AI768" s="15">
        <f t="shared" si="479"/>
        <v>1</v>
      </c>
      <c r="AJ768" s="15">
        <f t="shared" si="480"/>
        <v>1</v>
      </c>
      <c r="AK768" s="15">
        <f t="shared" si="481"/>
        <v>1</v>
      </c>
      <c r="AL768" s="15">
        <f t="shared" si="482"/>
        <v>1</v>
      </c>
      <c r="AM768" s="15">
        <f t="shared" si="483"/>
        <v>1</v>
      </c>
      <c r="AN768" s="15">
        <f t="shared" si="484"/>
        <v>1</v>
      </c>
      <c r="AO768" s="15">
        <f t="shared" si="485"/>
        <v>1</v>
      </c>
      <c r="AP768" s="15">
        <f t="shared" si="486"/>
        <v>1</v>
      </c>
      <c r="AQ768" s="15">
        <f t="shared" si="487"/>
        <v>1</v>
      </c>
      <c r="AR768" s="15">
        <f t="shared" si="488"/>
        <v>1</v>
      </c>
      <c r="AS768" s="15">
        <f t="shared" si="489"/>
        <v>1</v>
      </c>
      <c r="AT768" s="15">
        <f t="shared" si="490"/>
        <v>1</v>
      </c>
      <c r="AU768" s="15">
        <f t="shared" si="491"/>
        <v>1</v>
      </c>
      <c r="AV768" s="15">
        <f t="shared" si="492"/>
        <v>1</v>
      </c>
      <c r="AW768" s="15">
        <f t="shared" si="493"/>
        <v>1</v>
      </c>
      <c r="AX768" s="15">
        <f t="shared" si="494"/>
        <v>1</v>
      </c>
      <c r="AY768" s="15">
        <f t="shared" si="495"/>
        <v>1</v>
      </c>
      <c r="AZ768" s="15">
        <f t="shared" si="496"/>
        <v>1</v>
      </c>
      <c r="BA768" s="15">
        <f t="shared" si="497"/>
        <v>1</v>
      </c>
      <c r="BB768" s="15">
        <f t="shared" si="465"/>
        <v>0</v>
      </c>
      <c r="BC768" s="15" t="str">
        <f t="shared" si="466"/>
        <v/>
      </c>
      <c r="BD768" s="15" t="str">
        <f t="shared" si="467"/>
        <v/>
      </c>
      <c r="BE768" s="11" t="e">
        <f t="shared" si="498"/>
        <v>#VALUE!</v>
      </c>
      <c r="BF768" s="11" t="e">
        <f t="shared" si="499"/>
        <v>#VALUE!</v>
      </c>
      <c r="BG768" s="11" t="e">
        <f t="shared" si="500"/>
        <v>#VALUE!</v>
      </c>
      <c r="BH768" t="str">
        <f t="shared" si="501"/>
        <v/>
      </c>
      <c r="BI768" t="str" cm="1">
        <f t="array" ref="BI768">_xlfn.IFS(
  L768&gt;0,"Critical Fail",
  M768&gt;0,"Important (Coaching)",
  TRUE,"Clean Pass"
)</f>
        <v>Clean Pass</v>
      </c>
      <c r="BJ768" t="str">
        <f t="shared" si="502"/>
        <v>NA</v>
      </c>
    </row>
    <row r="769" spans="1:62" x14ac:dyDescent="0.3">
      <c r="A769">
        <v>443152</v>
      </c>
      <c r="K769" t="str">
        <f t="shared" si="464"/>
        <v>Pass</v>
      </c>
      <c r="L769" s="15">
        <f t="shared" si="468"/>
        <v>0</v>
      </c>
      <c r="M769" s="15">
        <f t="shared" si="469"/>
        <v>0</v>
      </c>
      <c r="Z769" s="15">
        <f t="shared" si="470"/>
        <v>1</v>
      </c>
      <c r="AA769" s="15">
        <f t="shared" si="471"/>
        <v>1</v>
      </c>
      <c r="AB769" s="15">
        <f t="shared" si="472"/>
        <v>1</v>
      </c>
      <c r="AC769" s="15">
        <f t="shared" si="473"/>
        <v>1</v>
      </c>
      <c r="AD769" s="15">
        <f t="shared" si="474"/>
        <v>1</v>
      </c>
      <c r="AE769" s="15">
        <f t="shared" si="475"/>
        <v>1</v>
      </c>
      <c r="AF769" s="15">
        <f t="shared" si="476"/>
        <v>1</v>
      </c>
      <c r="AG769" s="15">
        <f t="shared" si="477"/>
        <v>1</v>
      </c>
      <c r="AH769" s="15">
        <f t="shared" si="478"/>
        <v>1</v>
      </c>
      <c r="AI769" s="15">
        <f t="shared" si="479"/>
        <v>1</v>
      </c>
      <c r="AJ769" s="15">
        <f t="shared" si="480"/>
        <v>1</v>
      </c>
      <c r="AK769" s="15">
        <f t="shared" si="481"/>
        <v>1</v>
      </c>
      <c r="AL769" s="15">
        <f t="shared" si="482"/>
        <v>1</v>
      </c>
      <c r="AM769" s="15">
        <f t="shared" si="483"/>
        <v>1</v>
      </c>
      <c r="AN769" s="15">
        <f t="shared" si="484"/>
        <v>1</v>
      </c>
      <c r="AO769" s="15">
        <f t="shared" si="485"/>
        <v>1</v>
      </c>
      <c r="AP769" s="15">
        <f t="shared" si="486"/>
        <v>1</v>
      </c>
      <c r="AQ769" s="15">
        <f t="shared" si="487"/>
        <v>1</v>
      </c>
      <c r="AR769" s="15">
        <f t="shared" si="488"/>
        <v>1</v>
      </c>
      <c r="AS769" s="15">
        <f t="shared" si="489"/>
        <v>1</v>
      </c>
      <c r="AT769" s="15">
        <f t="shared" si="490"/>
        <v>1</v>
      </c>
      <c r="AU769" s="15">
        <f t="shared" si="491"/>
        <v>1</v>
      </c>
      <c r="AV769" s="15">
        <f t="shared" si="492"/>
        <v>1</v>
      </c>
      <c r="AW769" s="15">
        <f t="shared" si="493"/>
        <v>1</v>
      </c>
      <c r="AX769" s="15">
        <f t="shared" si="494"/>
        <v>1</v>
      </c>
      <c r="AY769" s="15">
        <f t="shared" si="495"/>
        <v>1</v>
      </c>
      <c r="AZ769" s="15">
        <f t="shared" si="496"/>
        <v>1</v>
      </c>
      <c r="BA769" s="15">
        <f t="shared" si="497"/>
        <v>1</v>
      </c>
      <c r="BB769" s="15">
        <f t="shared" si="465"/>
        <v>0</v>
      </c>
      <c r="BC769" s="15" t="str">
        <f t="shared" si="466"/>
        <v/>
      </c>
      <c r="BD769" s="15" t="str">
        <f t="shared" si="467"/>
        <v/>
      </c>
      <c r="BE769" s="11" t="e">
        <f t="shared" si="498"/>
        <v>#VALUE!</v>
      </c>
      <c r="BF769" s="11" t="e">
        <f t="shared" si="499"/>
        <v>#VALUE!</v>
      </c>
      <c r="BG769" s="11" t="e">
        <f t="shared" si="500"/>
        <v>#VALUE!</v>
      </c>
      <c r="BH769" t="str">
        <f t="shared" si="501"/>
        <v/>
      </c>
      <c r="BI769" t="str" cm="1">
        <f t="array" ref="BI769">_xlfn.IFS(
  L769&gt;0,"Critical Fail",
  M769&gt;0,"Important (Coaching)",
  TRUE,"Clean Pass"
)</f>
        <v>Clean Pass</v>
      </c>
      <c r="BJ769" t="str">
        <f t="shared" si="502"/>
        <v>NA</v>
      </c>
    </row>
    <row r="770" spans="1:62" x14ac:dyDescent="0.3">
      <c r="A770">
        <v>836528</v>
      </c>
      <c r="K770" t="str">
        <f t="shared" ref="K770:K833" si="503">IF(L770="","",IF(L770&gt;0,"Fail","Pass"))</f>
        <v>Pass</v>
      </c>
      <c r="L770" s="15">
        <f t="shared" si="468"/>
        <v>0</v>
      </c>
      <c r="M770" s="15">
        <f t="shared" si="469"/>
        <v>0</v>
      </c>
      <c r="Z770" s="15">
        <f t="shared" si="470"/>
        <v>1</v>
      </c>
      <c r="AA770" s="15">
        <f t="shared" si="471"/>
        <v>1</v>
      </c>
      <c r="AB770" s="15">
        <f t="shared" si="472"/>
        <v>1</v>
      </c>
      <c r="AC770" s="15">
        <f t="shared" si="473"/>
        <v>1</v>
      </c>
      <c r="AD770" s="15">
        <f t="shared" si="474"/>
        <v>1</v>
      </c>
      <c r="AE770" s="15">
        <f t="shared" si="475"/>
        <v>1</v>
      </c>
      <c r="AF770" s="15">
        <f t="shared" si="476"/>
        <v>1</v>
      </c>
      <c r="AG770" s="15">
        <f t="shared" si="477"/>
        <v>1</v>
      </c>
      <c r="AH770" s="15">
        <f t="shared" si="478"/>
        <v>1</v>
      </c>
      <c r="AI770" s="15">
        <f t="shared" si="479"/>
        <v>1</v>
      </c>
      <c r="AJ770" s="15">
        <f t="shared" si="480"/>
        <v>1</v>
      </c>
      <c r="AK770" s="15">
        <f t="shared" si="481"/>
        <v>1</v>
      </c>
      <c r="AL770" s="15">
        <f t="shared" si="482"/>
        <v>1</v>
      </c>
      <c r="AM770" s="15">
        <f t="shared" si="483"/>
        <v>1</v>
      </c>
      <c r="AN770" s="15">
        <f t="shared" si="484"/>
        <v>1</v>
      </c>
      <c r="AO770" s="15">
        <f t="shared" si="485"/>
        <v>1</v>
      </c>
      <c r="AP770" s="15">
        <f t="shared" si="486"/>
        <v>1</v>
      </c>
      <c r="AQ770" s="15">
        <f t="shared" si="487"/>
        <v>1</v>
      </c>
      <c r="AR770" s="15">
        <f t="shared" si="488"/>
        <v>1</v>
      </c>
      <c r="AS770" s="15">
        <f t="shared" si="489"/>
        <v>1</v>
      </c>
      <c r="AT770" s="15">
        <f t="shared" si="490"/>
        <v>1</v>
      </c>
      <c r="AU770" s="15">
        <f t="shared" si="491"/>
        <v>1</v>
      </c>
      <c r="AV770" s="15">
        <f t="shared" si="492"/>
        <v>1</v>
      </c>
      <c r="AW770" s="15">
        <f t="shared" si="493"/>
        <v>1</v>
      </c>
      <c r="AX770" s="15">
        <f t="shared" si="494"/>
        <v>1</v>
      </c>
      <c r="AY770" s="15">
        <f t="shared" si="495"/>
        <v>1</v>
      </c>
      <c r="AZ770" s="15">
        <f t="shared" si="496"/>
        <v>1</v>
      </c>
      <c r="BA770" s="15">
        <f t="shared" si="497"/>
        <v>1</v>
      </c>
      <c r="BB770" s="15">
        <f t="shared" ref="BB770:BB833" si="504">IF(L770&gt;0,1,0)</f>
        <v>0</v>
      </c>
      <c r="BC770" s="15" t="str">
        <f t="shared" ref="BC770:BC833" si="505">IF(G770="DV",9,IF(G770="AL",13,""))</f>
        <v/>
      </c>
      <c r="BD770" s="15" t="str">
        <f t="shared" ref="BD770:BD833" si="506">IF(G770="DV",3,IF(G770="AL",3,""))</f>
        <v/>
      </c>
      <c r="BE770" s="11" t="e">
        <f t="shared" si="498"/>
        <v>#VALUE!</v>
      </c>
      <c r="BF770" s="11" t="e">
        <f t="shared" si="499"/>
        <v>#VALUE!</v>
      </c>
      <c r="BG770" s="11" t="e">
        <f t="shared" si="500"/>
        <v>#VALUE!</v>
      </c>
      <c r="BH770" t="str">
        <f t="shared" si="501"/>
        <v/>
      </c>
      <c r="BI770" t="str" cm="1">
        <f t="array" ref="BI770">_xlfn.IFS(
  L770&gt;0,"Critical Fail",
  M770&gt;0,"Important (Coaching)",
  TRUE,"Clean Pass"
)</f>
        <v>Clean Pass</v>
      </c>
      <c r="BJ770" t="str">
        <f t="shared" si="502"/>
        <v>NA</v>
      </c>
    </row>
    <row r="771" spans="1:62" x14ac:dyDescent="0.3">
      <c r="A771">
        <v>331949</v>
      </c>
      <c r="K771" t="str">
        <f t="shared" si="503"/>
        <v>Pass</v>
      </c>
      <c r="L771" s="15">
        <f t="shared" si="468"/>
        <v>0</v>
      </c>
      <c r="M771" s="15">
        <f t="shared" si="469"/>
        <v>0</v>
      </c>
      <c r="Z771" s="15">
        <f t="shared" si="470"/>
        <v>1</v>
      </c>
      <c r="AA771" s="15">
        <f t="shared" si="471"/>
        <v>1</v>
      </c>
      <c r="AB771" s="15">
        <f t="shared" si="472"/>
        <v>1</v>
      </c>
      <c r="AC771" s="15">
        <f t="shared" si="473"/>
        <v>1</v>
      </c>
      <c r="AD771" s="15">
        <f t="shared" si="474"/>
        <v>1</v>
      </c>
      <c r="AE771" s="15">
        <f t="shared" si="475"/>
        <v>1</v>
      </c>
      <c r="AF771" s="15">
        <f t="shared" si="476"/>
        <v>1</v>
      </c>
      <c r="AG771" s="15">
        <f t="shared" si="477"/>
        <v>1</v>
      </c>
      <c r="AH771" s="15">
        <f t="shared" si="478"/>
        <v>1</v>
      </c>
      <c r="AI771" s="15">
        <f t="shared" si="479"/>
        <v>1</v>
      </c>
      <c r="AJ771" s="15">
        <f t="shared" si="480"/>
        <v>1</v>
      </c>
      <c r="AK771" s="15">
        <f t="shared" si="481"/>
        <v>1</v>
      </c>
      <c r="AL771" s="15">
        <f t="shared" si="482"/>
        <v>1</v>
      </c>
      <c r="AM771" s="15">
        <f t="shared" si="483"/>
        <v>1</v>
      </c>
      <c r="AN771" s="15">
        <f t="shared" si="484"/>
        <v>1</v>
      </c>
      <c r="AO771" s="15">
        <f t="shared" si="485"/>
        <v>1</v>
      </c>
      <c r="AP771" s="15">
        <f t="shared" si="486"/>
        <v>1</v>
      </c>
      <c r="AQ771" s="15">
        <f t="shared" si="487"/>
        <v>1</v>
      </c>
      <c r="AR771" s="15">
        <f t="shared" si="488"/>
        <v>1</v>
      </c>
      <c r="AS771" s="15">
        <f t="shared" si="489"/>
        <v>1</v>
      </c>
      <c r="AT771" s="15">
        <f t="shared" si="490"/>
        <v>1</v>
      </c>
      <c r="AU771" s="15">
        <f t="shared" si="491"/>
        <v>1</v>
      </c>
      <c r="AV771" s="15">
        <f t="shared" si="492"/>
        <v>1</v>
      </c>
      <c r="AW771" s="15">
        <f t="shared" si="493"/>
        <v>1</v>
      </c>
      <c r="AX771" s="15">
        <f t="shared" si="494"/>
        <v>1</v>
      </c>
      <c r="AY771" s="15">
        <f t="shared" si="495"/>
        <v>1</v>
      </c>
      <c r="AZ771" s="15">
        <f t="shared" si="496"/>
        <v>1</v>
      </c>
      <c r="BA771" s="15">
        <f t="shared" si="497"/>
        <v>1</v>
      </c>
      <c r="BB771" s="15">
        <f t="shared" si="504"/>
        <v>0</v>
      </c>
      <c r="BC771" s="15" t="str">
        <f t="shared" si="505"/>
        <v/>
      </c>
      <c r="BD771" s="15" t="str">
        <f t="shared" si="506"/>
        <v/>
      </c>
      <c r="BE771" s="11" t="e">
        <f t="shared" si="498"/>
        <v>#VALUE!</v>
      </c>
      <c r="BF771" s="11" t="e">
        <f t="shared" si="499"/>
        <v>#VALUE!</v>
      </c>
      <c r="BG771" s="11" t="e">
        <f t="shared" si="500"/>
        <v>#VALUE!</v>
      </c>
      <c r="BH771" t="str">
        <f t="shared" si="501"/>
        <v/>
      </c>
      <c r="BI771" t="str" cm="1">
        <f t="array" ref="BI771">_xlfn.IFS(
  L771&gt;0,"Critical Fail",
  M771&gt;0,"Important (Coaching)",
  TRUE,"Clean Pass"
)</f>
        <v>Clean Pass</v>
      </c>
      <c r="BJ771" t="str">
        <f t="shared" si="502"/>
        <v>NA</v>
      </c>
    </row>
    <row r="772" spans="1:62" x14ac:dyDescent="0.3">
      <c r="A772">
        <v>467800</v>
      </c>
      <c r="K772" t="str">
        <f t="shared" si="503"/>
        <v>Pass</v>
      </c>
      <c r="L772" s="15">
        <f t="shared" si="468"/>
        <v>0</v>
      </c>
      <c r="M772" s="15">
        <f t="shared" si="469"/>
        <v>0</v>
      </c>
      <c r="Z772" s="15">
        <f t="shared" si="470"/>
        <v>1</v>
      </c>
      <c r="AA772" s="15">
        <f t="shared" si="471"/>
        <v>1</v>
      </c>
      <c r="AB772" s="15">
        <f t="shared" si="472"/>
        <v>1</v>
      </c>
      <c r="AC772" s="15">
        <f t="shared" si="473"/>
        <v>1</v>
      </c>
      <c r="AD772" s="15">
        <f t="shared" si="474"/>
        <v>1</v>
      </c>
      <c r="AE772" s="15">
        <f t="shared" si="475"/>
        <v>1</v>
      </c>
      <c r="AF772" s="15">
        <f t="shared" si="476"/>
        <v>1</v>
      </c>
      <c r="AG772" s="15">
        <f t="shared" si="477"/>
        <v>1</v>
      </c>
      <c r="AH772" s="15">
        <f t="shared" si="478"/>
        <v>1</v>
      </c>
      <c r="AI772" s="15">
        <f t="shared" si="479"/>
        <v>1</v>
      </c>
      <c r="AJ772" s="15">
        <f t="shared" si="480"/>
        <v>1</v>
      </c>
      <c r="AK772" s="15">
        <f t="shared" si="481"/>
        <v>1</v>
      </c>
      <c r="AL772" s="15">
        <f t="shared" si="482"/>
        <v>1</v>
      </c>
      <c r="AM772" s="15">
        <f t="shared" si="483"/>
        <v>1</v>
      </c>
      <c r="AN772" s="15">
        <f t="shared" si="484"/>
        <v>1</v>
      </c>
      <c r="AO772" s="15">
        <f t="shared" si="485"/>
        <v>1</v>
      </c>
      <c r="AP772" s="15">
        <f t="shared" si="486"/>
        <v>1</v>
      </c>
      <c r="AQ772" s="15">
        <f t="shared" si="487"/>
        <v>1</v>
      </c>
      <c r="AR772" s="15">
        <f t="shared" si="488"/>
        <v>1</v>
      </c>
      <c r="AS772" s="15">
        <f t="shared" si="489"/>
        <v>1</v>
      </c>
      <c r="AT772" s="15">
        <f t="shared" si="490"/>
        <v>1</v>
      </c>
      <c r="AU772" s="15">
        <f t="shared" si="491"/>
        <v>1</v>
      </c>
      <c r="AV772" s="15">
        <f t="shared" si="492"/>
        <v>1</v>
      </c>
      <c r="AW772" s="15">
        <f t="shared" si="493"/>
        <v>1</v>
      </c>
      <c r="AX772" s="15">
        <f t="shared" si="494"/>
        <v>1</v>
      </c>
      <c r="AY772" s="15">
        <f t="shared" si="495"/>
        <v>1</v>
      </c>
      <c r="AZ772" s="15">
        <f t="shared" si="496"/>
        <v>1</v>
      </c>
      <c r="BA772" s="15">
        <f t="shared" si="497"/>
        <v>1</v>
      </c>
      <c r="BB772" s="15">
        <f t="shared" si="504"/>
        <v>0</v>
      </c>
      <c r="BC772" s="15" t="str">
        <f t="shared" si="505"/>
        <v/>
      </c>
      <c r="BD772" s="15" t="str">
        <f t="shared" si="506"/>
        <v/>
      </c>
      <c r="BE772" s="11" t="e">
        <f t="shared" si="498"/>
        <v>#VALUE!</v>
      </c>
      <c r="BF772" s="11" t="e">
        <f t="shared" si="499"/>
        <v>#VALUE!</v>
      </c>
      <c r="BG772" s="11" t="e">
        <f t="shared" si="500"/>
        <v>#VALUE!</v>
      </c>
      <c r="BH772" t="str">
        <f t="shared" si="501"/>
        <v/>
      </c>
      <c r="BI772" t="str" cm="1">
        <f t="array" ref="BI772">_xlfn.IFS(
  L772&gt;0,"Critical Fail",
  M772&gt;0,"Important (Coaching)",
  TRUE,"Clean Pass"
)</f>
        <v>Clean Pass</v>
      </c>
      <c r="BJ772" t="str">
        <f t="shared" si="502"/>
        <v>NA</v>
      </c>
    </row>
    <row r="773" spans="1:62" x14ac:dyDescent="0.3">
      <c r="A773">
        <v>374127</v>
      </c>
      <c r="K773" t="str">
        <f t="shared" si="503"/>
        <v>Pass</v>
      </c>
      <c r="L773" s="15">
        <f t="shared" si="468"/>
        <v>0</v>
      </c>
      <c r="M773" s="15">
        <f t="shared" si="469"/>
        <v>0</v>
      </c>
      <c r="Z773" s="15">
        <f t="shared" si="470"/>
        <v>1</v>
      </c>
      <c r="AA773" s="15">
        <f t="shared" si="471"/>
        <v>1</v>
      </c>
      <c r="AB773" s="15">
        <f t="shared" si="472"/>
        <v>1</v>
      </c>
      <c r="AC773" s="15">
        <f t="shared" si="473"/>
        <v>1</v>
      </c>
      <c r="AD773" s="15">
        <f t="shared" si="474"/>
        <v>1</v>
      </c>
      <c r="AE773" s="15">
        <f t="shared" si="475"/>
        <v>1</v>
      </c>
      <c r="AF773" s="15">
        <f t="shared" si="476"/>
        <v>1</v>
      </c>
      <c r="AG773" s="15">
        <f t="shared" si="477"/>
        <v>1</v>
      </c>
      <c r="AH773" s="15">
        <f t="shared" si="478"/>
        <v>1</v>
      </c>
      <c r="AI773" s="15">
        <f t="shared" si="479"/>
        <v>1</v>
      </c>
      <c r="AJ773" s="15">
        <f t="shared" si="480"/>
        <v>1</v>
      </c>
      <c r="AK773" s="15">
        <f t="shared" si="481"/>
        <v>1</v>
      </c>
      <c r="AL773" s="15">
        <f t="shared" si="482"/>
        <v>1</v>
      </c>
      <c r="AM773" s="15">
        <f t="shared" si="483"/>
        <v>1</v>
      </c>
      <c r="AN773" s="15">
        <f t="shared" si="484"/>
        <v>1</v>
      </c>
      <c r="AO773" s="15">
        <f t="shared" si="485"/>
        <v>1</v>
      </c>
      <c r="AP773" s="15">
        <f t="shared" si="486"/>
        <v>1</v>
      </c>
      <c r="AQ773" s="15">
        <f t="shared" si="487"/>
        <v>1</v>
      </c>
      <c r="AR773" s="15">
        <f t="shared" si="488"/>
        <v>1</v>
      </c>
      <c r="AS773" s="15">
        <f t="shared" si="489"/>
        <v>1</v>
      </c>
      <c r="AT773" s="15">
        <f t="shared" si="490"/>
        <v>1</v>
      </c>
      <c r="AU773" s="15">
        <f t="shared" si="491"/>
        <v>1</v>
      </c>
      <c r="AV773" s="15">
        <f t="shared" si="492"/>
        <v>1</v>
      </c>
      <c r="AW773" s="15">
        <f t="shared" si="493"/>
        <v>1</v>
      </c>
      <c r="AX773" s="15">
        <f t="shared" si="494"/>
        <v>1</v>
      </c>
      <c r="AY773" s="15">
        <f t="shared" si="495"/>
        <v>1</v>
      </c>
      <c r="AZ773" s="15">
        <f t="shared" si="496"/>
        <v>1</v>
      </c>
      <c r="BA773" s="15">
        <f t="shared" si="497"/>
        <v>1</v>
      </c>
      <c r="BB773" s="15">
        <f t="shared" si="504"/>
        <v>0</v>
      </c>
      <c r="BC773" s="15" t="str">
        <f t="shared" si="505"/>
        <v/>
      </c>
      <c r="BD773" s="15" t="str">
        <f t="shared" si="506"/>
        <v/>
      </c>
      <c r="BE773" s="11" t="e">
        <f t="shared" si="498"/>
        <v>#VALUE!</v>
      </c>
      <c r="BF773" s="11" t="e">
        <f t="shared" si="499"/>
        <v>#VALUE!</v>
      </c>
      <c r="BG773" s="11" t="e">
        <f t="shared" si="500"/>
        <v>#VALUE!</v>
      </c>
      <c r="BH773" t="str">
        <f t="shared" si="501"/>
        <v/>
      </c>
      <c r="BI773" t="str" cm="1">
        <f t="array" ref="BI773">_xlfn.IFS(
  L773&gt;0,"Critical Fail",
  M773&gt;0,"Important (Coaching)",
  TRUE,"Clean Pass"
)</f>
        <v>Clean Pass</v>
      </c>
      <c r="BJ773" t="str">
        <f t="shared" si="502"/>
        <v>NA</v>
      </c>
    </row>
    <row r="774" spans="1:62" x14ac:dyDescent="0.3">
      <c r="A774">
        <v>866764</v>
      </c>
      <c r="K774" t="str">
        <f t="shared" si="503"/>
        <v>Pass</v>
      </c>
      <c r="L774" s="15">
        <f t="shared" si="468"/>
        <v>0</v>
      </c>
      <c r="M774" s="15">
        <f t="shared" si="469"/>
        <v>0</v>
      </c>
      <c r="Z774" s="15">
        <f t="shared" si="470"/>
        <v>1</v>
      </c>
      <c r="AA774" s="15">
        <f t="shared" si="471"/>
        <v>1</v>
      </c>
      <c r="AB774" s="15">
        <f t="shared" si="472"/>
        <v>1</v>
      </c>
      <c r="AC774" s="15">
        <f t="shared" si="473"/>
        <v>1</v>
      </c>
      <c r="AD774" s="15">
        <f t="shared" si="474"/>
        <v>1</v>
      </c>
      <c r="AE774" s="15">
        <f t="shared" si="475"/>
        <v>1</v>
      </c>
      <c r="AF774" s="15">
        <f t="shared" si="476"/>
        <v>1</v>
      </c>
      <c r="AG774" s="15">
        <f t="shared" si="477"/>
        <v>1</v>
      </c>
      <c r="AH774" s="15">
        <f t="shared" si="478"/>
        <v>1</v>
      </c>
      <c r="AI774" s="15">
        <f t="shared" si="479"/>
        <v>1</v>
      </c>
      <c r="AJ774" s="15">
        <f t="shared" si="480"/>
        <v>1</v>
      </c>
      <c r="AK774" s="15">
        <f t="shared" si="481"/>
        <v>1</v>
      </c>
      <c r="AL774" s="15">
        <f t="shared" si="482"/>
        <v>1</v>
      </c>
      <c r="AM774" s="15">
        <f t="shared" si="483"/>
        <v>1</v>
      </c>
      <c r="AN774" s="15">
        <f t="shared" si="484"/>
        <v>1</v>
      </c>
      <c r="AO774" s="15">
        <f t="shared" si="485"/>
        <v>1</v>
      </c>
      <c r="AP774" s="15">
        <f t="shared" si="486"/>
        <v>1</v>
      </c>
      <c r="AQ774" s="15">
        <f t="shared" si="487"/>
        <v>1</v>
      </c>
      <c r="AR774" s="15">
        <f t="shared" si="488"/>
        <v>1</v>
      </c>
      <c r="AS774" s="15">
        <f t="shared" si="489"/>
        <v>1</v>
      </c>
      <c r="AT774" s="15">
        <f t="shared" si="490"/>
        <v>1</v>
      </c>
      <c r="AU774" s="15">
        <f t="shared" si="491"/>
        <v>1</v>
      </c>
      <c r="AV774" s="15">
        <f t="shared" si="492"/>
        <v>1</v>
      </c>
      <c r="AW774" s="15">
        <f t="shared" si="493"/>
        <v>1</v>
      </c>
      <c r="AX774" s="15">
        <f t="shared" si="494"/>
        <v>1</v>
      </c>
      <c r="AY774" s="15">
        <f t="shared" si="495"/>
        <v>1</v>
      </c>
      <c r="AZ774" s="15">
        <f t="shared" si="496"/>
        <v>1</v>
      </c>
      <c r="BA774" s="15">
        <f t="shared" si="497"/>
        <v>1</v>
      </c>
      <c r="BB774" s="15">
        <f t="shared" si="504"/>
        <v>0</v>
      </c>
      <c r="BC774" s="15" t="str">
        <f t="shared" si="505"/>
        <v/>
      </c>
      <c r="BD774" s="15" t="str">
        <f t="shared" si="506"/>
        <v/>
      </c>
      <c r="BE774" s="11" t="e">
        <f t="shared" si="498"/>
        <v>#VALUE!</v>
      </c>
      <c r="BF774" s="11" t="e">
        <f t="shared" si="499"/>
        <v>#VALUE!</v>
      </c>
      <c r="BG774" s="11" t="e">
        <f t="shared" si="500"/>
        <v>#VALUE!</v>
      </c>
      <c r="BH774" t="str">
        <f t="shared" si="501"/>
        <v/>
      </c>
      <c r="BI774" t="str" cm="1">
        <f t="array" ref="BI774">_xlfn.IFS(
  L774&gt;0,"Critical Fail",
  M774&gt;0,"Important (Coaching)",
  TRUE,"Clean Pass"
)</f>
        <v>Clean Pass</v>
      </c>
      <c r="BJ774" t="str">
        <f t="shared" si="502"/>
        <v>NA</v>
      </c>
    </row>
    <row r="775" spans="1:62" x14ac:dyDescent="0.3">
      <c r="A775">
        <v>204931</v>
      </c>
      <c r="K775" t="str">
        <f t="shared" si="503"/>
        <v>Pass</v>
      </c>
      <c r="L775" s="15">
        <f t="shared" si="468"/>
        <v>0</v>
      </c>
      <c r="M775" s="15">
        <f t="shared" si="469"/>
        <v>0</v>
      </c>
      <c r="Z775" s="15">
        <f t="shared" si="470"/>
        <v>1</v>
      </c>
      <c r="AA775" s="15">
        <f t="shared" si="471"/>
        <v>1</v>
      </c>
      <c r="AB775" s="15">
        <f t="shared" si="472"/>
        <v>1</v>
      </c>
      <c r="AC775" s="15">
        <f t="shared" si="473"/>
        <v>1</v>
      </c>
      <c r="AD775" s="15">
        <f t="shared" si="474"/>
        <v>1</v>
      </c>
      <c r="AE775" s="15">
        <f t="shared" si="475"/>
        <v>1</v>
      </c>
      <c r="AF775" s="15">
        <f t="shared" si="476"/>
        <v>1</v>
      </c>
      <c r="AG775" s="15">
        <f t="shared" si="477"/>
        <v>1</v>
      </c>
      <c r="AH775" s="15">
        <f t="shared" si="478"/>
        <v>1</v>
      </c>
      <c r="AI775" s="15">
        <f t="shared" si="479"/>
        <v>1</v>
      </c>
      <c r="AJ775" s="15">
        <f t="shared" si="480"/>
        <v>1</v>
      </c>
      <c r="AK775" s="15">
        <f t="shared" si="481"/>
        <v>1</v>
      </c>
      <c r="AL775" s="15">
        <f t="shared" si="482"/>
        <v>1</v>
      </c>
      <c r="AM775" s="15">
        <f t="shared" si="483"/>
        <v>1</v>
      </c>
      <c r="AN775" s="15">
        <f t="shared" si="484"/>
        <v>1</v>
      </c>
      <c r="AO775" s="15">
        <f t="shared" si="485"/>
        <v>1</v>
      </c>
      <c r="AP775" s="15">
        <f t="shared" si="486"/>
        <v>1</v>
      </c>
      <c r="AQ775" s="15">
        <f t="shared" si="487"/>
        <v>1</v>
      </c>
      <c r="AR775" s="15">
        <f t="shared" si="488"/>
        <v>1</v>
      </c>
      <c r="AS775" s="15">
        <f t="shared" si="489"/>
        <v>1</v>
      </c>
      <c r="AT775" s="15">
        <f t="shared" si="490"/>
        <v>1</v>
      </c>
      <c r="AU775" s="15">
        <f t="shared" si="491"/>
        <v>1</v>
      </c>
      <c r="AV775" s="15">
        <f t="shared" si="492"/>
        <v>1</v>
      </c>
      <c r="AW775" s="15">
        <f t="shared" si="493"/>
        <v>1</v>
      </c>
      <c r="AX775" s="15">
        <f t="shared" si="494"/>
        <v>1</v>
      </c>
      <c r="AY775" s="15">
        <f t="shared" si="495"/>
        <v>1</v>
      </c>
      <c r="AZ775" s="15">
        <f t="shared" si="496"/>
        <v>1</v>
      </c>
      <c r="BA775" s="15">
        <f t="shared" si="497"/>
        <v>1</v>
      </c>
      <c r="BB775" s="15">
        <f t="shared" si="504"/>
        <v>0</v>
      </c>
      <c r="BC775" s="15" t="str">
        <f t="shared" si="505"/>
        <v/>
      </c>
      <c r="BD775" s="15" t="str">
        <f t="shared" si="506"/>
        <v/>
      </c>
      <c r="BE775" s="11" t="e">
        <f t="shared" si="498"/>
        <v>#VALUE!</v>
      </c>
      <c r="BF775" s="11" t="e">
        <f t="shared" si="499"/>
        <v>#VALUE!</v>
      </c>
      <c r="BG775" s="11" t="e">
        <f t="shared" si="500"/>
        <v>#VALUE!</v>
      </c>
      <c r="BH775" t="str">
        <f t="shared" si="501"/>
        <v/>
      </c>
      <c r="BI775" t="str" cm="1">
        <f t="array" ref="BI775">_xlfn.IFS(
  L775&gt;0,"Critical Fail",
  M775&gt;0,"Important (Coaching)",
  TRUE,"Clean Pass"
)</f>
        <v>Clean Pass</v>
      </c>
      <c r="BJ775" t="str">
        <f t="shared" si="502"/>
        <v>NA</v>
      </c>
    </row>
    <row r="776" spans="1:62" x14ac:dyDescent="0.3">
      <c r="A776">
        <v>100588</v>
      </c>
      <c r="K776" t="str">
        <f t="shared" si="503"/>
        <v>Pass</v>
      </c>
      <c r="L776" s="15">
        <f t="shared" si="468"/>
        <v>0</v>
      </c>
      <c r="M776" s="15">
        <f t="shared" si="469"/>
        <v>0</v>
      </c>
      <c r="Z776" s="15">
        <f t="shared" si="470"/>
        <v>1</v>
      </c>
      <c r="AA776" s="15">
        <f t="shared" si="471"/>
        <v>1</v>
      </c>
      <c r="AB776" s="15">
        <f t="shared" si="472"/>
        <v>1</v>
      </c>
      <c r="AC776" s="15">
        <f t="shared" si="473"/>
        <v>1</v>
      </c>
      <c r="AD776" s="15">
        <f t="shared" si="474"/>
        <v>1</v>
      </c>
      <c r="AE776" s="15">
        <f t="shared" si="475"/>
        <v>1</v>
      </c>
      <c r="AF776" s="15">
        <f t="shared" si="476"/>
        <v>1</v>
      </c>
      <c r="AG776" s="15">
        <f t="shared" si="477"/>
        <v>1</v>
      </c>
      <c r="AH776" s="15">
        <f t="shared" si="478"/>
        <v>1</v>
      </c>
      <c r="AI776" s="15">
        <f t="shared" si="479"/>
        <v>1</v>
      </c>
      <c r="AJ776" s="15">
        <f t="shared" si="480"/>
        <v>1</v>
      </c>
      <c r="AK776" s="15">
        <f t="shared" si="481"/>
        <v>1</v>
      </c>
      <c r="AL776" s="15">
        <f t="shared" si="482"/>
        <v>1</v>
      </c>
      <c r="AM776" s="15">
        <f t="shared" si="483"/>
        <v>1</v>
      </c>
      <c r="AN776" s="15">
        <f t="shared" si="484"/>
        <v>1</v>
      </c>
      <c r="AO776" s="15">
        <f t="shared" si="485"/>
        <v>1</v>
      </c>
      <c r="AP776" s="15">
        <f t="shared" si="486"/>
        <v>1</v>
      </c>
      <c r="AQ776" s="15">
        <f t="shared" si="487"/>
        <v>1</v>
      </c>
      <c r="AR776" s="15">
        <f t="shared" si="488"/>
        <v>1</v>
      </c>
      <c r="AS776" s="15">
        <f t="shared" si="489"/>
        <v>1</v>
      </c>
      <c r="AT776" s="15">
        <f t="shared" si="490"/>
        <v>1</v>
      </c>
      <c r="AU776" s="15">
        <f t="shared" si="491"/>
        <v>1</v>
      </c>
      <c r="AV776" s="15">
        <f t="shared" si="492"/>
        <v>1</v>
      </c>
      <c r="AW776" s="15">
        <f t="shared" si="493"/>
        <v>1</v>
      </c>
      <c r="AX776" s="15">
        <f t="shared" si="494"/>
        <v>1</v>
      </c>
      <c r="AY776" s="15">
        <f t="shared" si="495"/>
        <v>1</v>
      </c>
      <c r="AZ776" s="15">
        <f t="shared" si="496"/>
        <v>1</v>
      </c>
      <c r="BA776" s="15">
        <f t="shared" si="497"/>
        <v>1</v>
      </c>
      <c r="BB776" s="15">
        <f t="shared" si="504"/>
        <v>0</v>
      </c>
      <c r="BC776" s="15" t="str">
        <f t="shared" si="505"/>
        <v/>
      </c>
      <c r="BD776" s="15" t="str">
        <f t="shared" si="506"/>
        <v/>
      </c>
      <c r="BE776" s="11" t="e">
        <f t="shared" si="498"/>
        <v>#VALUE!</v>
      </c>
      <c r="BF776" s="11" t="e">
        <f t="shared" si="499"/>
        <v>#VALUE!</v>
      </c>
      <c r="BG776" s="11" t="e">
        <f t="shared" si="500"/>
        <v>#VALUE!</v>
      </c>
      <c r="BH776" t="str">
        <f t="shared" si="501"/>
        <v/>
      </c>
      <c r="BI776" t="str" cm="1">
        <f t="array" ref="BI776">_xlfn.IFS(
  L776&gt;0,"Critical Fail",
  M776&gt;0,"Important (Coaching)",
  TRUE,"Clean Pass"
)</f>
        <v>Clean Pass</v>
      </c>
      <c r="BJ776" t="str">
        <f t="shared" si="502"/>
        <v>NA</v>
      </c>
    </row>
    <row r="777" spans="1:62" x14ac:dyDescent="0.3">
      <c r="A777">
        <v>229589</v>
      </c>
      <c r="K777" t="str">
        <f t="shared" si="503"/>
        <v>Pass</v>
      </c>
      <c r="L777" s="15">
        <f t="shared" si="468"/>
        <v>0</v>
      </c>
      <c r="M777" s="15">
        <f t="shared" si="469"/>
        <v>0</v>
      </c>
      <c r="Z777" s="15">
        <f t="shared" si="470"/>
        <v>1</v>
      </c>
      <c r="AA777" s="15">
        <f t="shared" si="471"/>
        <v>1</v>
      </c>
      <c r="AB777" s="15">
        <f t="shared" si="472"/>
        <v>1</v>
      </c>
      <c r="AC777" s="15">
        <f t="shared" si="473"/>
        <v>1</v>
      </c>
      <c r="AD777" s="15">
        <f t="shared" si="474"/>
        <v>1</v>
      </c>
      <c r="AE777" s="15">
        <f t="shared" si="475"/>
        <v>1</v>
      </c>
      <c r="AF777" s="15">
        <f t="shared" si="476"/>
        <v>1</v>
      </c>
      <c r="AG777" s="15">
        <f t="shared" si="477"/>
        <v>1</v>
      </c>
      <c r="AH777" s="15">
        <f t="shared" si="478"/>
        <v>1</v>
      </c>
      <c r="AI777" s="15">
        <f t="shared" si="479"/>
        <v>1</v>
      </c>
      <c r="AJ777" s="15">
        <f t="shared" si="480"/>
        <v>1</v>
      </c>
      <c r="AK777" s="15">
        <f t="shared" si="481"/>
        <v>1</v>
      </c>
      <c r="AL777" s="15">
        <f t="shared" si="482"/>
        <v>1</v>
      </c>
      <c r="AM777" s="15">
        <f t="shared" si="483"/>
        <v>1</v>
      </c>
      <c r="AN777" s="15">
        <f t="shared" si="484"/>
        <v>1</v>
      </c>
      <c r="AO777" s="15">
        <f t="shared" si="485"/>
        <v>1</v>
      </c>
      <c r="AP777" s="15">
        <f t="shared" si="486"/>
        <v>1</v>
      </c>
      <c r="AQ777" s="15">
        <f t="shared" si="487"/>
        <v>1</v>
      </c>
      <c r="AR777" s="15">
        <f t="shared" si="488"/>
        <v>1</v>
      </c>
      <c r="AS777" s="15">
        <f t="shared" si="489"/>
        <v>1</v>
      </c>
      <c r="AT777" s="15">
        <f t="shared" si="490"/>
        <v>1</v>
      </c>
      <c r="AU777" s="15">
        <f t="shared" si="491"/>
        <v>1</v>
      </c>
      <c r="AV777" s="15">
        <f t="shared" si="492"/>
        <v>1</v>
      </c>
      <c r="AW777" s="15">
        <f t="shared" si="493"/>
        <v>1</v>
      </c>
      <c r="AX777" s="15">
        <f t="shared" si="494"/>
        <v>1</v>
      </c>
      <c r="AY777" s="15">
        <f t="shared" si="495"/>
        <v>1</v>
      </c>
      <c r="AZ777" s="15">
        <f t="shared" si="496"/>
        <v>1</v>
      </c>
      <c r="BA777" s="15">
        <f t="shared" si="497"/>
        <v>1</v>
      </c>
      <c r="BB777" s="15">
        <f t="shared" si="504"/>
        <v>0</v>
      </c>
      <c r="BC777" s="15" t="str">
        <f t="shared" si="505"/>
        <v/>
      </c>
      <c r="BD777" s="15" t="str">
        <f t="shared" si="506"/>
        <v/>
      </c>
      <c r="BE777" s="11" t="e">
        <f t="shared" si="498"/>
        <v>#VALUE!</v>
      </c>
      <c r="BF777" s="11" t="e">
        <f t="shared" si="499"/>
        <v>#VALUE!</v>
      </c>
      <c r="BG777" s="11" t="e">
        <f t="shared" si="500"/>
        <v>#VALUE!</v>
      </c>
      <c r="BH777" t="str">
        <f t="shared" si="501"/>
        <v/>
      </c>
      <c r="BI777" t="str" cm="1">
        <f t="array" ref="BI777">_xlfn.IFS(
  L777&gt;0,"Critical Fail",
  M777&gt;0,"Important (Coaching)",
  TRUE,"Clean Pass"
)</f>
        <v>Clean Pass</v>
      </c>
      <c r="BJ777" t="str">
        <f t="shared" si="502"/>
        <v>NA</v>
      </c>
    </row>
    <row r="778" spans="1:62" x14ac:dyDescent="0.3">
      <c r="A778">
        <v>456969</v>
      </c>
      <c r="K778" t="str">
        <f t="shared" si="503"/>
        <v>Pass</v>
      </c>
      <c r="L778" s="15">
        <f t="shared" si="468"/>
        <v>0</v>
      </c>
      <c r="M778" s="15">
        <f t="shared" si="469"/>
        <v>0</v>
      </c>
      <c r="Z778" s="15">
        <f t="shared" si="470"/>
        <v>1</v>
      </c>
      <c r="AA778" s="15">
        <f t="shared" si="471"/>
        <v>1</v>
      </c>
      <c r="AB778" s="15">
        <f t="shared" si="472"/>
        <v>1</v>
      </c>
      <c r="AC778" s="15">
        <f t="shared" si="473"/>
        <v>1</v>
      </c>
      <c r="AD778" s="15">
        <f t="shared" si="474"/>
        <v>1</v>
      </c>
      <c r="AE778" s="15">
        <f t="shared" si="475"/>
        <v>1</v>
      </c>
      <c r="AF778" s="15">
        <f t="shared" si="476"/>
        <v>1</v>
      </c>
      <c r="AG778" s="15">
        <f t="shared" si="477"/>
        <v>1</v>
      </c>
      <c r="AH778" s="15">
        <f t="shared" si="478"/>
        <v>1</v>
      </c>
      <c r="AI778" s="15">
        <f t="shared" si="479"/>
        <v>1</v>
      </c>
      <c r="AJ778" s="15">
        <f t="shared" si="480"/>
        <v>1</v>
      </c>
      <c r="AK778" s="15">
        <f t="shared" si="481"/>
        <v>1</v>
      </c>
      <c r="AL778" s="15">
        <f t="shared" si="482"/>
        <v>1</v>
      </c>
      <c r="AM778" s="15">
        <f t="shared" si="483"/>
        <v>1</v>
      </c>
      <c r="AN778" s="15">
        <f t="shared" si="484"/>
        <v>1</v>
      </c>
      <c r="AO778" s="15">
        <f t="shared" si="485"/>
        <v>1</v>
      </c>
      <c r="AP778" s="15">
        <f t="shared" si="486"/>
        <v>1</v>
      </c>
      <c r="AQ778" s="15">
        <f t="shared" si="487"/>
        <v>1</v>
      </c>
      <c r="AR778" s="15">
        <f t="shared" si="488"/>
        <v>1</v>
      </c>
      <c r="AS778" s="15">
        <f t="shared" si="489"/>
        <v>1</v>
      </c>
      <c r="AT778" s="15">
        <f t="shared" si="490"/>
        <v>1</v>
      </c>
      <c r="AU778" s="15">
        <f t="shared" si="491"/>
        <v>1</v>
      </c>
      <c r="AV778" s="15">
        <f t="shared" si="492"/>
        <v>1</v>
      </c>
      <c r="AW778" s="15">
        <f t="shared" si="493"/>
        <v>1</v>
      </c>
      <c r="AX778" s="15">
        <f t="shared" si="494"/>
        <v>1</v>
      </c>
      <c r="AY778" s="15">
        <f t="shared" si="495"/>
        <v>1</v>
      </c>
      <c r="AZ778" s="15">
        <f t="shared" si="496"/>
        <v>1</v>
      </c>
      <c r="BA778" s="15">
        <f t="shared" si="497"/>
        <v>1</v>
      </c>
      <c r="BB778" s="15">
        <f t="shared" si="504"/>
        <v>0</v>
      </c>
      <c r="BC778" s="15" t="str">
        <f t="shared" si="505"/>
        <v/>
      </c>
      <c r="BD778" s="15" t="str">
        <f t="shared" si="506"/>
        <v/>
      </c>
      <c r="BE778" s="11" t="e">
        <f t="shared" si="498"/>
        <v>#VALUE!</v>
      </c>
      <c r="BF778" s="11" t="e">
        <f t="shared" si="499"/>
        <v>#VALUE!</v>
      </c>
      <c r="BG778" s="11" t="e">
        <f t="shared" si="500"/>
        <v>#VALUE!</v>
      </c>
      <c r="BH778" t="str">
        <f t="shared" si="501"/>
        <v/>
      </c>
      <c r="BI778" t="str" cm="1">
        <f t="array" ref="BI778">_xlfn.IFS(
  L778&gt;0,"Critical Fail",
  M778&gt;0,"Important (Coaching)",
  TRUE,"Clean Pass"
)</f>
        <v>Clean Pass</v>
      </c>
      <c r="BJ778" t="str">
        <f t="shared" si="502"/>
        <v>NA</v>
      </c>
    </row>
    <row r="779" spans="1:62" x14ac:dyDescent="0.3">
      <c r="A779">
        <v>735381</v>
      </c>
      <c r="K779" t="str">
        <f t="shared" si="503"/>
        <v>Pass</v>
      </c>
      <c r="L779" s="15">
        <f t="shared" si="468"/>
        <v>0</v>
      </c>
      <c r="M779" s="15">
        <f t="shared" si="469"/>
        <v>0</v>
      </c>
      <c r="Z779" s="15">
        <f t="shared" si="470"/>
        <v>1</v>
      </c>
      <c r="AA779" s="15">
        <f t="shared" si="471"/>
        <v>1</v>
      </c>
      <c r="AB779" s="15">
        <f t="shared" si="472"/>
        <v>1</v>
      </c>
      <c r="AC779" s="15">
        <f t="shared" si="473"/>
        <v>1</v>
      </c>
      <c r="AD779" s="15">
        <f t="shared" si="474"/>
        <v>1</v>
      </c>
      <c r="AE779" s="15">
        <f t="shared" si="475"/>
        <v>1</v>
      </c>
      <c r="AF779" s="15">
        <f t="shared" si="476"/>
        <v>1</v>
      </c>
      <c r="AG779" s="15">
        <f t="shared" si="477"/>
        <v>1</v>
      </c>
      <c r="AH779" s="15">
        <f t="shared" si="478"/>
        <v>1</v>
      </c>
      <c r="AI779" s="15">
        <f t="shared" si="479"/>
        <v>1</v>
      </c>
      <c r="AJ779" s="15">
        <f t="shared" si="480"/>
        <v>1</v>
      </c>
      <c r="AK779" s="15">
        <f t="shared" si="481"/>
        <v>1</v>
      </c>
      <c r="AL779" s="15">
        <f t="shared" si="482"/>
        <v>1</v>
      </c>
      <c r="AM779" s="15">
        <f t="shared" si="483"/>
        <v>1</v>
      </c>
      <c r="AN779" s="15">
        <f t="shared" si="484"/>
        <v>1</v>
      </c>
      <c r="AO779" s="15">
        <f t="shared" si="485"/>
        <v>1</v>
      </c>
      <c r="AP779" s="15">
        <f t="shared" si="486"/>
        <v>1</v>
      </c>
      <c r="AQ779" s="15">
        <f t="shared" si="487"/>
        <v>1</v>
      </c>
      <c r="AR779" s="15">
        <f t="shared" si="488"/>
        <v>1</v>
      </c>
      <c r="AS779" s="15">
        <f t="shared" si="489"/>
        <v>1</v>
      </c>
      <c r="AT779" s="15">
        <f t="shared" si="490"/>
        <v>1</v>
      </c>
      <c r="AU779" s="15">
        <f t="shared" si="491"/>
        <v>1</v>
      </c>
      <c r="AV779" s="15">
        <f t="shared" si="492"/>
        <v>1</v>
      </c>
      <c r="AW779" s="15">
        <f t="shared" si="493"/>
        <v>1</v>
      </c>
      <c r="AX779" s="15">
        <f t="shared" si="494"/>
        <v>1</v>
      </c>
      <c r="AY779" s="15">
        <f t="shared" si="495"/>
        <v>1</v>
      </c>
      <c r="AZ779" s="15">
        <f t="shared" si="496"/>
        <v>1</v>
      </c>
      <c r="BA779" s="15">
        <f t="shared" si="497"/>
        <v>1</v>
      </c>
      <c r="BB779" s="15">
        <f t="shared" si="504"/>
        <v>0</v>
      </c>
      <c r="BC779" s="15" t="str">
        <f t="shared" si="505"/>
        <v/>
      </c>
      <c r="BD779" s="15" t="str">
        <f t="shared" si="506"/>
        <v/>
      </c>
      <c r="BE779" s="11" t="e">
        <f t="shared" si="498"/>
        <v>#VALUE!</v>
      </c>
      <c r="BF779" s="11" t="e">
        <f t="shared" si="499"/>
        <v>#VALUE!</v>
      </c>
      <c r="BG779" s="11" t="e">
        <f t="shared" si="500"/>
        <v>#VALUE!</v>
      </c>
      <c r="BH779" t="str">
        <f t="shared" si="501"/>
        <v/>
      </c>
      <c r="BI779" t="str" cm="1">
        <f t="array" ref="BI779">_xlfn.IFS(
  L779&gt;0,"Critical Fail",
  M779&gt;0,"Important (Coaching)",
  TRUE,"Clean Pass"
)</f>
        <v>Clean Pass</v>
      </c>
      <c r="BJ779" t="str">
        <f t="shared" si="502"/>
        <v>NA</v>
      </c>
    </row>
    <row r="780" spans="1:62" x14ac:dyDescent="0.3">
      <c r="A780">
        <v>977722</v>
      </c>
      <c r="K780" t="str">
        <f t="shared" si="503"/>
        <v>Pass</v>
      </c>
      <c r="L780" s="15">
        <f t="shared" si="468"/>
        <v>0</v>
      </c>
      <c r="M780" s="15">
        <f t="shared" si="469"/>
        <v>0</v>
      </c>
      <c r="Z780" s="15">
        <f t="shared" si="470"/>
        <v>1</v>
      </c>
      <c r="AA780" s="15">
        <f t="shared" si="471"/>
        <v>1</v>
      </c>
      <c r="AB780" s="15">
        <f t="shared" si="472"/>
        <v>1</v>
      </c>
      <c r="AC780" s="15">
        <f t="shared" si="473"/>
        <v>1</v>
      </c>
      <c r="AD780" s="15">
        <f t="shared" si="474"/>
        <v>1</v>
      </c>
      <c r="AE780" s="15">
        <f t="shared" si="475"/>
        <v>1</v>
      </c>
      <c r="AF780" s="15">
        <f t="shared" si="476"/>
        <v>1</v>
      </c>
      <c r="AG780" s="15">
        <f t="shared" si="477"/>
        <v>1</v>
      </c>
      <c r="AH780" s="15">
        <f t="shared" si="478"/>
        <v>1</v>
      </c>
      <c r="AI780" s="15">
        <f t="shared" si="479"/>
        <v>1</v>
      </c>
      <c r="AJ780" s="15">
        <f t="shared" si="480"/>
        <v>1</v>
      </c>
      <c r="AK780" s="15">
        <f t="shared" si="481"/>
        <v>1</v>
      </c>
      <c r="AL780" s="15">
        <f t="shared" si="482"/>
        <v>1</v>
      </c>
      <c r="AM780" s="15">
        <f t="shared" si="483"/>
        <v>1</v>
      </c>
      <c r="AN780" s="15">
        <f t="shared" si="484"/>
        <v>1</v>
      </c>
      <c r="AO780" s="15">
        <f t="shared" si="485"/>
        <v>1</v>
      </c>
      <c r="AP780" s="15">
        <f t="shared" si="486"/>
        <v>1</v>
      </c>
      <c r="AQ780" s="15">
        <f t="shared" si="487"/>
        <v>1</v>
      </c>
      <c r="AR780" s="15">
        <f t="shared" si="488"/>
        <v>1</v>
      </c>
      <c r="AS780" s="15">
        <f t="shared" si="489"/>
        <v>1</v>
      </c>
      <c r="AT780" s="15">
        <f t="shared" si="490"/>
        <v>1</v>
      </c>
      <c r="AU780" s="15">
        <f t="shared" si="491"/>
        <v>1</v>
      </c>
      <c r="AV780" s="15">
        <f t="shared" si="492"/>
        <v>1</v>
      </c>
      <c r="AW780" s="15">
        <f t="shared" si="493"/>
        <v>1</v>
      </c>
      <c r="AX780" s="15">
        <f t="shared" si="494"/>
        <v>1</v>
      </c>
      <c r="AY780" s="15">
        <f t="shared" si="495"/>
        <v>1</v>
      </c>
      <c r="AZ780" s="15">
        <f t="shared" si="496"/>
        <v>1</v>
      </c>
      <c r="BA780" s="15">
        <f t="shared" si="497"/>
        <v>1</v>
      </c>
      <c r="BB780" s="15">
        <f t="shared" si="504"/>
        <v>0</v>
      </c>
      <c r="BC780" s="15" t="str">
        <f t="shared" si="505"/>
        <v/>
      </c>
      <c r="BD780" s="15" t="str">
        <f t="shared" si="506"/>
        <v/>
      </c>
      <c r="BE780" s="11" t="e">
        <f t="shared" si="498"/>
        <v>#VALUE!</v>
      </c>
      <c r="BF780" s="11" t="e">
        <f t="shared" si="499"/>
        <v>#VALUE!</v>
      </c>
      <c r="BG780" s="11" t="e">
        <f t="shared" si="500"/>
        <v>#VALUE!</v>
      </c>
      <c r="BH780" t="str">
        <f t="shared" si="501"/>
        <v/>
      </c>
      <c r="BI780" t="str" cm="1">
        <f t="array" ref="BI780">_xlfn.IFS(
  L780&gt;0,"Critical Fail",
  M780&gt;0,"Important (Coaching)",
  TRUE,"Clean Pass"
)</f>
        <v>Clean Pass</v>
      </c>
      <c r="BJ780" t="str">
        <f t="shared" si="502"/>
        <v>NA</v>
      </c>
    </row>
    <row r="781" spans="1:62" x14ac:dyDescent="0.3">
      <c r="A781">
        <v>576704</v>
      </c>
      <c r="K781" t="str">
        <f t="shared" si="503"/>
        <v>Pass</v>
      </c>
      <c r="L781" s="15">
        <f t="shared" si="468"/>
        <v>0</v>
      </c>
      <c r="M781" s="15">
        <f t="shared" si="469"/>
        <v>0</v>
      </c>
      <c r="Z781" s="15">
        <f t="shared" si="470"/>
        <v>1</v>
      </c>
      <c r="AA781" s="15">
        <f t="shared" si="471"/>
        <v>1</v>
      </c>
      <c r="AB781" s="15">
        <f t="shared" si="472"/>
        <v>1</v>
      </c>
      <c r="AC781" s="15">
        <f t="shared" si="473"/>
        <v>1</v>
      </c>
      <c r="AD781" s="15">
        <f t="shared" si="474"/>
        <v>1</v>
      </c>
      <c r="AE781" s="15">
        <f t="shared" si="475"/>
        <v>1</v>
      </c>
      <c r="AF781" s="15">
        <f t="shared" si="476"/>
        <v>1</v>
      </c>
      <c r="AG781" s="15">
        <f t="shared" si="477"/>
        <v>1</v>
      </c>
      <c r="AH781" s="15">
        <f t="shared" si="478"/>
        <v>1</v>
      </c>
      <c r="AI781" s="15">
        <f t="shared" si="479"/>
        <v>1</v>
      </c>
      <c r="AJ781" s="15">
        <f t="shared" si="480"/>
        <v>1</v>
      </c>
      <c r="AK781" s="15">
        <f t="shared" si="481"/>
        <v>1</v>
      </c>
      <c r="AL781" s="15">
        <f t="shared" si="482"/>
        <v>1</v>
      </c>
      <c r="AM781" s="15">
        <f t="shared" si="483"/>
        <v>1</v>
      </c>
      <c r="AN781" s="15">
        <f t="shared" si="484"/>
        <v>1</v>
      </c>
      <c r="AO781" s="15">
        <f t="shared" si="485"/>
        <v>1</v>
      </c>
      <c r="AP781" s="15">
        <f t="shared" si="486"/>
        <v>1</v>
      </c>
      <c r="AQ781" s="15">
        <f t="shared" si="487"/>
        <v>1</v>
      </c>
      <c r="AR781" s="15">
        <f t="shared" si="488"/>
        <v>1</v>
      </c>
      <c r="AS781" s="15">
        <f t="shared" si="489"/>
        <v>1</v>
      </c>
      <c r="AT781" s="15">
        <f t="shared" si="490"/>
        <v>1</v>
      </c>
      <c r="AU781" s="15">
        <f t="shared" si="491"/>
        <v>1</v>
      </c>
      <c r="AV781" s="15">
        <f t="shared" si="492"/>
        <v>1</v>
      </c>
      <c r="AW781" s="15">
        <f t="shared" si="493"/>
        <v>1</v>
      </c>
      <c r="AX781" s="15">
        <f t="shared" si="494"/>
        <v>1</v>
      </c>
      <c r="AY781" s="15">
        <f t="shared" si="495"/>
        <v>1</v>
      </c>
      <c r="AZ781" s="15">
        <f t="shared" si="496"/>
        <v>1</v>
      </c>
      <c r="BA781" s="15">
        <f t="shared" si="497"/>
        <v>1</v>
      </c>
      <c r="BB781" s="15">
        <f t="shared" si="504"/>
        <v>0</v>
      </c>
      <c r="BC781" s="15" t="str">
        <f t="shared" si="505"/>
        <v/>
      </c>
      <c r="BD781" s="15" t="str">
        <f t="shared" si="506"/>
        <v/>
      </c>
      <c r="BE781" s="11" t="e">
        <f t="shared" si="498"/>
        <v>#VALUE!</v>
      </c>
      <c r="BF781" s="11" t="e">
        <f t="shared" si="499"/>
        <v>#VALUE!</v>
      </c>
      <c r="BG781" s="11" t="e">
        <f t="shared" si="500"/>
        <v>#VALUE!</v>
      </c>
      <c r="BH781" t="str">
        <f t="shared" si="501"/>
        <v/>
      </c>
      <c r="BI781" t="str" cm="1">
        <f t="array" ref="BI781">_xlfn.IFS(
  L781&gt;0,"Critical Fail",
  M781&gt;0,"Important (Coaching)",
  TRUE,"Clean Pass"
)</f>
        <v>Clean Pass</v>
      </c>
      <c r="BJ781" t="str">
        <f t="shared" si="502"/>
        <v>NA</v>
      </c>
    </row>
    <row r="782" spans="1:62" x14ac:dyDescent="0.3">
      <c r="A782">
        <v>384981</v>
      </c>
      <c r="K782" t="str">
        <f t="shared" si="503"/>
        <v>Pass</v>
      </c>
      <c r="L782" s="15">
        <f t="shared" si="468"/>
        <v>0</v>
      </c>
      <c r="M782" s="15">
        <f t="shared" si="469"/>
        <v>0</v>
      </c>
      <c r="Z782" s="15">
        <f t="shared" si="470"/>
        <v>1</v>
      </c>
      <c r="AA782" s="15">
        <f t="shared" si="471"/>
        <v>1</v>
      </c>
      <c r="AB782" s="15">
        <f t="shared" si="472"/>
        <v>1</v>
      </c>
      <c r="AC782" s="15">
        <f t="shared" si="473"/>
        <v>1</v>
      </c>
      <c r="AD782" s="15">
        <f t="shared" si="474"/>
        <v>1</v>
      </c>
      <c r="AE782" s="15">
        <f t="shared" si="475"/>
        <v>1</v>
      </c>
      <c r="AF782" s="15">
        <f t="shared" si="476"/>
        <v>1</v>
      </c>
      <c r="AG782" s="15">
        <f t="shared" si="477"/>
        <v>1</v>
      </c>
      <c r="AH782" s="15">
        <f t="shared" si="478"/>
        <v>1</v>
      </c>
      <c r="AI782" s="15">
        <f t="shared" si="479"/>
        <v>1</v>
      </c>
      <c r="AJ782" s="15">
        <f t="shared" si="480"/>
        <v>1</v>
      </c>
      <c r="AK782" s="15">
        <f t="shared" si="481"/>
        <v>1</v>
      </c>
      <c r="AL782" s="15">
        <f t="shared" si="482"/>
        <v>1</v>
      </c>
      <c r="AM782" s="15">
        <f t="shared" si="483"/>
        <v>1</v>
      </c>
      <c r="AN782" s="15">
        <f t="shared" si="484"/>
        <v>1</v>
      </c>
      <c r="AO782" s="15">
        <f t="shared" si="485"/>
        <v>1</v>
      </c>
      <c r="AP782" s="15">
        <f t="shared" si="486"/>
        <v>1</v>
      </c>
      <c r="AQ782" s="15">
        <f t="shared" si="487"/>
        <v>1</v>
      </c>
      <c r="AR782" s="15">
        <f t="shared" si="488"/>
        <v>1</v>
      </c>
      <c r="AS782" s="15">
        <f t="shared" si="489"/>
        <v>1</v>
      </c>
      <c r="AT782" s="15">
        <f t="shared" si="490"/>
        <v>1</v>
      </c>
      <c r="AU782" s="15">
        <f t="shared" si="491"/>
        <v>1</v>
      </c>
      <c r="AV782" s="15">
        <f t="shared" si="492"/>
        <v>1</v>
      </c>
      <c r="AW782" s="15">
        <f t="shared" si="493"/>
        <v>1</v>
      </c>
      <c r="AX782" s="15">
        <f t="shared" si="494"/>
        <v>1</v>
      </c>
      <c r="AY782" s="15">
        <f t="shared" si="495"/>
        <v>1</v>
      </c>
      <c r="AZ782" s="15">
        <f t="shared" si="496"/>
        <v>1</v>
      </c>
      <c r="BA782" s="15">
        <f t="shared" si="497"/>
        <v>1</v>
      </c>
      <c r="BB782" s="15">
        <f t="shared" si="504"/>
        <v>0</v>
      </c>
      <c r="BC782" s="15" t="str">
        <f t="shared" si="505"/>
        <v/>
      </c>
      <c r="BD782" s="15" t="str">
        <f t="shared" si="506"/>
        <v/>
      </c>
      <c r="BE782" s="11" t="e">
        <f t="shared" si="498"/>
        <v>#VALUE!</v>
      </c>
      <c r="BF782" s="11" t="e">
        <f t="shared" si="499"/>
        <v>#VALUE!</v>
      </c>
      <c r="BG782" s="11" t="e">
        <f t="shared" si="500"/>
        <v>#VALUE!</v>
      </c>
      <c r="BH782" t="str">
        <f t="shared" si="501"/>
        <v/>
      </c>
      <c r="BI782" t="str" cm="1">
        <f t="array" ref="BI782">_xlfn.IFS(
  L782&gt;0,"Critical Fail",
  M782&gt;0,"Important (Coaching)",
  TRUE,"Clean Pass"
)</f>
        <v>Clean Pass</v>
      </c>
      <c r="BJ782" t="str">
        <f t="shared" si="502"/>
        <v>NA</v>
      </c>
    </row>
    <row r="783" spans="1:62" x14ac:dyDescent="0.3">
      <c r="A783">
        <v>388417</v>
      </c>
      <c r="K783" t="str">
        <f t="shared" si="503"/>
        <v>Pass</v>
      </c>
      <c r="L783" s="15">
        <f t="shared" si="468"/>
        <v>0</v>
      </c>
      <c r="M783" s="15">
        <f t="shared" si="469"/>
        <v>0</v>
      </c>
      <c r="Z783" s="15">
        <f t="shared" si="470"/>
        <v>1</v>
      </c>
      <c r="AA783" s="15">
        <f t="shared" si="471"/>
        <v>1</v>
      </c>
      <c r="AB783" s="15">
        <f t="shared" si="472"/>
        <v>1</v>
      </c>
      <c r="AC783" s="15">
        <f t="shared" si="473"/>
        <v>1</v>
      </c>
      <c r="AD783" s="15">
        <f t="shared" si="474"/>
        <v>1</v>
      </c>
      <c r="AE783" s="15">
        <f t="shared" si="475"/>
        <v>1</v>
      </c>
      <c r="AF783" s="15">
        <f t="shared" si="476"/>
        <v>1</v>
      </c>
      <c r="AG783" s="15">
        <f t="shared" si="477"/>
        <v>1</v>
      </c>
      <c r="AH783" s="15">
        <f t="shared" si="478"/>
        <v>1</v>
      </c>
      <c r="AI783" s="15">
        <f t="shared" si="479"/>
        <v>1</v>
      </c>
      <c r="AJ783" s="15">
        <f t="shared" si="480"/>
        <v>1</v>
      </c>
      <c r="AK783" s="15">
        <f t="shared" si="481"/>
        <v>1</v>
      </c>
      <c r="AL783" s="15">
        <f t="shared" si="482"/>
        <v>1</v>
      </c>
      <c r="AM783" s="15">
        <f t="shared" si="483"/>
        <v>1</v>
      </c>
      <c r="AN783" s="15">
        <f t="shared" si="484"/>
        <v>1</v>
      </c>
      <c r="AO783" s="15">
        <f t="shared" si="485"/>
        <v>1</v>
      </c>
      <c r="AP783" s="15">
        <f t="shared" si="486"/>
        <v>1</v>
      </c>
      <c r="AQ783" s="15">
        <f t="shared" si="487"/>
        <v>1</v>
      </c>
      <c r="AR783" s="15">
        <f t="shared" si="488"/>
        <v>1</v>
      </c>
      <c r="AS783" s="15">
        <f t="shared" si="489"/>
        <v>1</v>
      </c>
      <c r="AT783" s="15">
        <f t="shared" si="490"/>
        <v>1</v>
      </c>
      <c r="AU783" s="15">
        <f t="shared" si="491"/>
        <v>1</v>
      </c>
      <c r="AV783" s="15">
        <f t="shared" si="492"/>
        <v>1</v>
      </c>
      <c r="AW783" s="15">
        <f t="shared" si="493"/>
        <v>1</v>
      </c>
      <c r="AX783" s="15">
        <f t="shared" si="494"/>
        <v>1</v>
      </c>
      <c r="AY783" s="15">
        <f t="shared" si="495"/>
        <v>1</v>
      </c>
      <c r="AZ783" s="15">
        <f t="shared" si="496"/>
        <v>1</v>
      </c>
      <c r="BA783" s="15">
        <f t="shared" si="497"/>
        <v>1</v>
      </c>
      <c r="BB783" s="15">
        <f t="shared" si="504"/>
        <v>0</v>
      </c>
      <c r="BC783" s="15" t="str">
        <f t="shared" si="505"/>
        <v/>
      </c>
      <c r="BD783" s="15" t="str">
        <f t="shared" si="506"/>
        <v/>
      </c>
      <c r="BE783" s="11" t="e">
        <f t="shared" si="498"/>
        <v>#VALUE!</v>
      </c>
      <c r="BF783" s="11" t="e">
        <f t="shared" si="499"/>
        <v>#VALUE!</v>
      </c>
      <c r="BG783" s="11" t="e">
        <f t="shared" si="500"/>
        <v>#VALUE!</v>
      </c>
      <c r="BH783" t="str">
        <f t="shared" si="501"/>
        <v/>
      </c>
      <c r="BI783" t="str" cm="1">
        <f t="array" ref="BI783">_xlfn.IFS(
  L783&gt;0,"Critical Fail",
  M783&gt;0,"Important (Coaching)",
  TRUE,"Clean Pass"
)</f>
        <v>Clean Pass</v>
      </c>
      <c r="BJ783" t="str">
        <f t="shared" si="502"/>
        <v>NA</v>
      </c>
    </row>
    <row r="784" spans="1:62" x14ac:dyDescent="0.3">
      <c r="A784">
        <v>573361</v>
      </c>
      <c r="K784" t="str">
        <f t="shared" si="503"/>
        <v>Pass</v>
      </c>
      <c r="L784" s="15">
        <f t="shared" si="468"/>
        <v>0</v>
      </c>
      <c r="M784" s="15">
        <f t="shared" si="469"/>
        <v>0</v>
      </c>
      <c r="Z784" s="15">
        <f t="shared" si="470"/>
        <v>1</v>
      </c>
      <c r="AA784" s="15">
        <f t="shared" si="471"/>
        <v>1</v>
      </c>
      <c r="AB784" s="15">
        <f t="shared" si="472"/>
        <v>1</v>
      </c>
      <c r="AC784" s="15">
        <f t="shared" si="473"/>
        <v>1</v>
      </c>
      <c r="AD784" s="15">
        <f t="shared" si="474"/>
        <v>1</v>
      </c>
      <c r="AE784" s="15">
        <f t="shared" si="475"/>
        <v>1</v>
      </c>
      <c r="AF784" s="15">
        <f t="shared" si="476"/>
        <v>1</v>
      </c>
      <c r="AG784" s="15">
        <f t="shared" si="477"/>
        <v>1</v>
      </c>
      <c r="AH784" s="15">
        <f t="shared" si="478"/>
        <v>1</v>
      </c>
      <c r="AI784" s="15">
        <f t="shared" si="479"/>
        <v>1</v>
      </c>
      <c r="AJ784" s="15">
        <f t="shared" si="480"/>
        <v>1</v>
      </c>
      <c r="AK784" s="15">
        <f t="shared" si="481"/>
        <v>1</v>
      </c>
      <c r="AL784" s="15">
        <f t="shared" si="482"/>
        <v>1</v>
      </c>
      <c r="AM784" s="15">
        <f t="shared" si="483"/>
        <v>1</v>
      </c>
      <c r="AN784" s="15">
        <f t="shared" si="484"/>
        <v>1</v>
      </c>
      <c r="AO784" s="15">
        <f t="shared" si="485"/>
        <v>1</v>
      </c>
      <c r="AP784" s="15">
        <f t="shared" si="486"/>
        <v>1</v>
      </c>
      <c r="AQ784" s="15">
        <f t="shared" si="487"/>
        <v>1</v>
      </c>
      <c r="AR784" s="15">
        <f t="shared" si="488"/>
        <v>1</v>
      </c>
      <c r="AS784" s="15">
        <f t="shared" si="489"/>
        <v>1</v>
      </c>
      <c r="AT784" s="15">
        <f t="shared" si="490"/>
        <v>1</v>
      </c>
      <c r="AU784" s="15">
        <f t="shared" si="491"/>
        <v>1</v>
      </c>
      <c r="AV784" s="15">
        <f t="shared" si="492"/>
        <v>1</v>
      </c>
      <c r="AW784" s="15">
        <f t="shared" si="493"/>
        <v>1</v>
      </c>
      <c r="AX784" s="15">
        <f t="shared" si="494"/>
        <v>1</v>
      </c>
      <c r="AY784" s="15">
        <f t="shared" si="495"/>
        <v>1</v>
      </c>
      <c r="AZ784" s="15">
        <f t="shared" si="496"/>
        <v>1</v>
      </c>
      <c r="BA784" s="15">
        <f t="shared" si="497"/>
        <v>1</v>
      </c>
      <c r="BB784" s="15">
        <f t="shared" si="504"/>
        <v>0</v>
      </c>
      <c r="BC784" s="15" t="str">
        <f t="shared" si="505"/>
        <v/>
      </c>
      <c r="BD784" s="15" t="str">
        <f t="shared" si="506"/>
        <v/>
      </c>
      <c r="BE784" s="11" t="e">
        <f t="shared" si="498"/>
        <v>#VALUE!</v>
      </c>
      <c r="BF784" s="11" t="e">
        <f t="shared" si="499"/>
        <v>#VALUE!</v>
      </c>
      <c r="BG784" s="11" t="e">
        <f t="shared" si="500"/>
        <v>#VALUE!</v>
      </c>
      <c r="BH784" t="str">
        <f t="shared" si="501"/>
        <v/>
      </c>
      <c r="BI784" t="str" cm="1">
        <f t="array" ref="BI784">_xlfn.IFS(
  L784&gt;0,"Critical Fail",
  M784&gt;0,"Important (Coaching)",
  TRUE,"Clean Pass"
)</f>
        <v>Clean Pass</v>
      </c>
      <c r="BJ784" t="str">
        <f t="shared" si="502"/>
        <v>NA</v>
      </c>
    </row>
    <row r="785" spans="1:62" x14ac:dyDescent="0.3">
      <c r="A785">
        <v>216051</v>
      </c>
      <c r="K785" t="str">
        <f t="shared" si="503"/>
        <v>Pass</v>
      </c>
      <c r="L785" s="15">
        <f t="shared" si="468"/>
        <v>0</v>
      </c>
      <c r="M785" s="15">
        <f t="shared" si="469"/>
        <v>0</v>
      </c>
      <c r="Z785" s="15">
        <f t="shared" si="470"/>
        <v>1</v>
      </c>
      <c r="AA785" s="15">
        <f t="shared" si="471"/>
        <v>1</v>
      </c>
      <c r="AB785" s="15">
        <f t="shared" si="472"/>
        <v>1</v>
      </c>
      <c r="AC785" s="15">
        <f t="shared" si="473"/>
        <v>1</v>
      </c>
      <c r="AD785" s="15">
        <f t="shared" si="474"/>
        <v>1</v>
      </c>
      <c r="AE785" s="15">
        <f t="shared" si="475"/>
        <v>1</v>
      </c>
      <c r="AF785" s="15">
        <f t="shared" si="476"/>
        <v>1</v>
      </c>
      <c r="AG785" s="15">
        <f t="shared" si="477"/>
        <v>1</v>
      </c>
      <c r="AH785" s="15">
        <f t="shared" si="478"/>
        <v>1</v>
      </c>
      <c r="AI785" s="15">
        <f t="shared" si="479"/>
        <v>1</v>
      </c>
      <c r="AJ785" s="15">
        <f t="shared" si="480"/>
        <v>1</v>
      </c>
      <c r="AK785" s="15">
        <f t="shared" si="481"/>
        <v>1</v>
      </c>
      <c r="AL785" s="15">
        <f t="shared" si="482"/>
        <v>1</v>
      </c>
      <c r="AM785" s="15">
        <f t="shared" si="483"/>
        <v>1</v>
      </c>
      <c r="AN785" s="15">
        <f t="shared" si="484"/>
        <v>1</v>
      </c>
      <c r="AO785" s="15">
        <f t="shared" si="485"/>
        <v>1</v>
      </c>
      <c r="AP785" s="15">
        <f t="shared" si="486"/>
        <v>1</v>
      </c>
      <c r="AQ785" s="15">
        <f t="shared" si="487"/>
        <v>1</v>
      </c>
      <c r="AR785" s="15">
        <f t="shared" si="488"/>
        <v>1</v>
      </c>
      <c r="AS785" s="15">
        <f t="shared" si="489"/>
        <v>1</v>
      </c>
      <c r="AT785" s="15">
        <f t="shared" si="490"/>
        <v>1</v>
      </c>
      <c r="AU785" s="15">
        <f t="shared" si="491"/>
        <v>1</v>
      </c>
      <c r="AV785" s="15">
        <f t="shared" si="492"/>
        <v>1</v>
      </c>
      <c r="AW785" s="15">
        <f t="shared" si="493"/>
        <v>1</v>
      </c>
      <c r="AX785" s="15">
        <f t="shared" si="494"/>
        <v>1</v>
      </c>
      <c r="AY785" s="15">
        <f t="shared" si="495"/>
        <v>1</v>
      </c>
      <c r="AZ785" s="15">
        <f t="shared" si="496"/>
        <v>1</v>
      </c>
      <c r="BA785" s="15">
        <f t="shared" si="497"/>
        <v>1</v>
      </c>
      <c r="BB785" s="15">
        <f t="shared" si="504"/>
        <v>0</v>
      </c>
      <c r="BC785" s="15" t="str">
        <f t="shared" si="505"/>
        <v/>
      </c>
      <c r="BD785" s="15" t="str">
        <f t="shared" si="506"/>
        <v/>
      </c>
      <c r="BE785" s="11" t="e">
        <f t="shared" si="498"/>
        <v>#VALUE!</v>
      </c>
      <c r="BF785" s="11" t="e">
        <f t="shared" si="499"/>
        <v>#VALUE!</v>
      </c>
      <c r="BG785" s="11" t="e">
        <f t="shared" si="500"/>
        <v>#VALUE!</v>
      </c>
      <c r="BH785" t="str">
        <f t="shared" si="501"/>
        <v/>
      </c>
      <c r="BI785" t="str" cm="1">
        <f t="array" ref="BI785">_xlfn.IFS(
  L785&gt;0,"Critical Fail",
  M785&gt;0,"Important (Coaching)",
  TRUE,"Clean Pass"
)</f>
        <v>Clean Pass</v>
      </c>
      <c r="BJ785" t="str">
        <f t="shared" si="502"/>
        <v>NA</v>
      </c>
    </row>
    <row r="786" spans="1:62" x14ac:dyDescent="0.3">
      <c r="A786">
        <v>994716</v>
      </c>
      <c r="K786" t="str">
        <f t="shared" si="503"/>
        <v>Pass</v>
      </c>
      <c r="L786" s="15">
        <f t="shared" si="468"/>
        <v>0</v>
      </c>
      <c r="M786" s="15">
        <f t="shared" si="469"/>
        <v>0</v>
      </c>
      <c r="Z786" s="15">
        <f t="shared" si="470"/>
        <v>1</v>
      </c>
      <c r="AA786" s="15">
        <f t="shared" si="471"/>
        <v>1</v>
      </c>
      <c r="AB786" s="15">
        <f t="shared" si="472"/>
        <v>1</v>
      </c>
      <c r="AC786" s="15">
        <f t="shared" si="473"/>
        <v>1</v>
      </c>
      <c r="AD786" s="15">
        <f t="shared" si="474"/>
        <v>1</v>
      </c>
      <c r="AE786" s="15">
        <f t="shared" si="475"/>
        <v>1</v>
      </c>
      <c r="AF786" s="15">
        <f t="shared" si="476"/>
        <v>1</v>
      </c>
      <c r="AG786" s="15">
        <f t="shared" si="477"/>
        <v>1</v>
      </c>
      <c r="AH786" s="15">
        <f t="shared" si="478"/>
        <v>1</v>
      </c>
      <c r="AI786" s="15">
        <f t="shared" si="479"/>
        <v>1</v>
      </c>
      <c r="AJ786" s="15">
        <f t="shared" si="480"/>
        <v>1</v>
      </c>
      <c r="AK786" s="15">
        <f t="shared" si="481"/>
        <v>1</v>
      </c>
      <c r="AL786" s="15">
        <f t="shared" si="482"/>
        <v>1</v>
      </c>
      <c r="AM786" s="15">
        <f t="shared" si="483"/>
        <v>1</v>
      </c>
      <c r="AN786" s="15">
        <f t="shared" si="484"/>
        <v>1</v>
      </c>
      <c r="AO786" s="15">
        <f t="shared" si="485"/>
        <v>1</v>
      </c>
      <c r="AP786" s="15">
        <f t="shared" si="486"/>
        <v>1</v>
      </c>
      <c r="AQ786" s="15">
        <f t="shared" si="487"/>
        <v>1</v>
      </c>
      <c r="AR786" s="15">
        <f t="shared" si="488"/>
        <v>1</v>
      </c>
      <c r="AS786" s="15">
        <f t="shared" si="489"/>
        <v>1</v>
      </c>
      <c r="AT786" s="15">
        <f t="shared" si="490"/>
        <v>1</v>
      </c>
      <c r="AU786" s="15">
        <f t="shared" si="491"/>
        <v>1</v>
      </c>
      <c r="AV786" s="15">
        <f t="shared" si="492"/>
        <v>1</v>
      </c>
      <c r="AW786" s="15">
        <f t="shared" si="493"/>
        <v>1</v>
      </c>
      <c r="AX786" s="15">
        <f t="shared" si="494"/>
        <v>1</v>
      </c>
      <c r="AY786" s="15">
        <f t="shared" si="495"/>
        <v>1</v>
      </c>
      <c r="AZ786" s="15">
        <f t="shared" si="496"/>
        <v>1</v>
      </c>
      <c r="BA786" s="15">
        <f t="shared" si="497"/>
        <v>1</v>
      </c>
      <c r="BB786" s="15">
        <f t="shared" si="504"/>
        <v>0</v>
      </c>
      <c r="BC786" s="15" t="str">
        <f t="shared" si="505"/>
        <v/>
      </c>
      <c r="BD786" s="15" t="str">
        <f t="shared" si="506"/>
        <v/>
      </c>
      <c r="BE786" s="11" t="e">
        <f t="shared" si="498"/>
        <v>#VALUE!</v>
      </c>
      <c r="BF786" s="11" t="e">
        <f t="shared" si="499"/>
        <v>#VALUE!</v>
      </c>
      <c r="BG786" s="11" t="e">
        <f t="shared" si="500"/>
        <v>#VALUE!</v>
      </c>
      <c r="BH786" t="str">
        <f t="shared" si="501"/>
        <v/>
      </c>
      <c r="BI786" t="str" cm="1">
        <f t="array" ref="BI786">_xlfn.IFS(
  L786&gt;0,"Critical Fail",
  M786&gt;0,"Important (Coaching)",
  TRUE,"Clean Pass"
)</f>
        <v>Clean Pass</v>
      </c>
      <c r="BJ786" t="str">
        <f t="shared" si="502"/>
        <v>NA</v>
      </c>
    </row>
    <row r="787" spans="1:62" x14ac:dyDescent="0.3">
      <c r="A787">
        <v>268023</v>
      </c>
      <c r="K787" t="str">
        <f t="shared" si="503"/>
        <v>Pass</v>
      </c>
      <c r="L787" s="15">
        <f t="shared" si="468"/>
        <v>0</v>
      </c>
      <c r="M787" s="15">
        <f t="shared" si="469"/>
        <v>0</v>
      </c>
      <c r="Z787" s="15">
        <f t="shared" si="470"/>
        <v>1</v>
      </c>
      <c r="AA787" s="15">
        <f t="shared" si="471"/>
        <v>1</v>
      </c>
      <c r="AB787" s="15">
        <f t="shared" si="472"/>
        <v>1</v>
      </c>
      <c r="AC787" s="15">
        <f t="shared" si="473"/>
        <v>1</v>
      </c>
      <c r="AD787" s="15">
        <f t="shared" si="474"/>
        <v>1</v>
      </c>
      <c r="AE787" s="15">
        <f t="shared" si="475"/>
        <v>1</v>
      </c>
      <c r="AF787" s="15">
        <f t="shared" si="476"/>
        <v>1</v>
      </c>
      <c r="AG787" s="15">
        <f t="shared" si="477"/>
        <v>1</v>
      </c>
      <c r="AH787" s="15">
        <f t="shared" si="478"/>
        <v>1</v>
      </c>
      <c r="AI787" s="15">
        <f t="shared" si="479"/>
        <v>1</v>
      </c>
      <c r="AJ787" s="15">
        <f t="shared" si="480"/>
        <v>1</v>
      </c>
      <c r="AK787" s="15">
        <f t="shared" si="481"/>
        <v>1</v>
      </c>
      <c r="AL787" s="15">
        <f t="shared" si="482"/>
        <v>1</v>
      </c>
      <c r="AM787" s="15">
        <f t="shared" si="483"/>
        <v>1</v>
      </c>
      <c r="AN787" s="15">
        <f t="shared" si="484"/>
        <v>1</v>
      </c>
      <c r="AO787" s="15">
        <f t="shared" si="485"/>
        <v>1</v>
      </c>
      <c r="AP787" s="15">
        <f t="shared" si="486"/>
        <v>1</v>
      </c>
      <c r="AQ787" s="15">
        <f t="shared" si="487"/>
        <v>1</v>
      </c>
      <c r="AR787" s="15">
        <f t="shared" si="488"/>
        <v>1</v>
      </c>
      <c r="AS787" s="15">
        <f t="shared" si="489"/>
        <v>1</v>
      </c>
      <c r="AT787" s="15">
        <f t="shared" si="490"/>
        <v>1</v>
      </c>
      <c r="AU787" s="15">
        <f t="shared" si="491"/>
        <v>1</v>
      </c>
      <c r="AV787" s="15">
        <f t="shared" si="492"/>
        <v>1</v>
      </c>
      <c r="AW787" s="15">
        <f t="shared" si="493"/>
        <v>1</v>
      </c>
      <c r="AX787" s="15">
        <f t="shared" si="494"/>
        <v>1</v>
      </c>
      <c r="AY787" s="15">
        <f t="shared" si="495"/>
        <v>1</v>
      </c>
      <c r="AZ787" s="15">
        <f t="shared" si="496"/>
        <v>1</v>
      </c>
      <c r="BA787" s="15">
        <f t="shared" si="497"/>
        <v>1</v>
      </c>
      <c r="BB787" s="15">
        <f t="shared" si="504"/>
        <v>0</v>
      </c>
      <c r="BC787" s="15" t="str">
        <f t="shared" si="505"/>
        <v/>
      </c>
      <c r="BD787" s="15" t="str">
        <f t="shared" si="506"/>
        <v/>
      </c>
      <c r="BE787" s="11" t="e">
        <f t="shared" si="498"/>
        <v>#VALUE!</v>
      </c>
      <c r="BF787" s="11" t="e">
        <f t="shared" si="499"/>
        <v>#VALUE!</v>
      </c>
      <c r="BG787" s="11" t="e">
        <f t="shared" si="500"/>
        <v>#VALUE!</v>
      </c>
      <c r="BH787" t="str">
        <f t="shared" si="501"/>
        <v/>
      </c>
      <c r="BI787" t="str" cm="1">
        <f t="array" ref="BI787">_xlfn.IFS(
  L787&gt;0,"Critical Fail",
  M787&gt;0,"Important (Coaching)",
  TRUE,"Clean Pass"
)</f>
        <v>Clean Pass</v>
      </c>
      <c r="BJ787" t="str">
        <f t="shared" si="502"/>
        <v>NA</v>
      </c>
    </row>
    <row r="788" spans="1:62" x14ac:dyDescent="0.3">
      <c r="A788">
        <v>989851</v>
      </c>
      <c r="K788" t="str">
        <f t="shared" si="503"/>
        <v>Pass</v>
      </c>
      <c r="L788" s="15">
        <f t="shared" si="468"/>
        <v>0</v>
      </c>
      <c r="M788" s="15">
        <f t="shared" si="469"/>
        <v>0</v>
      </c>
      <c r="Z788" s="15">
        <f t="shared" si="470"/>
        <v>1</v>
      </c>
      <c r="AA788" s="15">
        <f t="shared" si="471"/>
        <v>1</v>
      </c>
      <c r="AB788" s="15">
        <f t="shared" si="472"/>
        <v>1</v>
      </c>
      <c r="AC788" s="15">
        <f t="shared" si="473"/>
        <v>1</v>
      </c>
      <c r="AD788" s="15">
        <f t="shared" si="474"/>
        <v>1</v>
      </c>
      <c r="AE788" s="15">
        <f t="shared" si="475"/>
        <v>1</v>
      </c>
      <c r="AF788" s="15">
        <f t="shared" si="476"/>
        <v>1</v>
      </c>
      <c r="AG788" s="15">
        <f t="shared" si="477"/>
        <v>1</v>
      </c>
      <c r="AH788" s="15">
        <f t="shared" si="478"/>
        <v>1</v>
      </c>
      <c r="AI788" s="15">
        <f t="shared" si="479"/>
        <v>1</v>
      </c>
      <c r="AJ788" s="15">
        <f t="shared" si="480"/>
        <v>1</v>
      </c>
      <c r="AK788" s="15">
        <f t="shared" si="481"/>
        <v>1</v>
      </c>
      <c r="AL788" s="15">
        <f t="shared" si="482"/>
        <v>1</v>
      </c>
      <c r="AM788" s="15">
        <f t="shared" si="483"/>
        <v>1</v>
      </c>
      <c r="AN788" s="15">
        <f t="shared" si="484"/>
        <v>1</v>
      </c>
      <c r="AO788" s="15">
        <f t="shared" si="485"/>
        <v>1</v>
      </c>
      <c r="AP788" s="15">
        <f t="shared" si="486"/>
        <v>1</v>
      </c>
      <c r="AQ788" s="15">
        <f t="shared" si="487"/>
        <v>1</v>
      </c>
      <c r="AR788" s="15">
        <f t="shared" si="488"/>
        <v>1</v>
      </c>
      <c r="AS788" s="15">
        <f t="shared" si="489"/>
        <v>1</v>
      </c>
      <c r="AT788" s="15">
        <f t="shared" si="490"/>
        <v>1</v>
      </c>
      <c r="AU788" s="15">
        <f t="shared" si="491"/>
        <v>1</v>
      </c>
      <c r="AV788" s="15">
        <f t="shared" si="492"/>
        <v>1</v>
      </c>
      <c r="AW788" s="15">
        <f t="shared" si="493"/>
        <v>1</v>
      </c>
      <c r="AX788" s="15">
        <f t="shared" si="494"/>
        <v>1</v>
      </c>
      <c r="AY788" s="15">
        <f t="shared" si="495"/>
        <v>1</v>
      </c>
      <c r="AZ788" s="15">
        <f t="shared" si="496"/>
        <v>1</v>
      </c>
      <c r="BA788" s="15">
        <f t="shared" si="497"/>
        <v>1</v>
      </c>
      <c r="BB788" s="15">
        <f t="shared" si="504"/>
        <v>0</v>
      </c>
      <c r="BC788" s="15" t="str">
        <f t="shared" si="505"/>
        <v/>
      </c>
      <c r="BD788" s="15" t="str">
        <f t="shared" si="506"/>
        <v/>
      </c>
      <c r="BE788" s="11" t="e">
        <f t="shared" si="498"/>
        <v>#VALUE!</v>
      </c>
      <c r="BF788" s="11" t="e">
        <f t="shared" si="499"/>
        <v>#VALUE!</v>
      </c>
      <c r="BG788" s="11" t="e">
        <f t="shared" si="500"/>
        <v>#VALUE!</v>
      </c>
      <c r="BH788" t="str">
        <f t="shared" si="501"/>
        <v/>
      </c>
      <c r="BI788" t="str" cm="1">
        <f t="array" ref="BI788">_xlfn.IFS(
  L788&gt;0,"Critical Fail",
  M788&gt;0,"Important (Coaching)",
  TRUE,"Clean Pass"
)</f>
        <v>Clean Pass</v>
      </c>
      <c r="BJ788" t="str">
        <f t="shared" si="502"/>
        <v>NA</v>
      </c>
    </row>
    <row r="789" spans="1:62" x14ac:dyDescent="0.3">
      <c r="A789">
        <v>430981</v>
      </c>
      <c r="K789" t="str">
        <f t="shared" si="503"/>
        <v>Pass</v>
      </c>
      <c r="L789" s="15">
        <f t="shared" si="468"/>
        <v>0</v>
      </c>
      <c r="M789" s="15">
        <f t="shared" si="469"/>
        <v>0</v>
      </c>
      <c r="Z789" s="15">
        <f t="shared" si="470"/>
        <v>1</v>
      </c>
      <c r="AA789" s="15">
        <f t="shared" si="471"/>
        <v>1</v>
      </c>
      <c r="AB789" s="15">
        <f t="shared" si="472"/>
        <v>1</v>
      </c>
      <c r="AC789" s="15">
        <f t="shared" si="473"/>
        <v>1</v>
      </c>
      <c r="AD789" s="15">
        <f t="shared" si="474"/>
        <v>1</v>
      </c>
      <c r="AE789" s="15">
        <f t="shared" si="475"/>
        <v>1</v>
      </c>
      <c r="AF789" s="15">
        <f t="shared" si="476"/>
        <v>1</v>
      </c>
      <c r="AG789" s="15">
        <f t="shared" si="477"/>
        <v>1</v>
      </c>
      <c r="AH789" s="15">
        <f t="shared" si="478"/>
        <v>1</v>
      </c>
      <c r="AI789" s="15">
        <f t="shared" si="479"/>
        <v>1</v>
      </c>
      <c r="AJ789" s="15">
        <f t="shared" si="480"/>
        <v>1</v>
      </c>
      <c r="AK789" s="15">
        <f t="shared" si="481"/>
        <v>1</v>
      </c>
      <c r="AL789" s="15">
        <f t="shared" si="482"/>
        <v>1</v>
      </c>
      <c r="AM789" s="15">
        <f t="shared" si="483"/>
        <v>1</v>
      </c>
      <c r="AN789" s="15">
        <f t="shared" si="484"/>
        <v>1</v>
      </c>
      <c r="AO789" s="15">
        <f t="shared" si="485"/>
        <v>1</v>
      </c>
      <c r="AP789" s="15">
        <f t="shared" si="486"/>
        <v>1</v>
      </c>
      <c r="AQ789" s="15">
        <f t="shared" si="487"/>
        <v>1</v>
      </c>
      <c r="AR789" s="15">
        <f t="shared" si="488"/>
        <v>1</v>
      </c>
      <c r="AS789" s="15">
        <f t="shared" si="489"/>
        <v>1</v>
      </c>
      <c r="AT789" s="15">
        <f t="shared" si="490"/>
        <v>1</v>
      </c>
      <c r="AU789" s="15">
        <f t="shared" si="491"/>
        <v>1</v>
      </c>
      <c r="AV789" s="15">
        <f t="shared" si="492"/>
        <v>1</v>
      </c>
      <c r="AW789" s="15">
        <f t="shared" si="493"/>
        <v>1</v>
      </c>
      <c r="AX789" s="15">
        <f t="shared" si="494"/>
        <v>1</v>
      </c>
      <c r="AY789" s="15">
        <f t="shared" si="495"/>
        <v>1</v>
      </c>
      <c r="AZ789" s="15">
        <f t="shared" si="496"/>
        <v>1</v>
      </c>
      <c r="BA789" s="15">
        <f t="shared" si="497"/>
        <v>1</v>
      </c>
      <c r="BB789" s="15">
        <f t="shared" si="504"/>
        <v>0</v>
      </c>
      <c r="BC789" s="15" t="str">
        <f t="shared" si="505"/>
        <v/>
      </c>
      <c r="BD789" s="15" t="str">
        <f t="shared" si="506"/>
        <v/>
      </c>
      <c r="BE789" s="11" t="e">
        <f t="shared" si="498"/>
        <v>#VALUE!</v>
      </c>
      <c r="BF789" s="11" t="e">
        <f t="shared" si="499"/>
        <v>#VALUE!</v>
      </c>
      <c r="BG789" s="11" t="e">
        <f t="shared" si="500"/>
        <v>#VALUE!</v>
      </c>
      <c r="BH789" t="str">
        <f t="shared" si="501"/>
        <v/>
      </c>
      <c r="BI789" t="str" cm="1">
        <f t="array" ref="BI789">_xlfn.IFS(
  L789&gt;0,"Critical Fail",
  M789&gt;0,"Important (Coaching)",
  TRUE,"Clean Pass"
)</f>
        <v>Clean Pass</v>
      </c>
      <c r="BJ789" t="str">
        <f t="shared" si="502"/>
        <v>NA</v>
      </c>
    </row>
    <row r="790" spans="1:62" x14ac:dyDescent="0.3">
      <c r="A790">
        <v>460720</v>
      </c>
      <c r="K790" t="str">
        <f t="shared" si="503"/>
        <v>Pass</v>
      </c>
      <c r="L790" s="15">
        <f t="shared" si="468"/>
        <v>0</v>
      </c>
      <c r="M790" s="15">
        <f t="shared" si="469"/>
        <v>0</v>
      </c>
      <c r="Z790" s="15">
        <f t="shared" si="470"/>
        <v>1</v>
      </c>
      <c r="AA790" s="15">
        <f t="shared" si="471"/>
        <v>1</v>
      </c>
      <c r="AB790" s="15">
        <f t="shared" si="472"/>
        <v>1</v>
      </c>
      <c r="AC790" s="15">
        <f t="shared" si="473"/>
        <v>1</v>
      </c>
      <c r="AD790" s="15">
        <f t="shared" si="474"/>
        <v>1</v>
      </c>
      <c r="AE790" s="15">
        <f t="shared" si="475"/>
        <v>1</v>
      </c>
      <c r="AF790" s="15">
        <f t="shared" si="476"/>
        <v>1</v>
      </c>
      <c r="AG790" s="15">
        <f t="shared" si="477"/>
        <v>1</v>
      </c>
      <c r="AH790" s="15">
        <f t="shared" si="478"/>
        <v>1</v>
      </c>
      <c r="AI790" s="15">
        <f t="shared" si="479"/>
        <v>1</v>
      </c>
      <c r="AJ790" s="15">
        <f t="shared" si="480"/>
        <v>1</v>
      </c>
      <c r="AK790" s="15">
        <f t="shared" si="481"/>
        <v>1</v>
      </c>
      <c r="AL790" s="15">
        <f t="shared" si="482"/>
        <v>1</v>
      </c>
      <c r="AM790" s="15">
        <f t="shared" si="483"/>
        <v>1</v>
      </c>
      <c r="AN790" s="15">
        <f t="shared" si="484"/>
        <v>1</v>
      </c>
      <c r="AO790" s="15">
        <f t="shared" si="485"/>
        <v>1</v>
      </c>
      <c r="AP790" s="15">
        <f t="shared" si="486"/>
        <v>1</v>
      </c>
      <c r="AQ790" s="15">
        <f t="shared" si="487"/>
        <v>1</v>
      </c>
      <c r="AR790" s="15">
        <f t="shared" si="488"/>
        <v>1</v>
      </c>
      <c r="AS790" s="15">
        <f t="shared" si="489"/>
        <v>1</v>
      </c>
      <c r="AT790" s="15">
        <f t="shared" si="490"/>
        <v>1</v>
      </c>
      <c r="AU790" s="15">
        <f t="shared" si="491"/>
        <v>1</v>
      </c>
      <c r="AV790" s="15">
        <f t="shared" si="492"/>
        <v>1</v>
      </c>
      <c r="AW790" s="15">
        <f t="shared" si="493"/>
        <v>1</v>
      </c>
      <c r="AX790" s="15">
        <f t="shared" si="494"/>
        <v>1</v>
      </c>
      <c r="AY790" s="15">
        <f t="shared" si="495"/>
        <v>1</v>
      </c>
      <c r="AZ790" s="15">
        <f t="shared" si="496"/>
        <v>1</v>
      </c>
      <c r="BA790" s="15">
        <f t="shared" si="497"/>
        <v>1</v>
      </c>
      <c r="BB790" s="15">
        <f t="shared" si="504"/>
        <v>0</v>
      </c>
      <c r="BC790" s="15" t="str">
        <f t="shared" si="505"/>
        <v/>
      </c>
      <c r="BD790" s="15" t="str">
        <f t="shared" si="506"/>
        <v/>
      </c>
      <c r="BE790" s="11" t="e">
        <f t="shared" si="498"/>
        <v>#VALUE!</v>
      </c>
      <c r="BF790" s="11" t="e">
        <f t="shared" si="499"/>
        <v>#VALUE!</v>
      </c>
      <c r="BG790" s="11" t="e">
        <f t="shared" si="500"/>
        <v>#VALUE!</v>
      </c>
      <c r="BH790" t="str">
        <f t="shared" si="501"/>
        <v/>
      </c>
      <c r="BI790" t="str" cm="1">
        <f t="array" ref="BI790">_xlfn.IFS(
  L790&gt;0,"Critical Fail",
  M790&gt;0,"Important (Coaching)",
  TRUE,"Clean Pass"
)</f>
        <v>Clean Pass</v>
      </c>
      <c r="BJ790" t="str">
        <f t="shared" si="502"/>
        <v>NA</v>
      </c>
    </row>
    <row r="791" spans="1:62" x14ac:dyDescent="0.3">
      <c r="A791">
        <v>209472</v>
      </c>
      <c r="K791" t="str">
        <f t="shared" si="503"/>
        <v>Pass</v>
      </c>
      <c r="L791" s="15">
        <f t="shared" si="468"/>
        <v>0</v>
      </c>
      <c r="M791" s="15">
        <f t="shared" si="469"/>
        <v>0</v>
      </c>
      <c r="Z791" s="15">
        <f t="shared" si="470"/>
        <v>1</v>
      </c>
      <c r="AA791" s="15">
        <f t="shared" si="471"/>
        <v>1</v>
      </c>
      <c r="AB791" s="15">
        <f t="shared" si="472"/>
        <v>1</v>
      </c>
      <c r="AC791" s="15">
        <f t="shared" si="473"/>
        <v>1</v>
      </c>
      <c r="AD791" s="15">
        <f t="shared" si="474"/>
        <v>1</v>
      </c>
      <c r="AE791" s="15">
        <f t="shared" si="475"/>
        <v>1</v>
      </c>
      <c r="AF791" s="15">
        <f t="shared" si="476"/>
        <v>1</v>
      </c>
      <c r="AG791" s="15">
        <f t="shared" si="477"/>
        <v>1</v>
      </c>
      <c r="AH791" s="15">
        <f t="shared" si="478"/>
        <v>1</v>
      </c>
      <c r="AI791" s="15">
        <f t="shared" si="479"/>
        <v>1</v>
      </c>
      <c r="AJ791" s="15">
        <f t="shared" si="480"/>
        <v>1</v>
      </c>
      <c r="AK791" s="15">
        <f t="shared" si="481"/>
        <v>1</v>
      </c>
      <c r="AL791" s="15">
        <f t="shared" si="482"/>
        <v>1</v>
      </c>
      <c r="AM791" s="15">
        <f t="shared" si="483"/>
        <v>1</v>
      </c>
      <c r="AN791" s="15">
        <f t="shared" si="484"/>
        <v>1</v>
      </c>
      <c r="AO791" s="15">
        <f t="shared" si="485"/>
        <v>1</v>
      </c>
      <c r="AP791" s="15">
        <f t="shared" si="486"/>
        <v>1</v>
      </c>
      <c r="AQ791" s="15">
        <f t="shared" si="487"/>
        <v>1</v>
      </c>
      <c r="AR791" s="15">
        <f t="shared" si="488"/>
        <v>1</v>
      </c>
      <c r="AS791" s="15">
        <f t="shared" si="489"/>
        <v>1</v>
      </c>
      <c r="AT791" s="15">
        <f t="shared" si="490"/>
        <v>1</v>
      </c>
      <c r="AU791" s="15">
        <f t="shared" si="491"/>
        <v>1</v>
      </c>
      <c r="AV791" s="15">
        <f t="shared" si="492"/>
        <v>1</v>
      </c>
      <c r="AW791" s="15">
        <f t="shared" si="493"/>
        <v>1</v>
      </c>
      <c r="AX791" s="15">
        <f t="shared" si="494"/>
        <v>1</v>
      </c>
      <c r="AY791" s="15">
        <f t="shared" si="495"/>
        <v>1</v>
      </c>
      <c r="AZ791" s="15">
        <f t="shared" si="496"/>
        <v>1</v>
      </c>
      <c r="BA791" s="15">
        <f t="shared" si="497"/>
        <v>1</v>
      </c>
      <c r="BB791" s="15">
        <f t="shared" si="504"/>
        <v>0</v>
      </c>
      <c r="BC791" s="15" t="str">
        <f t="shared" si="505"/>
        <v/>
      </c>
      <c r="BD791" s="15" t="str">
        <f t="shared" si="506"/>
        <v/>
      </c>
      <c r="BE791" s="11" t="e">
        <f t="shared" si="498"/>
        <v>#VALUE!</v>
      </c>
      <c r="BF791" s="11" t="e">
        <f t="shared" si="499"/>
        <v>#VALUE!</v>
      </c>
      <c r="BG791" s="11" t="e">
        <f t="shared" si="500"/>
        <v>#VALUE!</v>
      </c>
      <c r="BH791" t="str">
        <f t="shared" si="501"/>
        <v/>
      </c>
      <c r="BI791" t="str" cm="1">
        <f t="array" ref="BI791">_xlfn.IFS(
  L791&gt;0,"Critical Fail",
  M791&gt;0,"Important (Coaching)",
  TRUE,"Clean Pass"
)</f>
        <v>Clean Pass</v>
      </c>
      <c r="BJ791" t="str">
        <f t="shared" si="502"/>
        <v>NA</v>
      </c>
    </row>
    <row r="792" spans="1:62" x14ac:dyDescent="0.3">
      <c r="A792">
        <v>619266</v>
      </c>
      <c r="K792" t="str">
        <f t="shared" si="503"/>
        <v>Pass</v>
      </c>
      <c r="L792" s="15">
        <f t="shared" si="468"/>
        <v>0</v>
      </c>
      <c r="M792" s="15">
        <f t="shared" si="469"/>
        <v>0</v>
      </c>
      <c r="Z792" s="15">
        <f t="shared" si="470"/>
        <v>1</v>
      </c>
      <c r="AA792" s="15">
        <f t="shared" si="471"/>
        <v>1</v>
      </c>
      <c r="AB792" s="15">
        <f t="shared" si="472"/>
        <v>1</v>
      </c>
      <c r="AC792" s="15">
        <f t="shared" si="473"/>
        <v>1</v>
      </c>
      <c r="AD792" s="15">
        <f t="shared" si="474"/>
        <v>1</v>
      </c>
      <c r="AE792" s="15">
        <f t="shared" si="475"/>
        <v>1</v>
      </c>
      <c r="AF792" s="15">
        <f t="shared" si="476"/>
        <v>1</v>
      </c>
      <c r="AG792" s="15">
        <f t="shared" si="477"/>
        <v>1</v>
      </c>
      <c r="AH792" s="15">
        <f t="shared" si="478"/>
        <v>1</v>
      </c>
      <c r="AI792" s="15">
        <f t="shared" si="479"/>
        <v>1</v>
      </c>
      <c r="AJ792" s="15">
        <f t="shared" si="480"/>
        <v>1</v>
      </c>
      <c r="AK792" s="15">
        <f t="shared" si="481"/>
        <v>1</v>
      </c>
      <c r="AL792" s="15">
        <f t="shared" si="482"/>
        <v>1</v>
      </c>
      <c r="AM792" s="15">
        <f t="shared" si="483"/>
        <v>1</v>
      </c>
      <c r="AN792" s="15">
        <f t="shared" si="484"/>
        <v>1</v>
      </c>
      <c r="AO792" s="15">
        <f t="shared" si="485"/>
        <v>1</v>
      </c>
      <c r="AP792" s="15">
        <f t="shared" si="486"/>
        <v>1</v>
      </c>
      <c r="AQ792" s="15">
        <f t="shared" si="487"/>
        <v>1</v>
      </c>
      <c r="AR792" s="15">
        <f t="shared" si="488"/>
        <v>1</v>
      </c>
      <c r="AS792" s="15">
        <f t="shared" si="489"/>
        <v>1</v>
      </c>
      <c r="AT792" s="15">
        <f t="shared" si="490"/>
        <v>1</v>
      </c>
      <c r="AU792" s="15">
        <f t="shared" si="491"/>
        <v>1</v>
      </c>
      <c r="AV792" s="15">
        <f t="shared" si="492"/>
        <v>1</v>
      </c>
      <c r="AW792" s="15">
        <f t="shared" si="493"/>
        <v>1</v>
      </c>
      <c r="AX792" s="15">
        <f t="shared" si="494"/>
        <v>1</v>
      </c>
      <c r="AY792" s="15">
        <f t="shared" si="495"/>
        <v>1</v>
      </c>
      <c r="AZ792" s="15">
        <f t="shared" si="496"/>
        <v>1</v>
      </c>
      <c r="BA792" s="15">
        <f t="shared" si="497"/>
        <v>1</v>
      </c>
      <c r="BB792" s="15">
        <f t="shared" si="504"/>
        <v>0</v>
      </c>
      <c r="BC792" s="15" t="str">
        <f t="shared" si="505"/>
        <v/>
      </c>
      <c r="BD792" s="15" t="str">
        <f t="shared" si="506"/>
        <v/>
      </c>
      <c r="BE792" s="11" t="e">
        <f t="shared" si="498"/>
        <v>#VALUE!</v>
      </c>
      <c r="BF792" s="11" t="e">
        <f t="shared" si="499"/>
        <v>#VALUE!</v>
      </c>
      <c r="BG792" s="11" t="e">
        <f t="shared" si="500"/>
        <v>#VALUE!</v>
      </c>
      <c r="BH792" t="str">
        <f t="shared" si="501"/>
        <v/>
      </c>
      <c r="BI792" t="str" cm="1">
        <f t="array" ref="BI792">_xlfn.IFS(
  L792&gt;0,"Critical Fail",
  M792&gt;0,"Important (Coaching)",
  TRUE,"Clean Pass"
)</f>
        <v>Clean Pass</v>
      </c>
      <c r="BJ792" t="str">
        <f t="shared" si="502"/>
        <v>NA</v>
      </c>
    </row>
    <row r="793" spans="1:62" x14ac:dyDescent="0.3">
      <c r="A793">
        <v>193900</v>
      </c>
      <c r="K793" t="str">
        <f t="shared" si="503"/>
        <v>Pass</v>
      </c>
      <c r="L793" s="15">
        <f t="shared" si="468"/>
        <v>0</v>
      </c>
      <c r="M793" s="15">
        <f t="shared" si="469"/>
        <v>0</v>
      </c>
      <c r="Z793" s="15">
        <f t="shared" si="470"/>
        <v>1</v>
      </c>
      <c r="AA793" s="15">
        <f t="shared" si="471"/>
        <v>1</v>
      </c>
      <c r="AB793" s="15">
        <f t="shared" si="472"/>
        <v>1</v>
      </c>
      <c r="AC793" s="15">
        <f t="shared" si="473"/>
        <v>1</v>
      </c>
      <c r="AD793" s="15">
        <f t="shared" si="474"/>
        <v>1</v>
      </c>
      <c r="AE793" s="15">
        <f t="shared" si="475"/>
        <v>1</v>
      </c>
      <c r="AF793" s="15">
        <f t="shared" si="476"/>
        <v>1</v>
      </c>
      <c r="AG793" s="15">
        <f t="shared" si="477"/>
        <v>1</v>
      </c>
      <c r="AH793" s="15">
        <f t="shared" si="478"/>
        <v>1</v>
      </c>
      <c r="AI793" s="15">
        <f t="shared" si="479"/>
        <v>1</v>
      </c>
      <c r="AJ793" s="15">
        <f t="shared" si="480"/>
        <v>1</v>
      </c>
      <c r="AK793" s="15">
        <f t="shared" si="481"/>
        <v>1</v>
      </c>
      <c r="AL793" s="15">
        <f t="shared" si="482"/>
        <v>1</v>
      </c>
      <c r="AM793" s="15">
        <f t="shared" si="483"/>
        <v>1</v>
      </c>
      <c r="AN793" s="15">
        <f t="shared" si="484"/>
        <v>1</v>
      </c>
      <c r="AO793" s="15">
        <f t="shared" si="485"/>
        <v>1</v>
      </c>
      <c r="AP793" s="15">
        <f t="shared" si="486"/>
        <v>1</v>
      </c>
      <c r="AQ793" s="15">
        <f t="shared" si="487"/>
        <v>1</v>
      </c>
      <c r="AR793" s="15">
        <f t="shared" si="488"/>
        <v>1</v>
      </c>
      <c r="AS793" s="15">
        <f t="shared" si="489"/>
        <v>1</v>
      </c>
      <c r="AT793" s="15">
        <f t="shared" si="490"/>
        <v>1</v>
      </c>
      <c r="AU793" s="15">
        <f t="shared" si="491"/>
        <v>1</v>
      </c>
      <c r="AV793" s="15">
        <f t="shared" si="492"/>
        <v>1</v>
      </c>
      <c r="AW793" s="15">
        <f t="shared" si="493"/>
        <v>1</v>
      </c>
      <c r="AX793" s="15">
        <f t="shared" si="494"/>
        <v>1</v>
      </c>
      <c r="AY793" s="15">
        <f t="shared" si="495"/>
        <v>1</v>
      </c>
      <c r="AZ793" s="15">
        <f t="shared" si="496"/>
        <v>1</v>
      </c>
      <c r="BA793" s="15">
        <f t="shared" si="497"/>
        <v>1</v>
      </c>
      <c r="BB793" s="15">
        <f t="shared" si="504"/>
        <v>0</v>
      </c>
      <c r="BC793" s="15" t="str">
        <f t="shared" si="505"/>
        <v/>
      </c>
      <c r="BD793" s="15" t="str">
        <f t="shared" si="506"/>
        <v/>
      </c>
      <c r="BE793" s="11" t="e">
        <f t="shared" si="498"/>
        <v>#VALUE!</v>
      </c>
      <c r="BF793" s="11" t="e">
        <f t="shared" si="499"/>
        <v>#VALUE!</v>
      </c>
      <c r="BG793" s="11" t="e">
        <f t="shared" si="500"/>
        <v>#VALUE!</v>
      </c>
      <c r="BH793" t="str">
        <f t="shared" si="501"/>
        <v/>
      </c>
      <c r="BI793" t="str" cm="1">
        <f t="array" ref="BI793">_xlfn.IFS(
  L793&gt;0,"Critical Fail",
  M793&gt;0,"Important (Coaching)",
  TRUE,"Clean Pass"
)</f>
        <v>Clean Pass</v>
      </c>
      <c r="BJ793" t="str">
        <f t="shared" si="502"/>
        <v>NA</v>
      </c>
    </row>
    <row r="794" spans="1:62" x14ac:dyDescent="0.3">
      <c r="A794">
        <v>976415</v>
      </c>
      <c r="K794" t="str">
        <f t="shared" si="503"/>
        <v>Pass</v>
      </c>
      <c r="L794" s="15">
        <f t="shared" ref="L794:L857" si="507">COUNTA(N794,P794,R794)</f>
        <v>0</v>
      </c>
      <c r="M794" s="15">
        <f t="shared" ref="M794:M857" si="508">COUNTA(T794,V794,X794)</f>
        <v>0</v>
      </c>
      <c r="Z794" s="15">
        <f t="shared" ref="Z794:Z857" si="509">IF(AND(G794="DV",ISNUMBER(SEARCH("C1",N794&amp;P794&amp;R794&amp;T794&amp;V794&amp;X794))),0,1)</f>
        <v>1</v>
      </c>
      <c r="AA794" s="15">
        <f t="shared" ref="AA794:AA857" si="510">IF(AND(G794="DV",ISNUMBER(SEARCH("C2",N794&amp;P794&amp;R794&amp;T794&amp;V794&amp;X794))),0,1)</f>
        <v>1</v>
      </c>
      <c r="AB794" s="15">
        <f t="shared" ref="AB794:AB857" si="511">IF(AND(G794="DV",ISNUMBER(SEARCH("C3",N794&amp;P794&amp;R794&amp;T794&amp;V794&amp;X794))),0,1)</f>
        <v>1</v>
      </c>
      <c r="AC794" s="15">
        <f t="shared" ref="AC794:AC857" si="512">IF(AND(G794="DV",ISNUMBER(SEARCH("C4",N794&amp;P794&amp;R794&amp;T794&amp;V794&amp;X794))),0,1)</f>
        <v>1</v>
      </c>
      <c r="AD794" s="15">
        <f t="shared" ref="AD794:AD857" si="513">IF(AND(G794="DV",ISNUMBER(SEARCH("C5",N794&amp;P794&amp;R794&amp;T794&amp;V794&amp;X794))),0,1)</f>
        <v>1</v>
      </c>
      <c r="AE794" s="15">
        <f t="shared" ref="AE794:AE857" si="514">IF(AND(G794="DV",ISNUMBER(SEARCH("C6",N794&amp;P794&amp;R794&amp;T794&amp;V794&amp;X794))),0,1)</f>
        <v>1</v>
      </c>
      <c r="AF794" s="15">
        <f t="shared" ref="AF794:AF857" si="515">IF(AND(G794="DV",ISNUMBER(SEARCH("C7",N794&amp;P794&amp;R794&amp;T794&amp;V794&amp;X794))),0,1)</f>
        <v>1</v>
      </c>
      <c r="AG794" s="15">
        <f t="shared" ref="AG794:AG857" si="516">IF(AND(G794="DV",ISNUMBER(SEARCH("C8",N794&amp;P794&amp;R794&amp;T794&amp;V794&amp;X794))),0,1)</f>
        <v>1</v>
      </c>
      <c r="AH794" s="15">
        <f t="shared" ref="AH794:AH857" si="517">IF(AND(G794="DV",ISNUMBER(SEARCH("C9",N794&amp;P794&amp;R794&amp;T794&amp;V794&amp;X794))),0,1)</f>
        <v>1</v>
      </c>
      <c r="AI794" s="15">
        <f t="shared" ref="AI794:AI857" si="518">IF(AND(G794="DV",ISNUMBER(SEARCH("I1",N794&amp;P794&amp;R794&amp;T794&amp;V794&amp;X794))),0,1)</f>
        <v>1</v>
      </c>
      <c r="AJ794" s="15">
        <f t="shared" ref="AJ794:AJ857" si="519">IF(AND(G794="DV",ISNUMBER(SEARCH("I2",N794&amp;P794&amp;R794&amp;T794&amp;V794&amp;X794))),0,1)</f>
        <v>1</v>
      </c>
      <c r="AK794" s="15">
        <f t="shared" ref="AK794:AK857" si="520">IF(AND(G794="DV",ISNUMBER(SEARCH("I3",N794&amp;P794&amp;R794&amp;T794&amp;V794&amp;X794))),0,1)</f>
        <v>1</v>
      </c>
      <c r="AL794" s="15">
        <f t="shared" ref="AL794:AL857" si="521">IF(AND(G794="AL",ISNUMBER(SEARCH("C1",N794&amp;P794&amp;R794&amp;T794&amp;V794&amp;X794))),0,1)</f>
        <v>1</v>
      </c>
      <c r="AM794" s="15">
        <f t="shared" ref="AM794:AM857" si="522">IF(AND(G794="AL",ISNUMBER(SEARCH("C2",N794&amp;P794&amp;R794&amp;T794&amp;V794&amp;X794))),0,1)</f>
        <v>1</v>
      </c>
      <c r="AN794" s="15">
        <f t="shared" ref="AN794:AN857" si="523">IF(AND(G794="AL",ISNUMBER(SEARCH("C3",N794&amp;P794&amp;R794&amp;T794&amp;V794&amp;X794))),0,1)</f>
        <v>1</v>
      </c>
      <c r="AO794" s="15">
        <f t="shared" ref="AO794:AO857" si="524">IF(AND(G794="AL",ISNUMBER(SEARCH("C4",N794&amp;P794&amp;R794&amp;T794&amp;V794&amp;X794))),0,1)</f>
        <v>1</v>
      </c>
      <c r="AP794" s="15">
        <f t="shared" ref="AP794:AP857" si="525">IF(AND(G794="AL",ISNUMBER(SEARCH("C5",N794&amp;P794&amp;R794&amp;T794&amp;V794&amp;X794))),0,1)</f>
        <v>1</v>
      </c>
      <c r="AQ794" s="15">
        <f t="shared" ref="AQ794:AQ857" si="526">IF(AND(G794="AL",ISNUMBER(SEARCH("C6",N794&amp;P794&amp;R794&amp;T794&amp;V794&amp;X794))),0,1)</f>
        <v>1</v>
      </c>
      <c r="AR794" s="15">
        <f t="shared" ref="AR794:AR857" si="527">IF(AND(G794="AL",ISNUMBER(SEARCH("C7",N794&amp;P794&amp;R794&amp;T794&amp;V794&amp;X794))),0,1)</f>
        <v>1</v>
      </c>
      <c r="AS794" s="15">
        <f t="shared" ref="AS794:AS857" si="528">IF(AND(G794="AL",ISNUMBER(SEARCH("C8",N794&amp;P794&amp;R794&amp;T794&amp;V794&amp;X794))),0,1)</f>
        <v>1</v>
      </c>
      <c r="AT794" s="15">
        <f t="shared" ref="AT794:AT857" si="529">IF(AND(G794="AL",ISNUMBER(SEARCH("C9",N794&amp;P794&amp;R794&amp;T794&amp;V794&amp;X794))),0,1)</f>
        <v>1</v>
      </c>
      <c r="AU794" s="15">
        <f t="shared" ref="AU794:AU857" si="530">IF(AND(G794="AL",ISNUMBER(SEARCH("C10",N794&amp;P794&amp;R794&amp;T794&amp;V794&amp;X794))),0,1)</f>
        <v>1</v>
      </c>
      <c r="AV794" s="15">
        <f t="shared" ref="AV794:AV857" si="531">IF(AND(G794="AL",ISNUMBER(SEARCH("C11",N794&amp;P794&amp;R794&amp;T794&amp;V794&amp;X794))),0,1)</f>
        <v>1</v>
      </c>
      <c r="AW794" s="15">
        <f t="shared" ref="AW794:AW857" si="532">IF(AND(G794="AL",ISNUMBER(SEARCH("C12",N794&amp;P794&amp;R794&amp;T794&amp;V794&amp;X794))),0,1)</f>
        <v>1</v>
      </c>
      <c r="AX794" s="15">
        <f t="shared" ref="AX794:AX857" si="533">IF(AND(G794="AL",ISNUMBER(SEARCH("C13",N794&amp;P794&amp;R794&amp;T794&amp;V794&amp;X794))),0,1)</f>
        <v>1</v>
      </c>
      <c r="AY794" s="15">
        <f t="shared" ref="AY794:AY857" si="534">IF(AND(G794="AL",ISNUMBER(SEARCH("I1",N794&amp;P794&amp;R794&amp;T794&amp;V794&amp;X794))),0,1)</f>
        <v>1</v>
      </c>
      <c r="AZ794" s="15">
        <f t="shared" ref="AZ794:AZ857" si="535">IF(AND(G794="AL",ISNUMBER(SEARCH("I2",N794&amp;P794&amp;R794&amp;T794&amp;V794&amp;X794))),0,1)</f>
        <v>1</v>
      </c>
      <c r="BA794" s="15">
        <f t="shared" ref="BA794:BA857" si="536">IF(AND(G794="AL",ISNUMBER(SEARCH("I3",N794&amp;P794&amp;R794&amp;T794&amp;V794&amp;X794))),0,1)</f>
        <v>1</v>
      </c>
      <c r="BB794" s="15">
        <f t="shared" si="504"/>
        <v>0</v>
      </c>
      <c r="BC794" s="15" t="str">
        <f t="shared" si="505"/>
        <v/>
      </c>
      <c r="BD794" s="15" t="str">
        <f t="shared" si="506"/>
        <v/>
      </c>
      <c r="BE794" s="11" t="e">
        <f t="shared" ref="BE794:BE857" si="537">IF(BC794=0,1,(BC794-L794)/BC794)</f>
        <v>#VALUE!</v>
      </c>
      <c r="BF794" s="11" t="e">
        <f t="shared" ref="BF794:BF857" si="538">IF(BD794=0,1,(BD794-M794)/BD794)</f>
        <v>#VALUE!</v>
      </c>
      <c r="BG794" s="11" t="e">
        <f t="shared" ref="BG794:BG857" si="539">(BE794*0.7)+(BF794*0.3)</f>
        <v>#VALUE!</v>
      </c>
      <c r="BH794" t="str">
        <f t="shared" ref="BH794:BH857" si="540">_xlfn.TEXTJOIN(",",TRUE,N794,P794,R794)</f>
        <v/>
      </c>
      <c r="BI794" t="str" cm="1">
        <f t="array" ref="BI794">_xlfn.IFS(
  L794&gt;0,"Critical Fail",
  M794&gt;0,"Important (Coaching)",
  TRUE,"Clean Pass"
)</f>
        <v>Clean Pass</v>
      </c>
      <c r="BJ794" t="str">
        <f t="shared" ref="BJ794:BJ857" si="541">IF(COUNTA(N794:Y794)=0,"NA",_xlfn.TEXTJOIN(",",TRUE,N794:Y794))</f>
        <v>NA</v>
      </c>
    </row>
    <row r="795" spans="1:62" x14ac:dyDescent="0.3">
      <c r="A795">
        <v>425106</v>
      </c>
      <c r="K795" t="str">
        <f t="shared" si="503"/>
        <v>Pass</v>
      </c>
      <c r="L795" s="15">
        <f t="shared" si="507"/>
        <v>0</v>
      </c>
      <c r="M795" s="15">
        <f t="shared" si="508"/>
        <v>0</v>
      </c>
      <c r="Z795" s="15">
        <f t="shared" si="509"/>
        <v>1</v>
      </c>
      <c r="AA795" s="15">
        <f t="shared" si="510"/>
        <v>1</v>
      </c>
      <c r="AB795" s="15">
        <f t="shared" si="511"/>
        <v>1</v>
      </c>
      <c r="AC795" s="15">
        <f t="shared" si="512"/>
        <v>1</v>
      </c>
      <c r="AD795" s="15">
        <f t="shared" si="513"/>
        <v>1</v>
      </c>
      <c r="AE795" s="15">
        <f t="shared" si="514"/>
        <v>1</v>
      </c>
      <c r="AF795" s="15">
        <f t="shared" si="515"/>
        <v>1</v>
      </c>
      <c r="AG795" s="15">
        <f t="shared" si="516"/>
        <v>1</v>
      </c>
      <c r="AH795" s="15">
        <f t="shared" si="517"/>
        <v>1</v>
      </c>
      <c r="AI795" s="15">
        <f t="shared" si="518"/>
        <v>1</v>
      </c>
      <c r="AJ795" s="15">
        <f t="shared" si="519"/>
        <v>1</v>
      </c>
      <c r="AK795" s="15">
        <f t="shared" si="520"/>
        <v>1</v>
      </c>
      <c r="AL795" s="15">
        <f t="shared" si="521"/>
        <v>1</v>
      </c>
      <c r="AM795" s="15">
        <f t="shared" si="522"/>
        <v>1</v>
      </c>
      <c r="AN795" s="15">
        <f t="shared" si="523"/>
        <v>1</v>
      </c>
      <c r="AO795" s="15">
        <f t="shared" si="524"/>
        <v>1</v>
      </c>
      <c r="AP795" s="15">
        <f t="shared" si="525"/>
        <v>1</v>
      </c>
      <c r="AQ795" s="15">
        <f t="shared" si="526"/>
        <v>1</v>
      </c>
      <c r="AR795" s="15">
        <f t="shared" si="527"/>
        <v>1</v>
      </c>
      <c r="AS795" s="15">
        <f t="shared" si="528"/>
        <v>1</v>
      </c>
      <c r="AT795" s="15">
        <f t="shared" si="529"/>
        <v>1</v>
      </c>
      <c r="AU795" s="15">
        <f t="shared" si="530"/>
        <v>1</v>
      </c>
      <c r="AV795" s="15">
        <f t="shared" si="531"/>
        <v>1</v>
      </c>
      <c r="AW795" s="15">
        <f t="shared" si="532"/>
        <v>1</v>
      </c>
      <c r="AX795" s="15">
        <f t="shared" si="533"/>
        <v>1</v>
      </c>
      <c r="AY795" s="15">
        <f t="shared" si="534"/>
        <v>1</v>
      </c>
      <c r="AZ795" s="15">
        <f t="shared" si="535"/>
        <v>1</v>
      </c>
      <c r="BA795" s="15">
        <f t="shared" si="536"/>
        <v>1</v>
      </c>
      <c r="BB795" s="15">
        <f t="shared" si="504"/>
        <v>0</v>
      </c>
      <c r="BC795" s="15" t="str">
        <f t="shared" si="505"/>
        <v/>
      </c>
      <c r="BD795" s="15" t="str">
        <f t="shared" si="506"/>
        <v/>
      </c>
      <c r="BE795" s="11" t="e">
        <f t="shared" si="537"/>
        <v>#VALUE!</v>
      </c>
      <c r="BF795" s="11" t="e">
        <f t="shared" si="538"/>
        <v>#VALUE!</v>
      </c>
      <c r="BG795" s="11" t="e">
        <f t="shared" si="539"/>
        <v>#VALUE!</v>
      </c>
      <c r="BH795" t="str">
        <f t="shared" si="540"/>
        <v/>
      </c>
      <c r="BI795" t="str" cm="1">
        <f t="array" ref="BI795">_xlfn.IFS(
  L795&gt;0,"Critical Fail",
  M795&gt;0,"Important (Coaching)",
  TRUE,"Clean Pass"
)</f>
        <v>Clean Pass</v>
      </c>
      <c r="BJ795" t="str">
        <f t="shared" si="541"/>
        <v>NA</v>
      </c>
    </row>
    <row r="796" spans="1:62" x14ac:dyDescent="0.3">
      <c r="A796">
        <v>312888</v>
      </c>
      <c r="K796" t="str">
        <f t="shared" si="503"/>
        <v>Pass</v>
      </c>
      <c r="L796" s="15">
        <f t="shared" si="507"/>
        <v>0</v>
      </c>
      <c r="M796" s="15">
        <f t="shared" si="508"/>
        <v>0</v>
      </c>
      <c r="Z796" s="15">
        <f t="shared" si="509"/>
        <v>1</v>
      </c>
      <c r="AA796" s="15">
        <f t="shared" si="510"/>
        <v>1</v>
      </c>
      <c r="AB796" s="15">
        <f t="shared" si="511"/>
        <v>1</v>
      </c>
      <c r="AC796" s="15">
        <f t="shared" si="512"/>
        <v>1</v>
      </c>
      <c r="AD796" s="15">
        <f t="shared" si="513"/>
        <v>1</v>
      </c>
      <c r="AE796" s="15">
        <f t="shared" si="514"/>
        <v>1</v>
      </c>
      <c r="AF796" s="15">
        <f t="shared" si="515"/>
        <v>1</v>
      </c>
      <c r="AG796" s="15">
        <f t="shared" si="516"/>
        <v>1</v>
      </c>
      <c r="AH796" s="15">
        <f t="shared" si="517"/>
        <v>1</v>
      </c>
      <c r="AI796" s="15">
        <f t="shared" si="518"/>
        <v>1</v>
      </c>
      <c r="AJ796" s="15">
        <f t="shared" si="519"/>
        <v>1</v>
      </c>
      <c r="AK796" s="15">
        <f t="shared" si="520"/>
        <v>1</v>
      </c>
      <c r="AL796" s="15">
        <f t="shared" si="521"/>
        <v>1</v>
      </c>
      <c r="AM796" s="15">
        <f t="shared" si="522"/>
        <v>1</v>
      </c>
      <c r="AN796" s="15">
        <f t="shared" si="523"/>
        <v>1</v>
      </c>
      <c r="AO796" s="15">
        <f t="shared" si="524"/>
        <v>1</v>
      </c>
      <c r="AP796" s="15">
        <f t="shared" si="525"/>
        <v>1</v>
      </c>
      <c r="AQ796" s="15">
        <f t="shared" si="526"/>
        <v>1</v>
      </c>
      <c r="AR796" s="15">
        <f t="shared" si="527"/>
        <v>1</v>
      </c>
      <c r="AS796" s="15">
        <f t="shared" si="528"/>
        <v>1</v>
      </c>
      <c r="AT796" s="15">
        <f t="shared" si="529"/>
        <v>1</v>
      </c>
      <c r="AU796" s="15">
        <f t="shared" si="530"/>
        <v>1</v>
      </c>
      <c r="AV796" s="15">
        <f t="shared" si="531"/>
        <v>1</v>
      </c>
      <c r="AW796" s="15">
        <f t="shared" si="532"/>
        <v>1</v>
      </c>
      <c r="AX796" s="15">
        <f t="shared" si="533"/>
        <v>1</v>
      </c>
      <c r="AY796" s="15">
        <f t="shared" si="534"/>
        <v>1</v>
      </c>
      <c r="AZ796" s="15">
        <f t="shared" si="535"/>
        <v>1</v>
      </c>
      <c r="BA796" s="15">
        <f t="shared" si="536"/>
        <v>1</v>
      </c>
      <c r="BB796" s="15">
        <f t="shared" si="504"/>
        <v>0</v>
      </c>
      <c r="BC796" s="15" t="str">
        <f t="shared" si="505"/>
        <v/>
      </c>
      <c r="BD796" s="15" t="str">
        <f t="shared" si="506"/>
        <v/>
      </c>
      <c r="BE796" s="11" t="e">
        <f t="shared" si="537"/>
        <v>#VALUE!</v>
      </c>
      <c r="BF796" s="11" t="e">
        <f t="shared" si="538"/>
        <v>#VALUE!</v>
      </c>
      <c r="BG796" s="11" t="e">
        <f t="shared" si="539"/>
        <v>#VALUE!</v>
      </c>
      <c r="BH796" t="str">
        <f t="shared" si="540"/>
        <v/>
      </c>
      <c r="BI796" t="str" cm="1">
        <f t="array" ref="BI796">_xlfn.IFS(
  L796&gt;0,"Critical Fail",
  M796&gt;0,"Important (Coaching)",
  TRUE,"Clean Pass"
)</f>
        <v>Clean Pass</v>
      </c>
      <c r="BJ796" t="str">
        <f t="shared" si="541"/>
        <v>NA</v>
      </c>
    </row>
    <row r="797" spans="1:62" x14ac:dyDescent="0.3">
      <c r="A797">
        <v>476747</v>
      </c>
      <c r="K797" t="str">
        <f t="shared" si="503"/>
        <v>Pass</v>
      </c>
      <c r="L797" s="15">
        <f t="shared" si="507"/>
        <v>0</v>
      </c>
      <c r="M797" s="15">
        <f t="shared" si="508"/>
        <v>0</v>
      </c>
      <c r="Z797" s="15">
        <f t="shared" si="509"/>
        <v>1</v>
      </c>
      <c r="AA797" s="15">
        <f t="shared" si="510"/>
        <v>1</v>
      </c>
      <c r="AB797" s="15">
        <f t="shared" si="511"/>
        <v>1</v>
      </c>
      <c r="AC797" s="15">
        <f t="shared" si="512"/>
        <v>1</v>
      </c>
      <c r="AD797" s="15">
        <f t="shared" si="513"/>
        <v>1</v>
      </c>
      <c r="AE797" s="15">
        <f t="shared" si="514"/>
        <v>1</v>
      </c>
      <c r="AF797" s="15">
        <f t="shared" si="515"/>
        <v>1</v>
      </c>
      <c r="AG797" s="15">
        <f t="shared" si="516"/>
        <v>1</v>
      </c>
      <c r="AH797" s="15">
        <f t="shared" si="517"/>
        <v>1</v>
      </c>
      <c r="AI797" s="15">
        <f t="shared" si="518"/>
        <v>1</v>
      </c>
      <c r="AJ797" s="15">
        <f t="shared" si="519"/>
        <v>1</v>
      </c>
      <c r="AK797" s="15">
        <f t="shared" si="520"/>
        <v>1</v>
      </c>
      <c r="AL797" s="15">
        <f t="shared" si="521"/>
        <v>1</v>
      </c>
      <c r="AM797" s="15">
        <f t="shared" si="522"/>
        <v>1</v>
      </c>
      <c r="AN797" s="15">
        <f t="shared" si="523"/>
        <v>1</v>
      </c>
      <c r="AO797" s="15">
        <f t="shared" si="524"/>
        <v>1</v>
      </c>
      <c r="AP797" s="15">
        <f t="shared" si="525"/>
        <v>1</v>
      </c>
      <c r="AQ797" s="15">
        <f t="shared" si="526"/>
        <v>1</v>
      </c>
      <c r="AR797" s="15">
        <f t="shared" si="527"/>
        <v>1</v>
      </c>
      <c r="AS797" s="15">
        <f t="shared" si="528"/>
        <v>1</v>
      </c>
      <c r="AT797" s="15">
        <f t="shared" si="529"/>
        <v>1</v>
      </c>
      <c r="AU797" s="15">
        <f t="shared" si="530"/>
        <v>1</v>
      </c>
      <c r="AV797" s="15">
        <f t="shared" si="531"/>
        <v>1</v>
      </c>
      <c r="AW797" s="15">
        <f t="shared" si="532"/>
        <v>1</v>
      </c>
      <c r="AX797" s="15">
        <f t="shared" si="533"/>
        <v>1</v>
      </c>
      <c r="AY797" s="15">
        <f t="shared" si="534"/>
        <v>1</v>
      </c>
      <c r="AZ797" s="15">
        <f t="shared" si="535"/>
        <v>1</v>
      </c>
      <c r="BA797" s="15">
        <f t="shared" si="536"/>
        <v>1</v>
      </c>
      <c r="BB797" s="15">
        <f t="shared" si="504"/>
        <v>0</v>
      </c>
      <c r="BC797" s="15" t="str">
        <f t="shared" si="505"/>
        <v/>
      </c>
      <c r="BD797" s="15" t="str">
        <f t="shared" si="506"/>
        <v/>
      </c>
      <c r="BE797" s="11" t="e">
        <f t="shared" si="537"/>
        <v>#VALUE!</v>
      </c>
      <c r="BF797" s="11" t="e">
        <f t="shared" si="538"/>
        <v>#VALUE!</v>
      </c>
      <c r="BG797" s="11" t="e">
        <f t="shared" si="539"/>
        <v>#VALUE!</v>
      </c>
      <c r="BH797" t="str">
        <f t="shared" si="540"/>
        <v/>
      </c>
      <c r="BI797" t="str" cm="1">
        <f t="array" ref="BI797">_xlfn.IFS(
  L797&gt;0,"Critical Fail",
  M797&gt;0,"Important (Coaching)",
  TRUE,"Clean Pass"
)</f>
        <v>Clean Pass</v>
      </c>
      <c r="BJ797" t="str">
        <f t="shared" si="541"/>
        <v>NA</v>
      </c>
    </row>
    <row r="798" spans="1:62" x14ac:dyDescent="0.3">
      <c r="A798">
        <v>203755</v>
      </c>
      <c r="K798" t="str">
        <f t="shared" si="503"/>
        <v>Pass</v>
      </c>
      <c r="L798" s="15">
        <f t="shared" si="507"/>
        <v>0</v>
      </c>
      <c r="M798" s="15">
        <f t="shared" si="508"/>
        <v>0</v>
      </c>
      <c r="Z798" s="15">
        <f t="shared" si="509"/>
        <v>1</v>
      </c>
      <c r="AA798" s="15">
        <f t="shared" si="510"/>
        <v>1</v>
      </c>
      <c r="AB798" s="15">
        <f t="shared" si="511"/>
        <v>1</v>
      </c>
      <c r="AC798" s="15">
        <f t="shared" si="512"/>
        <v>1</v>
      </c>
      <c r="AD798" s="15">
        <f t="shared" si="513"/>
        <v>1</v>
      </c>
      <c r="AE798" s="15">
        <f t="shared" si="514"/>
        <v>1</v>
      </c>
      <c r="AF798" s="15">
        <f t="shared" si="515"/>
        <v>1</v>
      </c>
      <c r="AG798" s="15">
        <f t="shared" si="516"/>
        <v>1</v>
      </c>
      <c r="AH798" s="15">
        <f t="shared" si="517"/>
        <v>1</v>
      </c>
      <c r="AI798" s="15">
        <f t="shared" si="518"/>
        <v>1</v>
      </c>
      <c r="AJ798" s="15">
        <f t="shared" si="519"/>
        <v>1</v>
      </c>
      <c r="AK798" s="15">
        <f t="shared" si="520"/>
        <v>1</v>
      </c>
      <c r="AL798" s="15">
        <f t="shared" si="521"/>
        <v>1</v>
      </c>
      <c r="AM798" s="15">
        <f t="shared" si="522"/>
        <v>1</v>
      </c>
      <c r="AN798" s="15">
        <f t="shared" si="523"/>
        <v>1</v>
      </c>
      <c r="AO798" s="15">
        <f t="shared" si="524"/>
        <v>1</v>
      </c>
      <c r="AP798" s="15">
        <f t="shared" si="525"/>
        <v>1</v>
      </c>
      <c r="AQ798" s="15">
        <f t="shared" si="526"/>
        <v>1</v>
      </c>
      <c r="AR798" s="15">
        <f t="shared" si="527"/>
        <v>1</v>
      </c>
      <c r="AS798" s="15">
        <f t="shared" si="528"/>
        <v>1</v>
      </c>
      <c r="AT798" s="15">
        <f t="shared" si="529"/>
        <v>1</v>
      </c>
      <c r="AU798" s="15">
        <f t="shared" si="530"/>
        <v>1</v>
      </c>
      <c r="AV798" s="15">
        <f t="shared" si="531"/>
        <v>1</v>
      </c>
      <c r="AW798" s="15">
        <f t="shared" si="532"/>
        <v>1</v>
      </c>
      <c r="AX798" s="15">
        <f t="shared" si="533"/>
        <v>1</v>
      </c>
      <c r="AY798" s="15">
        <f t="shared" si="534"/>
        <v>1</v>
      </c>
      <c r="AZ798" s="15">
        <f t="shared" si="535"/>
        <v>1</v>
      </c>
      <c r="BA798" s="15">
        <f t="shared" si="536"/>
        <v>1</v>
      </c>
      <c r="BB798" s="15">
        <f t="shared" si="504"/>
        <v>0</v>
      </c>
      <c r="BC798" s="15" t="str">
        <f t="shared" si="505"/>
        <v/>
      </c>
      <c r="BD798" s="15" t="str">
        <f t="shared" si="506"/>
        <v/>
      </c>
      <c r="BE798" s="11" t="e">
        <f t="shared" si="537"/>
        <v>#VALUE!</v>
      </c>
      <c r="BF798" s="11" t="e">
        <f t="shared" si="538"/>
        <v>#VALUE!</v>
      </c>
      <c r="BG798" s="11" t="e">
        <f t="shared" si="539"/>
        <v>#VALUE!</v>
      </c>
      <c r="BH798" t="str">
        <f t="shared" si="540"/>
        <v/>
      </c>
      <c r="BI798" t="str" cm="1">
        <f t="array" ref="BI798">_xlfn.IFS(
  L798&gt;0,"Critical Fail",
  M798&gt;0,"Important (Coaching)",
  TRUE,"Clean Pass"
)</f>
        <v>Clean Pass</v>
      </c>
      <c r="BJ798" t="str">
        <f t="shared" si="541"/>
        <v>NA</v>
      </c>
    </row>
    <row r="799" spans="1:62" x14ac:dyDescent="0.3">
      <c r="A799">
        <v>686254</v>
      </c>
      <c r="K799" t="str">
        <f t="shared" si="503"/>
        <v>Pass</v>
      </c>
      <c r="L799" s="15">
        <f t="shared" si="507"/>
        <v>0</v>
      </c>
      <c r="M799" s="15">
        <f t="shared" si="508"/>
        <v>0</v>
      </c>
      <c r="Z799" s="15">
        <f t="shared" si="509"/>
        <v>1</v>
      </c>
      <c r="AA799" s="15">
        <f t="shared" si="510"/>
        <v>1</v>
      </c>
      <c r="AB799" s="15">
        <f t="shared" si="511"/>
        <v>1</v>
      </c>
      <c r="AC799" s="15">
        <f t="shared" si="512"/>
        <v>1</v>
      </c>
      <c r="AD799" s="15">
        <f t="shared" si="513"/>
        <v>1</v>
      </c>
      <c r="AE799" s="15">
        <f t="shared" si="514"/>
        <v>1</v>
      </c>
      <c r="AF799" s="15">
        <f t="shared" si="515"/>
        <v>1</v>
      </c>
      <c r="AG799" s="15">
        <f t="shared" si="516"/>
        <v>1</v>
      </c>
      <c r="AH799" s="15">
        <f t="shared" si="517"/>
        <v>1</v>
      </c>
      <c r="AI799" s="15">
        <f t="shared" si="518"/>
        <v>1</v>
      </c>
      <c r="AJ799" s="15">
        <f t="shared" si="519"/>
        <v>1</v>
      </c>
      <c r="AK799" s="15">
        <f t="shared" si="520"/>
        <v>1</v>
      </c>
      <c r="AL799" s="15">
        <f t="shared" si="521"/>
        <v>1</v>
      </c>
      <c r="AM799" s="15">
        <f t="shared" si="522"/>
        <v>1</v>
      </c>
      <c r="AN799" s="15">
        <f t="shared" si="523"/>
        <v>1</v>
      </c>
      <c r="AO799" s="15">
        <f t="shared" si="524"/>
        <v>1</v>
      </c>
      <c r="AP799" s="15">
        <f t="shared" si="525"/>
        <v>1</v>
      </c>
      <c r="AQ799" s="15">
        <f t="shared" si="526"/>
        <v>1</v>
      </c>
      <c r="AR799" s="15">
        <f t="shared" si="527"/>
        <v>1</v>
      </c>
      <c r="AS799" s="15">
        <f t="shared" si="528"/>
        <v>1</v>
      </c>
      <c r="AT799" s="15">
        <f t="shared" si="529"/>
        <v>1</v>
      </c>
      <c r="AU799" s="15">
        <f t="shared" si="530"/>
        <v>1</v>
      </c>
      <c r="AV799" s="15">
        <f t="shared" si="531"/>
        <v>1</v>
      </c>
      <c r="AW799" s="15">
        <f t="shared" si="532"/>
        <v>1</v>
      </c>
      <c r="AX799" s="15">
        <f t="shared" si="533"/>
        <v>1</v>
      </c>
      <c r="AY799" s="15">
        <f t="shared" si="534"/>
        <v>1</v>
      </c>
      <c r="AZ799" s="15">
        <f t="shared" si="535"/>
        <v>1</v>
      </c>
      <c r="BA799" s="15">
        <f t="shared" si="536"/>
        <v>1</v>
      </c>
      <c r="BB799" s="15">
        <f t="shared" si="504"/>
        <v>0</v>
      </c>
      <c r="BC799" s="15" t="str">
        <f t="shared" si="505"/>
        <v/>
      </c>
      <c r="BD799" s="15" t="str">
        <f t="shared" si="506"/>
        <v/>
      </c>
      <c r="BE799" s="11" t="e">
        <f t="shared" si="537"/>
        <v>#VALUE!</v>
      </c>
      <c r="BF799" s="11" t="e">
        <f t="shared" si="538"/>
        <v>#VALUE!</v>
      </c>
      <c r="BG799" s="11" t="e">
        <f t="shared" si="539"/>
        <v>#VALUE!</v>
      </c>
      <c r="BH799" t="str">
        <f t="shared" si="540"/>
        <v/>
      </c>
      <c r="BI799" t="str" cm="1">
        <f t="array" ref="BI799">_xlfn.IFS(
  L799&gt;0,"Critical Fail",
  M799&gt;0,"Important (Coaching)",
  TRUE,"Clean Pass"
)</f>
        <v>Clean Pass</v>
      </c>
      <c r="BJ799" t="str">
        <f t="shared" si="541"/>
        <v>NA</v>
      </c>
    </row>
    <row r="800" spans="1:62" x14ac:dyDescent="0.3">
      <c r="A800">
        <v>122155</v>
      </c>
      <c r="K800" t="str">
        <f t="shared" si="503"/>
        <v>Pass</v>
      </c>
      <c r="L800" s="15">
        <f t="shared" si="507"/>
        <v>0</v>
      </c>
      <c r="M800" s="15">
        <f t="shared" si="508"/>
        <v>0</v>
      </c>
      <c r="Z800" s="15">
        <f t="shared" si="509"/>
        <v>1</v>
      </c>
      <c r="AA800" s="15">
        <f t="shared" si="510"/>
        <v>1</v>
      </c>
      <c r="AB800" s="15">
        <f t="shared" si="511"/>
        <v>1</v>
      </c>
      <c r="AC800" s="15">
        <f t="shared" si="512"/>
        <v>1</v>
      </c>
      <c r="AD800" s="15">
        <f t="shared" si="513"/>
        <v>1</v>
      </c>
      <c r="AE800" s="15">
        <f t="shared" si="514"/>
        <v>1</v>
      </c>
      <c r="AF800" s="15">
        <f t="shared" si="515"/>
        <v>1</v>
      </c>
      <c r="AG800" s="15">
        <f t="shared" si="516"/>
        <v>1</v>
      </c>
      <c r="AH800" s="15">
        <f t="shared" si="517"/>
        <v>1</v>
      </c>
      <c r="AI800" s="15">
        <f t="shared" si="518"/>
        <v>1</v>
      </c>
      <c r="AJ800" s="15">
        <f t="shared" si="519"/>
        <v>1</v>
      </c>
      <c r="AK800" s="15">
        <f t="shared" si="520"/>
        <v>1</v>
      </c>
      <c r="AL800" s="15">
        <f t="shared" si="521"/>
        <v>1</v>
      </c>
      <c r="AM800" s="15">
        <f t="shared" si="522"/>
        <v>1</v>
      </c>
      <c r="AN800" s="15">
        <f t="shared" si="523"/>
        <v>1</v>
      </c>
      <c r="AO800" s="15">
        <f t="shared" si="524"/>
        <v>1</v>
      </c>
      <c r="AP800" s="15">
        <f t="shared" si="525"/>
        <v>1</v>
      </c>
      <c r="AQ800" s="15">
        <f t="shared" si="526"/>
        <v>1</v>
      </c>
      <c r="AR800" s="15">
        <f t="shared" si="527"/>
        <v>1</v>
      </c>
      <c r="AS800" s="15">
        <f t="shared" si="528"/>
        <v>1</v>
      </c>
      <c r="AT800" s="15">
        <f t="shared" si="529"/>
        <v>1</v>
      </c>
      <c r="AU800" s="15">
        <f t="shared" si="530"/>
        <v>1</v>
      </c>
      <c r="AV800" s="15">
        <f t="shared" si="531"/>
        <v>1</v>
      </c>
      <c r="AW800" s="15">
        <f t="shared" si="532"/>
        <v>1</v>
      </c>
      <c r="AX800" s="15">
        <f t="shared" si="533"/>
        <v>1</v>
      </c>
      <c r="AY800" s="15">
        <f t="shared" si="534"/>
        <v>1</v>
      </c>
      <c r="AZ800" s="15">
        <f t="shared" si="535"/>
        <v>1</v>
      </c>
      <c r="BA800" s="15">
        <f t="shared" si="536"/>
        <v>1</v>
      </c>
      <c r="BB800" s="15">
        <f t="shared" si="504"/>
        <v>0</v>
      </c>
      <c r="BC800" s="15" t="str">
        <f t="shared" si="505"/>
        <v/>
      </c>
      <c r="BD800" s="15" t="str">
        <f t="shared" si="506"/>
        <v/>
      </c>
      <c r="BE800" s="11" t="e">
        <f t="shared" si="537"/>
        <v>#VALUE!</v>
      </c>
      <c r="BF800" s="11" t="e">
        <f t="shared" si="538"/>
        <v>#VALUE!</v>
      </c>
      <c r="BG800" s="11" t="e">
        <f t="shared" si="539"/>
        <v>#VALUE!</v>
      </c>
      <c r="BH800" t="str">
        <f t="shared" si="540"/>
        <v/>
      </c>
      <c r="BI800" t="str" cm="1">
        <f t="array" ref="BI800">_xlfn.IFS(
  L800&gt;0,"Critical Fail",
  M800&gt;0,"Important (Coaching)",
  TRUE,"Clean Pass"
)</f>
        <v>Clean Pass</v>
      </c>
      <c r="BJ800" t="str">
        <f t="shared" si="541"/>
        <v>NA</v>
      </c>
    </row>
    <row r="801" spans="1:62" x14ac:dyDescent="0.3">
      <c r="A801">
        <v>607337</v>
      </c>
      <c r="K801" t="str">
        <f t="shared" si="503"/>
        <v>Pass</v>
      </c>
      <c r="L801" s="15">
        <f t="shared" si="507"/>
        <v>0</v>
      </c>
      <c r="M801" s="15">
        <f t="shared" si="508"/>
        <v>0</v>
      </c>
      <c r="Z801" s="15">
        <f t="shared" si="509"/>
        <v>1</v>
      </c>
      <c r="AA801" s="15">
        <f t="shared" si="510"/>
        <v>1</v>
      </c>
      <c r="AB801" s="15">
        <f t="shared" si="511"/>
        <v>1</v>
      </c>
      <c r="AC801" s="15">
        <f t="shared" si="512"/>
        <v>1</v>
      </c>
      <c r="AD801" s="15">
        <f t="shared" si="513"/>
        <v>1</v>
      </c>
      <c r="AE801" s="15">
        <f t="shared" si="514"/>
        <v>1</v>
      </c>
      <c r="AF801" s="15">
        <f t="shared" si="515"/>
        <v>1</v>
      </c>
      <c r="AG801" s="15">
        <f t="shared" si="516"/>
        <v>1</v>
      </c>
      <c r="AH801" s="15">
        <f t="shared" si="517"/>
        <v>1</v>
      </c>
      <c r="AI801" s="15">
        <f t="shared" si="518"/>
        <v>1</v>
      </c>
      <c r="AJ801" s="15">
        <f t="shared" si="519"/>
        <v>1</v>
      </c>
      <c r="AK801" s="15">
        <f t="shared" si="520"/>
        <v>1</v>
      </c>
      <c r="AL801" s="15">
        <f t="shared" si="521"/>
        <v>1</v>
      </c>
      <c r="AM801" s="15">
        <f t="shared" si="522"/>
        <v>1</v>
      </c>
      <c r="AN801" s="15">
        <f t="shared" si="523"/>
        <v>1</v>
      </c>
      <c r="AO801" s="15">
        <f t="shared" si="524"/>
        <v>1</v>
      </c>
      <c r="AP801" s="15">
        <f t="shared" si="525"/>
        <v>1</v>
      </c>
      <c r="AQ801" s="15">
        <f t="shared" si="526"/>
        <v>1</v>
      </c>
      <c r="AR801" s="15">
        <f t="shared" si="527"/>
        <v>1</v>
      </c>
      <c r="AS801" s="15">
        <f t="shared" si="528"/>
        <v>1</v>
      </c>
      <c r="AT801" s="15">
        <f t="shared" si="529"/>
        <v>1</v>
      </c>
      <c r="AU801" s="15">
        <f t="shared" si="530"/>
        <v>1</v>
      </c>
      <c r="AV801" s="15">
        <f t="shared" si="531"/>
        <v>1</v>
      </c>
      <c r="AW801" s="15">
        <f t="shared" si="532"/>
        <v>1</v>
      </c>
      <c r="AX801" s="15">
        <f t="shared" si="533"/>
        <v>1</v>
      </c>
      <c r="AY801" s="15">
        <f t="shared" si="534"/>
        <v>1</v>
      </c>
      <c r="AZ801" s="15">
        <f t="shared" si="535"/>
        <v>1</v>
      </c>
      <c r="BA801" s="15">
        <f t="shared" si="536"/>
        <v>1</v>
      </c>
      <c r="BB801" s="15">
        <f t="shared" si="504"/>
        <v>0</v>
      </c>
      <c r="BC801" s="15" t="str">
        <f t="shared" si="505"/>
        <v/>
      </c>
      <c r="BD801" s="15" t="str">
        <f t="shared" si="506"/>
        <v/>
      </c>
      <c r="BE801" s="11" t="e">
        <f t="shared" si="537"/>
        <v>#VALUE!</v>
      </c>
      <c r="BF801" s="11" t="e">
        <f t="shared" si="538"/>
        <v>#VALUE!</v>
      </c>
      <c r="BG801" s="11" t="e">
        <f t="shared" si="539"/>
        <v>#VALUE!</v>
      </c>
      <c r="BH801" t="str">
        <f t="shared" si="540"/>
        <v/>
      </c>
      <c r="BI801" t="str" cm="1">
        <f t="array" ref="BI801">_xlfn.IFS(
  L801&gt;0,"Critical Fail",
  M801&gt;0,"Important (Coaching)",
  TRUE,"Clean Pass"
)</f>
        <v>Clean Pass</v>
      </c>
      <c r="BJ801" t="str">
        <f t="shared" si="541"/>
        <v>NA</v>
      </c>
    </row>
    <row r="802" spans="1:62" x14ac:dyDescent="0.3">
      <c r="A802">
        <v>691675</v>
      </c>
      <c r="K802" t="str">
        <f t="shared" si="503"/>
        <v>Pass</v>
      </c>
      <c r="L802" s="15">
        <f t="shared" si="507"/>
        <v>0</v>
      </c>
      <c r="M802" s="15">
        <f t="shared" si="508"/>
        <v>0</v>
      </c>
      <c r="Z802" s="15">
        <f t="shared" si="509"/>
        <v>1</v>
      </c>
      <c r="AA802" s="15">
        <f t="shared" si="510"/>
        <v>1</v>
      </c>
      <c r="AB802" s="15">
        <f t="shared" si="511"/>
        <v>1</v>
      </c>
      <c r="AC802" s="15">
        <f t="shared" si="512"/>
        <v>1</v>
      </c>
      <c r="AD802" s="15">
        <f t="shared" si="513"/>
        <v>1</v>
      </c>
      <c r="AE802" s="15">
        <f t="shared" si="514"/>
        <v>1</v>
      </c>
      <c r="AF802" s="15">
        <f t="shared" si="515"/>
        <v>1</v>
      </c>
      <c r="AG802" s="15">
        <f t="shared" si="516"/>
        <v>1</v>
      </c>
      <c r="AH802" s="15">
        <f t="shared" si="517"/>
        <v>1</v>
      </c>
      <c r="AI802" s="15">
        <f t="shared" si="518"/>
        <v>1</v>
      </c>
      <c r="AJ802" s="15">
        <f t="shared" si="519"/>
        <v>1</v>
      </c>
      <c r="AK802" s="15">
        <f t="shared" si="520"/>
        <v>1</v>
      </c>
      <c r="AL802" s="15">
        <f t="shared" si="521"/>
        <v>1</v>
      </c>
      <c r="AM802" s="15">
        <f t="shared" si="522"/>
        <v>1</v>
      </c>
      <c r="AN802" s="15">
        <f t="shared" si="523"/>
        <v>1</v>
      </c>
      <c r="AO802" s="15">
        <f t="shared" si="524"/>
        <v>1</v>
      </c>
      <c r="AP802" s="15">
        <f t="shared" si="525"/>
        <v>1</v>
      </c>
      <c r="AQ802" s="15">
        <f t="shared" si="526"/>
        <v>1</v>
      </c>
      <c r="AR802" s="15">
        <f t="shared" si="527"/>
        <v>1</v>
      </c>
      <c r="AS802" s="15">
        <f t="shared" si="528"/>
        <v>1</v>
      </c>
      <c r="AT802" s="15">
        <f t="shared" si="529"/>
        <v>1</v>
      </c>
      <c r="AU802" s="15">
        <f t="shared" si="530"/>
        <v>1</v>
      </c>
      <c r="AV802" s="15">
        <f t="shared" si="531"/>
        <v>1</v>
      </c>
      <c r="AW802" s="15">
        <f t="shared" si="532"/>
        <v>1</v>
      </c>
      <c r="AX802" s="15">
        <f t="shared" si="533"/>
        <v>1</v>
      </c>
      <c r="AY802" s="15">
        <f t="shared" si="534"/>
        <v>1</v>
      </c>
      <c r="AZ802" s="15">
        <f t="shared" si="535"/>
        <v>1</v>
      </c>
      <c r="BA802" s="15">
        <f t="shared" si="536"/>
        <v>1</v>
      </c>
      <c r="BB802" s="15">
        <f t="shared" si="504"/>
        <v>0</v>
      </c>
      <c r="BC802" s="15" t="str">
        <f t="shared" si="505"/>
        <v/>
      </c>
      <c r="BD802" s="15" t="str">
        <f t="shared" si="506"/>
        <v/>
      </c>
      <c r="BE802" s="11" t="e">
        <f t="shared" si="537"/>
        <v>#VALUE!</v>
      </c>
      <c r="BF802" s="11" t="e">
        <f t="shared" si="538"/>
        <v>#VALUE!</v>
      </c>
      <c r="BG802" s="11" t="e">
        <f t="shared" si="539"/>
        <v>#VALUE!</v>
      </c>
      <c r="BH802" t="str">
        <f t="shared" si="540"/>
        <v/>
      </c>
      <c r="BI802" t="str" cm="1">
        <f t="array" ref="BI802">_xlfn.IFS(
  L802&gt;0,"Critical Fail",
  M802&gt;0,"Important (Coaching)",
  TRUE,"Clean Pass"
)</f>
        <v>Clean Pass</v>
      </c>
      <c r="BJ802" t="str">
        <f t="shared" si="541"/>
        <v>NA</v>
      </c>
    </row>
    <row r="803" spans="1:62" x14ac:dyDescent="0.3">
      <c r="A803">
        <v>236135</v>
      </c>
      <c r="K803" t="str">
        <f t="shared" si="503"/>
        <v>Pass</v>
      </c>
      <c r="L803" s="15">
        <f t="shared" si="507"/>
        <v>0</v>
      </c>
      <c r="M803" s="15">
        <f t="shared" si="508"/>
        <v>0</v>
      </c>
      <c r="Z803" s="15">
        <f t="shared" si="509"/>
        <v>1</v>
      </c>
      <c r="AA803" s="15">
        <f t="shared" si="510"/>
        <v>1</v>
      </c>
      <c r="AB803" s="15">
        <f t="shared" si="511"/>
        <v>1</v>
      </c>
      <c r="AC803" s="15">
        <f t="shared" si="512"/>
        <v>1</v>
      </c>
      <c r="AD803" s="15">
        <f t="shared" si="513"/>
        <v>1</v>
      </c>
      <c r="AE803" s="15">
        <f t="shared" si="514"/>
        <v>1</v>
      </c>
      <c r="AF803" s="15">
        <f t="shared" si="515"/>
        <v>1</v>
      </c>
      <c r="AG803" s="15">
        <f t="shared" si="516"/>
        <v>1</v>
      </c>
      <c r="AH803" s="15">
        <f t="shared" si="517"/>
        <v>1</v>
      </c>
      <c r="AI803" s="15">
        <f t="shared" si="518"/>
        <v>1</v>
      </c>
      <c r="AJ803" s="15">
        <f t="shared" si="519"/>
        <v>1</v>
      </c>
      <c r="AK803" s="15">
        <f t="shared" si="520"/>
        <v>1</v>
      </c>
      <c r="AL803" s="15">
        <f t="shared" si="521"/>
        <v>1</v>
      </c>
      <c r="AM803" s="15">
        <f t="shared" si="522"/>
        <v>1</v>
      </c>
      <c r="AN803" s="15">
        <f t="shared" si="523"/>
        <v>1</v>
      </c>
      <c r="AO803" s="15">
        <f t="shared" si="524"/>
        <v>1</v>
      </c>
      <c r="AP803" s="15">
        <f t="shared" si="525"/>
        <v>1</v>
      </c>
      <c r="AQ803" s="15">
        <f t="shared" si="526"/>
        <v>1</v>
      </c>
      <c r="AR803" s="15">
        <f t="shared" si="527"/>
        <v>1</v>
      </c>
      <c r="AS803" s="15">
        <f t="shared" si="528"/>
        <v>1</v>
      </c>
      <c r="AT803" s="15">
        <f t="shared" si="529"/>
        <v>1</v>
      </c>
      <c r="AU803" s="15">
        <f t="shared" si="530"/>
        <v>1</v>
      </c>
      <c r="AV803" s="15">
        <f t="shared" si="531"/>
        <v>1</v>
      </c>
      <c r="AW803" s="15">
        <f t="shared" si="532"/>
        <v>1</v>
      </c>
      <c r="AX803" s="15">
        <f t="shared" si="533"/>
        <v>1</v>
      </c>
      <c r="AY803" s="15">
        <f t="shared" si="534"/>
        <v>1</v>
      </c>
      <c r="AZ803" s="15">
        <f t="shared" si="535"/>
        <v>1</v>
      </c>
      <c r="BA803" s="15">
        <f t="shared" si="536"/>
        <v>1</v>
      </c>
      <c r="BB803" s="15">
        <f t="shared" si="504"/>
        <v>0</v>
      </c>
      <c r="BC803" s="15" t="str">
        <f t="shared" si="505"/>
        <v/>
      </c>
      <c r="BD803" s="15" t="str">
        <f t="shared" si="506"/>
        <v/>
      </c>
      <c r="BE803" s="11" t="e">
        <f t="shared" si="537"/>
        <v>#VALUE!</v>
      </c>
      <c r="BF803" s="11" t="e">
        <f t="shared" si="538"/>
        <v>#VALUE!</v>
      </c>
      <c r="BG803" s="11" t="e">
        <f t="shared" si="539"/>
        <v>#VALUE!</v>
      </c>
      <c r="BH803" t="str">
        <f t="shared" si="540"/>
        <v/>
      </c>
      <c r="BI803" t="str" cm="1">
        <f t="array" ref="BI803">_xlfn.IFS(
  L803&gt;0,"Critical Fail",
  M803&gt;0,"Important (Coaching)",
  TRUE,"Clean Pass"
)</f>
        <v>Clean Pass</v>
      </c>
      <c r="BJ803" t="str">
        <f t="shared" si="541"/>
        <v>NA</v>
      </c>
    </row>
    <row r="804" spans="1:62" x14ac:dyDescent="0.3">
      <c r="A804">
        <v>987175</v>
      </c>
      <c r="K804" t="str">
        <f t="shared" si="503"/>
        <v>Pass</v>
      </c>
      <c r="L804" s="15">
        <f t="shared" si="507"/>
        <v>0</v>
      </c>
      <c r="M804" s="15">
        <f t="shared" si="508"/>
        <v>0</v>
      </c>
      <c r="Z804" s="15">
        <f t="shared" si="509"/>
        <v>1</v>
      </c>
      <c r="AA804" s="15">
        <f t="shared" si="510"/>
        <v>1</v>
      </c>
      <c r="AB804" s="15">
        <f t="shared" si="511"/>
        <v>1</v>
      </c>
      <c r="AC804" s="15">
        <f t="shared" si="512"/>
        <v>1</v>
      </c>
      <c r="AD804" s="15">
        <f t="shared" si="513"/>
        <v>1</v>
      </c>
      <c r="AE804" s="15">
        <f t="shared" si="514"/>
        <v>1</v>
      </c>
      <c r="AF804" s="15">
        <f t="shared" si="515"/>
        <v>1</v>
      </c>
      <c r="AG804" s="15">
        <f t="shared" si="516"/>
        <v>1</v>
      </c>
      <c r="AH804" s="15">
        <f t="shared" si="517"/>
        <v>1</v>
      </c>
      <c r="AI804" s="15">
        <f t="shared" si="518"/>
        <v>1</v>
      </c>
      <c r="AJ804" s="15">
        <f t="shared" si="519"/>
        <v>1</v>
      </c>
      <c r="AK804" s="15">
        <f t="shared" si="520"/>
        <v>1</v>
      </c>
      <c r="AL804" s="15">
        <f t="shared" si="521"/>
        <v>1</v>
      </c>
      <c r="AM804" s="15">
        <f t="shared" si="522"/>
        <v>1</v>
      </c>
      <c r="AN804" s="15">
        <f t="shared" si="523"/>
        <v>1</v>
      </c>
      <c r="AO804" s="15">
        <f t="shared" si="524"/>
        <v>1</v>
      </c>
      <c r="AP804" s="15">
        <f t="shared" si="525"/>
        <v>1</v>
      </c>
      <c r="AQ804" s="15">
        <f t="shared" si="526"/>
        <v>1</v>
      </c>
      <c r="AR804" s="15">
        <f t="shared" si="527"/>
        <v>1</v>
      </c>
      <c r="AS804" s="15">
        <f t="shared" si="528"/>
        <v>1</v>
      </c>
      <c r="AT804" s="15">
        <f t="shared" si="529"/>
        <v>1</v>
      </c>
      <c r="AU804" s="15">
        <f t="shared" si="530"/>
        <v>1</v>
      </c>
      <c r="AV804" s="15">
        <f t="shared" si="531"/>
        <v>1</v>
      </c>
      <c r="AW804" s="15">
        <f t="shared" si="532"/>
        <v>1</v>
      </c>
      <c r="AX804" s="15">
        <f t="shared" si="533"/>
        <v>1</v>
      </c>
      <c r="AY804" s="15">
        <f t="shared" si="534"/>
        <v>1</v>
      </c>
      <c r="AZ804" s="15">
        <f t="shared" si="535"/>
        <v>1</v>
      </c>
      <c r="BA804" s="15">
        <f t="shared" si="536"/>
        <v>1</v>
      </c>
      <c r="BB804" s="15">
        <f t="shared" si="504"/>
        <v>0</v>
      </c>
      <c r="BC804" s="15" t="str">
        <f t="shared" si="505"/>
        <v/>
      </c>
      <c r="BD804" s="15" t="str">
        <f t="shared" si="506"/>
        <v/>
      </c>
      <c r="BE804" s="11" t="e">
        <f t="shared" si="537"/>
        <v>#VALUE!</v>
      </c>
      <c r="BF804" s="11" t="e">
        <f t="shared" si="538"/>
        <v>#VALUE!</v>
      </c>
      <c r="BG804" s="11" t="e">
        <f t="shared" si="539"/>
        <v>#VALUE!</v>
      </c>
      <c r="BH804" t="str">
        <f t="shared" si="540"/>
        <v/>
      </c>
      <c r="BI804" t="str" cm="1">
        <f t="array" ref="BI804">_xlfn.IFS(
  L804&gt;0,"Critical Fail",
  M804&gt;0,"Important (Coaching)",
  TRUE,"Clean Pass"
)</f>
        <v>Clean Pass</v>
      </c>
      <c r="BJ804" t="str">
        <f t="shared" si="541"/>
        <v>NA</v>
      </c>
    </row>
    <row r="805" spans="1:62" x14ac:dyDescent="0.3">
      <c r="A805">
        <v>659867</v>
      </c>
      <c r="K805" t="str">
        <f t="shared" si="503"/>
        <v>Pass</v>
      </c>
      <c r="L805" s="15">
        <f t="shared" si="507"/>
        <v>0</v>
      </c>
      <c r="M805" s="15">
        <f t="shared" si="508"/>
        <v>0</v>
      </c>
      <c r="Z805" s="15">
        <f t="shared" si="509"/>
        <v>1</v>
      </c>
      <c r="AA805" s="15">
        <f t="shared" si="510"/>
        <v>1</v>
      </c>
      <c r="AB805" s="15">
        <f t="shared" si="511"/>
        <v>1</v>
      </c>
      <c r="AC805" s="15">
        <f t="shared" si="512"/>
        <v>1</v>
      </c>
      <c r="AD805" s="15">
        <f t="shared" si="513"/>
        <v>1</v>
      </c>
      <c r="AE805" s="15">
        <f t="shared" si="514"/>
        <v>1</v>
      </c>
      <c r="AF805" s="15">
        <f t="shared" si="515"/>
        <v>1</v>
      </c>
      <c r="AG805" s="15">
        <f t="shared" si="516"/>
        <v>1</v>
      </c>
      <c r="AH805" s="15">
        <f t="shared" si="517"/>
        <v>1</v>
      </c>
      <c r="AI805" s="15">
        <f t="shared" si="518"/>
        <v>1</v>
      </c>
      <c r="AJ805" s="15">
        <f t="shared" si="519"/>
        <v>1</v>
      </c>
      <c r="AK805" s="15">
        <f t="shared" si="520"/>
        <v>1</v>
      </c>
      <c r="AL805" s="15">
        <f t="shared" si="521"/>
        <v>1</v>
      </c>
      <c r="AM805" s="15">
        <f t="shared" si="522"/>
        <v>1</v>
      </c>
      <c r="AN805" s="15">
        <f t="shared" si="523"/>
        <v>1</v>
      </c>
      <c r="AO805" s="15">
        <f t="shared" si="524"/>
        <v>1</v>
      </c>
      <c r="AP805" s="15">
        <f t="shared" si="525"/>
        <v>1</v>
      </c>
      <c r="AQ805" s="15">
        <f t="shared" si="526"/>
        <v>1</v>
      </c>
      <c r="AR805" s="15">
        <f t="shared" si="527"/>
        <v>1</v>
      </c>
      <c r="AS805" s="15">
        <f t="shared" si="528"/>
        <v>1</v>
      </c>
      <c r="AT805" s="15">
        <f t="shared" si="529"/>
        <v>1</v>
      </c>
      <c r="AU805" s="15">
        <f t="shared" si="530"/>
        <v>1</v>
      </c>
      <c r="AV805" s="15">
        <f t="shared" si="531"/>
        <v>1</v>
      </c>
      <c r="AW805" s="15">
        <f t="shared" si="532"/>
        <v>1</v>
      </c>
      <c r="AX805" s="15">
        <f t="shared" si="533"/>
        <v>1</v>
      </c>
      <c r="AY805" s="15">
        <f t="shared" si="534"/>
        <v>1</v>
      </c>
      <c r="AZ805" s="15">
        <f t="shared" si="535"/>
        <v>1</v>
      </c>
      <c r="BA805" s="15">
        <f t="shared" si="536"/>
        <v>1</v>
      </c>
      <c r="BB805" s="15">
        <f t="shared" si="504"/>
        <v>0</v>
      </c>
      <c r="BC805" s="15" t="str">
        <f t="shared" si="505"/>
        <v/>
      </c>
      <c r="BD805" s="15" t="str">
        <f t="shared" si="506"/>
        <v/>
      </c>
      <c r="BE805" s="11" t="e">
        <f t="shared" si="537"/>
        <v>#VALUE!</v>
      </c>
      <c r="BF805" s="11" t="e">
        <f t="shared" si="538"/>
        <v>#VALUE!</v>
      </c>
      <c r="BG805" s="11" t="e">
        <f t="shared" si="539"/>
        <v>#VALUE!</v>
      </c>
      <c r="BH805" t="str">
        <f t="shared" si="540"/>
        <v/>
      </c>
      <c r="BI805" t="str" cm="1">
        <f t="array" ref="BI805">_xlfn.IFS(
  L805&gt;0,"Critical Fail",
  M805&gt;0,"Important (Coaching)",
  TRUE,"Clean Pass"
)</f>
        <v>Clean Pass</v>
      </c>
      <c r="BJ805" t="str">
        <f t="shared" si="541"/>
        <v>NA</v>
      </c>
    </row>
    <row r="806" spans="1:62" x14ac:dyDescent="0.3">
      <c r="A806">
        <v>130665</v>
      </c>
      <c r="K806" t="str">
        <f t="shared" si="503"/>
        <v>Pass</v>
      </c>
      <c r="L806" s="15">
        <f t="shared" si="507"/>
        <v>0</v>
      </c>
      <c r="M806" s="15">
        <f t="shared" si="508"/>
        <v>0</v>
      </c>
      <c r="Z806" s="15">
        <f t="shared" si="509"/>
        <v>1</v>
      </c>
      <c r="AA806" s="15">
        <f t="shared" si="510"/>
        <v>1</v>
      </c>
      <c r="AB806" s="15">
        <f t="shared" si="511"/>
        <v>1</v>
      </c>
      <c r="AC806" s="15">
        <f t="shared" si="512"/>
        <v>1</v>
      </c>
      <c r="AD806" s="15">
        <f t="shared" si="513"/>
        <v>1</v>
      </c>
      <c r="AE806" s="15">
        <f t="shared" si="514"/>
        <v>1</v>
      </c>
      <c r="AF806" s="15">
        <f t="shared" si="515"/>
        <v>1</v>
      </c>
      <c r="AG806" s="15">
        <f t="shared" si="516"/>
        <v>1</v>
      </c>
      <c r="AH806" s="15">
        <f t="shared" si="517"/>
        <v>1</v>
      </c>
      <c r="AI806" s="15">
        <f t="shared" si="518"/>
        <v>1</v>
      </c>
      <c r="AJ806" s="15">
        <f t="shared" si="519"/>
        <v>1</v>
      </c>
      <c r="AK806" s="15">
        <f t="shared" si="520"/>
        <v>1</v>
      </c>
      <c r="AL806" s="15">
        <f t="shared" si="521"/>
        <v>1</v>
      </c>
      <c r="AM806" s="15">
        <f t="shared" si="522"/>
        <v>1</v>
      </c>
      <c r="AN806" s="15">
        <f t="shared" si="523"/>
        <v>1</v>
      </c>
      <c r="AO806" s="15">
        <f t="shared" si="524"/>
        <v>1</v>
      </c>
      <c r="AP806" s="15">
        <f t="shared" si="525"/>
        <v>1</v>
      </c>
      <c r="AQ806" s="15">
        <f t="shared" si="526"/>
        <v>1</v>
      </c>
      <c r="AR806" s="15">
        <f t="shared" si="527"/>
        <v>1</v>
      </c>
      <c r="AS806" s="15">
        <f t="shared" si="528"/>
        <v>1</v>
      </c>
      <c r="AT806" s="15">
        <f t="shared" si="529"/>
        <v>1</v>
      </c>
      <c r="AU806" s="15">
        <f t="shared" si="530"/>
        <v>1</v>
      </c>
      <c r="AV806" s="15">
        <f t="shared" si="531"/>
        <v>1</v>
      </c>
      <c r="AW806" s="15">
        <f t="shared" si="532"/>
        <v>1</v>
      </c>
      <c r="AX806" s="15">
        <f t="shared" si="533"/>
        <v>1</v>
      </c>
      <c r="AY806" s="15">
        <f t="shared" si="534"/>
        <v>1</v>
      </c>
      <c r="AZ806" s="15">
        <f t="shared" si="535"/>
        <v>1</v>
      </c>
      <c r="BA806" s="15">
        <f t="shared" si="536"/>
        <v>1</v>
      </c>
      <c r="BB806" s="15">
        <f t="shared" si="504"/>
        <v>0</v>
      </c>
      <c r="BC806" s="15" t="str">
        <f t="shared" si="505"/>
        <v/>
      </c>
      <c r="BD806" s="15" t="str">
        <f t="shared" si="506"/>
        <v/>
      </c>
      <c r="BE806" s="11" t="e">
        <f t="shared" si="537"/>
        <v>#VALUE!</v>
      </c>
      <c r="BF806" s="11" t="e">
        <f t="shared" si="538"/>
        <v>#VALUE!</v>
      </c>
      <c r="BG806" s="11" t="e">
        <f t="shared" si="539"/>
        <v>#VALUE!</v>
      </c>
      <c r="BH806" t="str">
        <f t="shared" si="540"/>
        <v/>
      </c>
      <c r="BI806" t="str" cm="1">
        <f t="array" ref="BI806">_xlfn.IFS(
  L806&gt;0,"Critical Fail",
  M806&gt;0,"Important (Coaching)",
  TRUE,"Clean Pass"
)</f>
        <v>Clean Pass</v>
      </c>
      <c r="BJ806" t="str">
        <f t="shared" si="541"/>
        <v>NA</v>
      </c>
    </row>
    <row r="807" spans="1:62" x14ac:dyDescent="0.3">
      <c r="A807">
        <v>616825</v>
      </c>
      <c r="K807" t="str">
        <f t="shared" si="503"/>
        <v>Pass</v>
      </c>
      <c r="L807" s="15">
        <f t="shared" si="507"/>
        <v>0</v>
      </c>
      <c r="M807" s="15">
        <f t="shared" si="508"/>
        <v>0</v>
      </c>
      <c r="Z807" s="15">
        <f t="shared" si="509"/>
        <v>1</v>
      </c>
      <c r="AA807" s="15">
        <f t="shared" si="510"/>
        <v>1</v>
      </c>
      <c r="AB807" s="15">
        <f t="shared" si="511"/>
        <v>1</v>
      </c>
      <c r="AC807" s="15">
        <f t="shared" si="512"/>
        <v>1</v>
      </c>
      <c r="AD807" s="15">
        <f t="shared" si="513"/>
        <v>1</v>
      </c>
      <c r="AE807" s="15">
        <f t="shared" si="514"/>
        <v>1</v>
      </c>
      <c r="AF807" s="15">
        <f t="shared" si="515"/>
        <v>1</v>
      </c>
      <c r="AG807" s="15">
        <f t="shared" si="516"/>
        <v>1</v>
      </c>
      <c r="AH807" s="15">
        <f t="shared" si="517"/>
        <v>1</v>
      </c>
      <c r="AI807" s="15">
        <f t="shared" si="518"/>
        <v>1</v>
      </c>
      <c r="AJ807" s="15">
        <f t="shared" si="519"/>
        <v>1</v>
      </c>
      <c r="AK807" s="15">
        <f t="shared" si="520"/>
        <v>1</v>
      </c>
      <c r="AL807" s="15">
        <f t="shared" si="521"/>
        <v>1</v>
      </c>
      <c r="AM807" s="15">
        <f t="shared" si="522"/>
        <v>1</v>
      </c>
      <c r="AN807" s="15">
        <f t="shared" si="523"/>
        <v>1</v>
      </c>
      <c r="AO807" s="15">
        <f t="shared" si="524"/>
        <v>1</v>
      </c>
      <c r="AP807" s="15">
        <f t="shared" si="525"/>
        <v>1</v>
      </c>
      <c r="AQ807" s="15">
        <f t="shared" si="526"/>
        <v>1</v>
      </c>
      <c r="AR807" s="15">
        <f t="shared" si="527"/>
        <v>1</v>
      </c>
      <c r="AS807" s="15">
        <f t="shared" si="528"/>
        <v>1</v>
      </c>
      <c r="AT807" s="15">
        <f t="shared" si="529"/>
        <v>1</v>
      </c>
      <c r="AU807" s="15">
        <f t="shared" si="530"/>
        <v>1</v>
      </c>
      <c r="AV807" s="15">
        <f t="shared" si="531"/>
        <v>1</v>
      </c>
      <c r="AW807" s="15">
        <f t="shared" si="532"/>
        <v>1</v>
      </c>
      <c r="AX807" s="15">
        <f t="shared" si="533"/>
        <v>1</v>
      </c>
      <c r="AY807" s="15">
        <f t="shared" si="534"/>
        <v>1</v>
      </c>
      <c r="AZ807" s="15">
        <f t="shared" si="535"/>
        <v>1</v>
      </c>
      <c r="BA807" s="15">
        <f t="shared" si="536"/>
        <v>1</v>
      </c>
      <c r="BB807" s="15">
        <f t="shared" si="504"/>
        <v>0</v>
      </c>
      <c r="BC807" s="15" t="str">
        <f t="shared" si="505"/>
        <v/>
      </c>
      <c r="BD807" s="15" t="str">
        <f t="shared" si="506"/>
        <v/>
      </c>
      <c r="BE807" s="11" t="e">
        <f t="shared" si="537"/>
        <v>#VALUE!</v>
      </c>
      <c r="BF807" s="11" t="e">
        <f t="shared" si="538"/>
        <v>#VALUE!</v>
      </c>
      <c r="BG807" s="11" t="e">
        <f t="shared" si="539"/>
        <v>#VALUE!</v>
      </c>
      <c r="BH807" t="str">
        <f t="shared" si="540"/>
        <v/>
      </c>
      <c r="BI807" t="str" cm="1">
        <f t="array" ref="BI807">_xlfn.IFS(
  L807&gt;0,"Critical Fail",
  M807&gt;0,"Important (Coaching)",
  TRUE,"Clean Pass"
)</f>
        <v>Clean Pass</v>
      </c>
      <c r="BJ807" t="str">
        <f t="shared" si="541"/>
        <v>NA</v>
      </c>
    </row>
    <row r="808" spans="1:62" x14ac:dyDescent="0.3">
      <c r="A808">
        <v>233473</v>
      </c>
      <c r="K808" t="str">
        <f t="shared" si="503"/>
        <v>Pass</v>
      </c>
      <c r="L808" s="15">
        <f t="shared" si="507"/>
        <v>0</v>
      </c>
      <c r="M808" s="15">
        <f t="shared" si="508"/>
        <v>0</v>
      </c>
      <c r="Z808" s="15">
        <f t="shared" si="509"/>
        <v>1</v>
      </c>
      <c r="AA808" s="15">
        <f t="shared" si="510"/>
        <v>1</v>
      </c>
      <c r="AB808" s="15">
        <f t="shared" si="511"/>
        <v>1</v>
      </c>
      <c r="AC808" s="15">
        <f t="shared" si="512"/>
        <v>1</v>
      </c>
      <c r="AD808" s="15">
        <f t="shared" si="513"/>
        <v>1</v>
      </c>
      <c r="AE808" s="15">
        <f t="shared" si="514"/>
        <v>1</v>
      </c>
      <c r="AF808" s="15">
        <f t="shared" si="515"/>
        <v>1</v>
      </c>
      <c r="AG808" s="15">
        <f t="shared" si="516"/>
        <v>1</v>
      </c>
      <c r="AH808" s="15">
        <f t="shared" si="517"/>
        <v>1</v>
      </c>
      <c r="AI808" s="15">
        <f t="shared" si="518"/>
        <v>1</v>
      </c>
      <c r="AJ808" s="15">
        <f t="shared" si="519"/>
        <v>1</v>
      </c>
      <c r="AK808" s="15">
        <f t="shared" si="520"/>
        <v>1</v>
      </c>
      <c r="AL808" s="15">
        <f t="shared" si="521"/>
        <v>1</v>
      </c>
      <c r="AM808" s="15">
        <f t="shared" si="522"/>
        <v>1</v>
      </c>
      <c r="AN808" s="15">
        <f t="shared" si="523"/>
        <v>1</v>
      </c>
      <c r="AO808" s="15">
        <f t="shared" si="524"/>
        <v>1</v>
      </c>
      <c r="AP808" s="15">
        <f t="shared" si="525"/>
        <v>1</v>
      </c>
      <c r="AQ808" s="15">
        <f t="shared" si="526"/>
        <v>1</v>
      </c>
      <c r="AR808" s="15">
        <f t="shared" si="527"/>
        <v>1</v>
      </c>
      <c r="AS808" s="15">
        <f t="shared" si="528"/>
        <v>1</v>
      </c>
      <c r="AT808" s="15">
        <f t="shared" si="529"/>
        <v>1</v>
      </c>
      <c r="AU808" s="15">
        <f t="shared" si="530"/>
        <v>1</v>
      </c>
      <c r="AV808" s="15">
        <f t="shared" si="531"/>
        <v>1</v>
      </c>
      <c r="AW808" s="15">
        <f t="shared" si="532"/>
        <v>1</v>
      </c>
      <c r="AX808" s="15">
        <f t="shared" si="533"/>
        <v>1</v>
      </c>
      <c r="AY808" s="15">
        <f t="shared" si="534"/>
        <v>1</v>
      </c>
      <c r="AZ808" s="15">
        <f t="shared" si="535"/>
        <v>1</v>
      </c>
      <c r="BA808" s="15">
        <f t="shared" si="536"/>
        <v>1</v>
      </c>
      <c r="BB808" s="15">
        <f t="shared" si="504"/>
        <v>0</v>
      </c>
      <c r="BC808" s="15" t="str">
        <f t="shared" si="505"/>
        <v/>
      </c>
      <c r="BD808" s="15" t="str">
        <f t="shared" si="506"/>
        <v/>
      </c>
      <c r="BE808" s="11" t="e">
        <f t="shared" si="537"/>
        <v>#VALUE!</v>
      </c>
      <c r="BF808" s="11" t="e">
        <f t="shared" si="538"/>
        <v>#VALUE!</v>
      </c>
      <c r="BG808" s="11" t="e">
        <f t="shared" si="539"/>
        <v>#VALUE!</v>
      </c>
      <c r="BH808" t="str">
        <f t="shared" si="540"/>
        <v/>
      </c>
      <c r="BI808" t="str" cm="1">
        <f t="array" ref="BI808">_xlfn.IFS(
  L808&gt;0,"Critical Fail",
  M808&gt;0,"Important (Coaching)",
  TRUE,"Clean Pass"
)</f>
        <v>Clean Pass</v>
      </c>
      <c r="BJ808" t="str">
        <f t="shared" si="541"/>
        <v>NA</v>
      </c>
    </row>
    <row r="809" spans="1:62" x14ac:dyDescent="0.3">
      <c r="A809">
        <v>916078</v>
      </c>
      <c r="K809" t="str">
        <f t="shared" si="503"/>
        <v>Pass</v>
      </c>
      <c r="L809" s="15">
        <f t="shared" si="507"/>
        <v>0</v>
      </c>
      <c r="M809" s="15">
        <f t="shared" si="508"/>
        <v>0</v>
      </c>
      <c r="Z809" s="15">
        <f t="shared" si="509"/>
        <v>1</v>
      </c>
      <c r="AA809" s="15">
        <f t="shared" si="510"/>
        <v>1</v>
      </c>
      <c r="AB809" s="15">
        <f t="shared" si="511"/>
        <v>1</v>
      </c>
      <c r="AC809" s="15">
        <f t="shared" si="512"/>
        <v>1</v>
      </c>
      <c r="AD809" s="15">
        <f t="shared" si="513"/>
        <v>1</v>
      </c>
      <c r="AE809" s="15">
        <f t="shared" si="514"/>
        <v>1</v>
      </c>
      <c r="AF809" s="15">
        <f t="shared" si="515"/>
        <v>1</v>
      </c>
      <c r="AG809" s="15">
        <f t="shared" si="516"/>
        <v>1</v>
      </c>
      <c r="AH809" s="15">
        <f t="shared" si="517"/>
        <v>1</v>
      </c>
      <c r="AI809" s="15">
        <f t="shared" si="518"/>
        <v>1</v>
      </c>
      <c r="AJ809" s="15">
        <f t="shared" si="519"/>
        <v>1</v>
      </c>
      <c r="AK809" s="15">
        <f t="shared" si="520"/>
        <v>1</v>
      </c>
      <c r="AL809" s="15">
        <f t="shared" si="521"/>
        <v>1</v>
      </c>
      <c r="AM809" s="15">
        <f t="shared" si="522"/>
        <v>1</v>
      </c>
      <c r="AN809" s="15">
        <f t="shared" si="523"/>
        <v>1</v>
      </c>
      <c r="AO809" s="15">
        <f t="shared" si="524"/>
        <v>1</v>
      </c>
      <c r="AP809" s="15">
        <f t="shared" si="525"/>
        <v>1</v>
      </c>
      <c r="AQ809" s="15">
        <f t="shared" si="526"/>
        <v>1</v>
      </c>
      <c r="AR809" s="15">
        <f t="shared" si="527"/>
        <v>1</v>
      </c>
      <c r="AS809" s="15">
        <f t="shared" si="528"/>
        <v>1</v>
      </c>
      <c r="AT809" s="15">
        <f t="shared" si="529"/>
        <v>1</v>
      </c>
      <c r="AU809" s="15">
        <f t="shared" si="530"/>
        <v>1</v>
      </c>
      <c r="AV809" s="15">
        <f t="shared" si="531"/>
        <v>1</v>
      </c>
      <c r="AW809" s="15">
        <f t="shared" si="532"/>
        <v>1</v>
      </c>
      <c r="AX809" s="15">
        <f t="shared" si="533"/>
        <v>1</v>
      </c>
      <c r="AY809" s="15">
        <f t="shared" si="534"/>
        <v>1</v>
      </c>
      <c r="AZ809" s="15">
        <f t="shared" si="535"/>
        <v>1</v>
      </c>
      <c r="BA809" s="15">
        <f t="shared" si="536"/>
        <v>1</v>
      </c>
      <c r="BB809" s="15">
        <f t="shared" si="504"/>
        <v>0</v>
      </c>
      <c r="BC809" s="15" t="str">
        <f t="shared" si="505"/>
        <v/>
      </c>
      <c r="BD809" s="15" t="str">
        <f t="shared" si="506"/>
        <v/>
      </c>
      <c r="BE809" s="11" t="e">
        <f t="shared" si="537"/>
        <v>#VALUE!</v>
      </c>
      <c r="BF809" s="11" t="e">
        <f t="shared" si="538"/>
        <v>#VALUE!</v>
      </c>
      <c r="BG809" s="11" t="e">
        <f t="shared" si="539"/>
        <v>#VALUE!</v>
      </c>
      <c r="BH809" t="str">
        <f t="shared" si="540"/>
        <v/>
      </c>
      <c r="BI809" t="str" cm="1">
        <f t="array" ref="BI809">_xlfn.IFS(
  L809&gt;0,"Critical Fail",
  M809&gt;0,"Important (Coaching)",
  TRUE,"Clean Pass"
)</f>
        <v>Clean Pass</v>
      </c>
      <c r="BJ809" t="str">
        <f t="shared" si="541"/>
        <v>NA</v>
      </c>
    </row>
    <row r="810" spans="1:62" x14ac:dyDescent="0.3">
      <c r="A810">
        <v>438275</v>
      </c>
      <c r="K810" t="str">
        <f t="shared" si="503"/>
        <v>Pass</v>
      </c>
      <c r="L810" s="15">
        <f t="shared" si="507"/>
        <v>0</v>
      </c>
      <c r="M810" s="15">
        <f t="shared" si="508"/>
        <v>0</v>
      </c>
      <c r="Z810" s="15">
        <f t="shared" si="509"/>
        <v>1</v>
      </c>
      <c r="AA810" s="15">
        <f t="shared" si="510"/>
        <v>1</v>
      </c>
      <c r="AB810" s="15">
        <f t="shared" si="511"/>
        <v>1</v>
      </c>
      <c r="AC810" s="15">
        <f t="shared" si="512"/>
        <v>1</v>
      </c>
      <c r="AD810" s="15">
        <f t="shared" si="513"/>
        <v>1</v>
      </c>
      <c r="AE810" s="15">
        <f t="shared" si="514"/>
        <v>1</v>
      </c>
      <c r="AF810" s="15">
        <f t="shared" si="515"/>
        <v>1</v>
      </c>
      <c r="AG810" s="15">
        <f t="shared" si="516"/>
        <v>1</v>
      </c>
      <c r="AH810" s="15">
        <f t="shared" si="517"/>
        <v>1</v>
      </c>
      <c r="AI810" s="15">
        <f t="shared" si="518"/>
        <v>1</v>
      </c>
      <c r="AJ810" s="15">
        <f t="shared" si="519"/>
        <v>1</v>
      </c>
      <c r="AK810" s="15">
        <f t="shared" si="520"/>
        <v>1</v>
      </c>
      <c r="AL810" s="15">
        <f t="shared" si="521"/>
        <v>1</v>
      </c>
      <c r="AM810" s="15">
        <f t="shared" si="522"/>
        <v>1</v>
      </c>
      <c r="AN810" s="15">
        <f t="shared" si="523"/>
        <v>1</v>
      </c>
      <c r="AO810" s="15">
        <f t="shared" si="524"/>
        <v>1</v>
      </c>
      <c r="AP810" s="15">
        <f t="shared" si="525"/>
        <v>1</v>
      </c>
      <c r="AQ810" s="15">
        <f t="shared" si="526"/>
        <v>1</v>
      </c>
      <c r="AR810" s="15">
        <f t="shared" si="527"/>
        <v>1</v>
      </c>
      <c r="AS810" s="15">
        <f t="shared" si="528"/>
        <v>1</v>
      </c>
      <c r="AT810" s="15">
        <f t="shared" si="529"/>
        <v>1</v>
      </c>
      <c r="AU810" s="15">
        <f t="shared" si="530"/>
        <v>1</v>
      </c>
      <c r="AV810" s="15">
        <f t="shared" si="531"/>
        <v>1</v>
      </c>
      <c r="AW810" s="15">
        <f t="shared" si="532"/>
        <v>1</v>
      </c>
      <c r="AX810" s="15">
        <f t="shared" si="533"/>
        <v>1</v>
      </c>
      <c r="AY810" s="15">
        <f t="shared" si="534"/>
        <v>1</v>
      </c>
      <c r="AZ810" s="15">
        <f t="shared" si="535"/>
        <v>1</v>
      </c>
      <c r="BA810" s="15">
        <f t="shared" si="536"/>
        <v>1</v>
      </c>
      <c r="BB810" s="15">
        <f t="shared" si="504"/>
        <v>0</v>
      </c>
      <c r="BC810" s="15" t="str">
        <f t="shared" si="505"/>
        <v/>
      </c>
      <c r="BD810" s="15" t="str">
        <f t="shared" si="506"/>
        <v/>
      </c>
      <c r="BE810" s="11" t="e">
        <f t="shared" si="537"/>
        <v>#VALUE!</v>
      </c>
      <c r="BF810" s="11" t="e">
        <f t="shared" si="538"/>
        <v>#VALUE!</v>
      </c>
      <c r="BG810" s="11" t="e">
        <f t="shared" si="539"/>
        <v>#VALUE!</v>
      </c>
      <c r="BH810" t="str">
        <f t="shared" si="540"/>
        <v/>
      </c>
      <c r="BI810" t="str" cm="1">
        <f t="array" ref="BI810">_xlfn.IFS(
  L810&gt;0,"Critical Fail",
  M810&gt;0,"Important (Coaching)",
  TRUE,"Clean Pass"
)</f>
        <v>Clean Pass</v>
      </c>
      <c r="BJ810" t="str">
        <f t="shared" si="541"/>
        <v>NA</v>
      </c>
    </row>
    <row r="811" spans="1:62" x14ac:dyDescent="0.3">
      <c r="A811">
        <v>636354</v>
      </c>
      <c r="K811" t="str">
        <f t="shared" si="503"/>
        <v>Pass</v>
      </c>
      <c r="L811" s="15">
        <f t="shared" si="507"/>
        <v>0</v>
      </c>
      <c r="M811" s="15">
        <f t="shared" si="508"/>
        <v>0</v>
      </c>
      <c r="Z811" s="15">
        <f t="shared" si="509"/>
        <v>1</v>
      </c>
      <c r="AA811" s="15">
        <f t="shared" si="510"/>
        <v>1</v>
      </c>
      <c r="AB811" s="15">
        <f t="shared" si="511"/>
        <v>1</v>
      </c>
      <c r="AC811" s="15">
        <f t="shared" si="512"/>
        <v>1</v>
      </c>
      <c r="AD811" s="15">
        <f t="shared" si="513"/>
        <v>1</v>
      </c>
      <c r="AE811" s="15">
        <f t="shared" si="514"/>
        <v>1</v>
      </c>
      <c r="AF811" s="15">
        <f t="shared" si="515"/>
        <v>1</v>
      </c>
      <c r="AG811" s="15">
        <f t="shared" si="516"/>
        <v>1</v>
      </c>
      <c r="AH811" s="15">
        <f t="shared" si="517"/>
        <v>1</v>
      </c>
      <c r="AI811" s="15">
        <f t="shared" si="518"/>
        <v>1</v>
      </c>
      <c r="AJ811" s="15">
        <f t="shared" si="519"/>
        <v>1</v>
      </c>
      <c r="AK811" s="15">
        <f t="shared" si="520"/>
        <v>1</v>
      </c>
      <c r="AL811" s="15">
        <f t="shared" si="521"/>
        <v>1</v>
      </c>
      <c r="AM811" s="15">
        <f t="shared" si="522"/>
        <v>1</v>
      </c>
      <c r="AN811" s="15">
        <f t="shared" si="523"/>
        <v>1</v>
      </c>
      <c r="AO811" s="15">
        <f t="shared" si="524"/>
        <v>1</v>
      </c>
      <c r="AP811" s="15">
        <f t="shared" si="525"/>
        <v>1</v>
      </c>
      <c r="AQ811" s="15">
        <f t="shared" si="526"/>
        <v>1</v>
      </c>
      <c r="AR811" s="15">
        <f t="shared" si="527"/>
        <v>1</v>
      </c>
      <c r="AS811" s="15">
        <f t="shared" si="528"/>
        <v>1</v>
      </c>
      <c r="AT811" s="15">
        <f t="shared" si="529"/>
        <v>1</v>
      </c>
      <c r="AU811" s="15">
        <f t="shared" si="530"/>
        <v>1</v>
      </c>
      <c r="AV811" s="15">
        <f t="shared" si="531"/>
        <v>1</v>
      </c>
      <c r="AW811" s="15">
        <f t="shared" si="532"/>
        <v>1</v>
      </c>
      <c r="AX811" s="15">
        <f t="shared" si="533"/>
        <v>1</v>
      </c>
      <c r="AY811" s="15">
        <f t="shared" si="534"/>
        <v>1</v>
      </c>
      <c r="AZ811" s="15">
        <f t="shared" si="535"/>
        <v>1</v>
      </c>
      <c r="BA811" s="15">
        <f t="shared" si="536"/>
        <v>1</v>
      </c>
      <c r="BB811" s="15">
        <f t="shared" si="504"/>
        <v>0</v>
      </c>
      <c r="BC811" s="15" t="str">
        <f t="shared" si="505"/>
        <v/>
      </c>
      <c r="BD811" s="15" t="str">
        <f t="shared" si="506"/>
        <v/>
      </c>
      <c r="BE811" s="11" t="e">
        <f t="shared" si="537"/>
        <v>#VALUE!</v>
      </c>
      <c r="BF811" s="11" t="e">
        <f t="shared" si="538"/>
        <v>#VALUE!</v>
      </c>
      <c r="BG811" s="11" t="e">
        <f t="shared" si="539"/>
        <v>#VALUE!</v>
      </c>
      <c r="BH811" t="str">
        <f t="shared" si="540"/>
        <v/>
      </c>
      <c r="BI811" t="str" cm="1">
        <f t="array" ref="BI811">_xlfn.IFS(
  L811&gt;0,"Critical Fail",
  M811&gt;0,"Important (Coaching)",
  TRUE,"Clean Pass"
)</f>
        <v>Clean Pass</v>
      </c>
      <c r="BJ811" t="str">
        <f t="shared" si="541"/>
        <v>NA</v>
      </c>
    </row>
    <row r="812" spans="1:62" x14ac:dyDescent="0.3">
      <c r="A812">
        <v>337258</v>
      </c>
      <c r="K812" t="str">
        <f t="shared" si="503"/>
        <v>Pass</v>
      </c>
      <c r="L812" s="15">
        <f t="shared" si="507"/>
        <v>0</v>
      </c>
      <c r="M812" s="15">
        <f t="shared" si="508"/>
        <v>0</v>
      </c>
      <c r="Z812" s="15">
        <f t="shared" si="509"/>
        <v>1</v>
      </c>
      <c r="AA812" s="15">
        <f t="shared" si="510"/>
        <v>1</v>
      </c>
      <c r="AB812" s="15">
        <f t="shared" si="511"/>
        <v>1</v>
      </c>
      <c r="AC812" s="15">
        <f t="shared" si="512"/>
        <v>1</v>
      </c>
      <c r="AD812" s="15">
        <f t="shared" si="513"/>
        <v>1</v>
      </c>
      <c r="AE812" s="15">
        <f t="shared" si="514"/>
        <v>1</v>
      </c>
      <c r="AF812" s="15">
        <f t="shared" si="515"/>
        <v>1</v>
      </c>
      <c r="AG812" s="15">
        <f t="shared" si="516"/>
        <v>1</v>
      </c>
      <c r="AH812" s="15">
        <f t="shared" si="517"/>
        <v>1</v>
      </c>
      <c r="AI812" s="15">
        <f t="shared" si="518"/>
        <v>1</v>
      </c>
      <c r="AJ812" s="15">
        <f t="shared" si="519"/>
        <v>1</v>
      </c>
      <c r="AK812" s="15">
        <f t="shared" si="520"/>
        <v>1</v>
      </c>
      <c r="AL812" s="15">
        <f t="shared" si="521"/>
        <v>1</v>
      </c>
      <c r="AM812" s="15">
        <f t="shared" si="522"/>
        <v>1</v>
      </c>
      <c r="AN812" s="15">
        <f t="shared" si="523"/>
        <v>1</v>
      </c>
      <c r="AO812" s="15">
        <f t="shared" si="524"/>
        <v>1</v>
      </c>
      <c r="AP812" s="15">
        <f t="shared" si="525"/>
        <v>1</v>
      </c>
      <c r="AQ812" s="15">
        <f t="shared" si="526"/>
        <v>1</v>
      </c>
      <c r="AR812" s="15">
        <f t="shared" si="527"/>
        <v>1</v>
      </c>
      <c r="AS812" s="15">
        <f t="shared" si="528"/>
        <v>1</v>
      </c>
      <c r="AT812" s="15">
        <f t="shared" si="529"/>
        <v>1</v>
      </c>
      <c r="AU812" s="15">
        <f t="shared" si="530"/>
        <v>1</v>
      </c>
      <c r="AV812" s="15">
        <f t="shared" si="531"/>
        <v>1</v>
      </c>
      <c r="AW812" s="15">
        <f t="shared" si="532"/>
        <v>1</v>
      </c>
      <c r="AX812" s="15">
        <f t="shared" si="533"/>
        <v>1</v>
      </c>
      <c r="AY812" s="15">
        <f t="shared" si="534"/>
        <v>1</v>
      </c>
      <c r="AZ812" s="15">
        <f t="shared" si="535"/>
        <v>1</v>
      </c>
      <c r="BA812" s="15">
        <f t="shared" si="536"/>
        <v>1</v>
      </c>
      <c r="BB812" s="15">
        <f t="shared" si="504"/>
        <v>0</v>
      </c>
      <c r="BC812" s="15" t="str">
        <f t="shared" si="505"/>
        <v/>
      </c>
      <c r="BD812" s="15" t="str">
        <f t="shared" si="506"/>
        <v/>
      </c>
      <c r="BE812" s="11" t="e">
        <f t="shared" si="537"/>
        <v>#VALUE!</v>
      </c>
      <c r="BF812" s="11" t="e">
        <f t="shared" si="538"/>
        <v>#VALUE!</v>
      </c>
      <c r="BG812" s="11" t="e">
        <f t="shared" si="539"/>
        <v>#VALUE!</v>
      </c>
      <c r="BH812" t="str">
        <f t="shared" si="540"/>
        <v/>
      </c>
      <c r="BI812" t="str" cm="1">
        <f t="array" ref="BI812">_xlfn.IFS(
  L812&gt;0,"Critical Fail",
  M812&gt;0,"Important (Coaching)",
  TRUE,"Clean Pass"
)</f>
        <v>Clean Pass</v>
      </c>
      <c r="BJ812" t="str">
        <f t="shared" si="541"/>
        <v>NA</v>
      </c>
    </row>
    <row r="813" spans="1:62" x14ac:dyDescent="0.3">
      <c r="A813">
        <v>352357</v>
      </c>
      <c r="K813" t="str">
        <f t="shared" si="503"/>
        <v>Pass</v>
      </c>
      <c r="L813" s="15">
        <f t="shared" si="507"/>
        <v>0</v>
      </c>
      <c r="M813" s="15">
        <f t="shared" si="508"/>
        <v>0</v>
      </c>
      <c r="Z813" s="15">
        <f t="shared" si="509"/>
        <v>1</v>
      </c>
      <c r="AA813" s="15">
        <f t="shared" si="510"/>
        <v>1</v>
      </c>
      <c r="AB813" s="15">
        <f t="shared" si="511"/>
        <v>1</v>
      </c>
      <c r="AC813" s="15">
        <f t="shared" si="512"/>
        <v>1</v>
      </c>
      <c r="AD813" s="15">
        <f t="shared" si="513"/>
        <v>1</v>
      </c>
      <c r="AE813" s="15">
        <f t="shared" si="514"/>
        <v>1</v>
      </c>
      <c r="AF813" s="15">
        <f t="shared" si="515"/>
        <v>1</v>
      </c>
      <c r="AG813" s="15">
        <f t="shared" si="516"/>
        <v>1</v>
      </c>
      <c r="AH813" s="15">
        <f t="shared" si="517"/>
        <v>1</v>
      </c>
      <c r="AI813" s="15">
        <f t="shared" si="518"/>
        <v>1</v>
      </c>
      <c r="AJ813" s="15">
        <f t="shared" si="519"/>
        <v>1</v>
      </c>
      <c r="AK813" s="15">
        <f t="shared" si="520"/>
        <v>1</v>
      </c>
      <c r="AL813" s="15">
        <f t="shared" si="521"/>
        <v>1</v>
      </c>
      <c r="AM813" s="15">
        <f t="shared" si="522"/>
        <v>1</v>
      </c>
      <c r="AN813" s="15">
        <f t="shared" si="523"/>
        <v>1</v>
      </c>
      <c r="AO813" s="15">
        <f t="shared" si="524"/>
        <v>1</v>
      </c>
      <c r="AP813" s="15">
        <f t="shared" si="525"/>
        <v>1</v>
      </c>
      <c r="AQ813" s="15">
        <f t="shared" si="526"/>
        <v>1</v>
      </c>
      <c r="AR813" s="15">
        <f t="shared" si="527"/>
        <v>1</v>
      </c>
      <c r="AS813" s="15">
        <f t="shared" si="528"/>
        <v>1</v>
      </c>
      <c r="AT813" s="15">
        <f t="shared" si="529"/>
        <v>1</v>
      </c>
      <c r="AU813" s="15">
        <f t="shared" si="530"/>
        <v>1</v>
      </c>
      <c r="AV813" s="15">
        <f t="shared" si="531"/>
        <v>1</v>
      </c>
      <c r="AW813" s="15">
        <f t="shared" si="532"/>
        <v>1</v>
      </c>
      <c r="AX813" s="15">
        <f t="shared" si="533"/>
        <v>1</v>
      </c>
      <c r="AY813" s="15">
        <f t="shared" si="534"/>
        <v>1</v>
      </c>
      <c r="AZ813" s="15">
        <f t="shared" si="535"/>
        <v>1</v>
      </c>
      <c r="BA813" s="15">
        <f t="shared" si="536"/>
        <v>1</v>
      </c>
      <c r="BB813" s="15">
        <f t="shared" si="504"/>
        <v>0</v>
      </c>
      <c r="BC813" s="15" t="str">
        <f t="shared" si="505"/>
        <v/>
      </c>
      <c r="BD813" s="15" t="str">
        <f t="shared" si="506"/>
        <v/>
      </c>
      <c r="BE813" s="11" t="e">
        <f t="shared" si="537"/>
        <v>#VALUE!</v>
      </c>
      <c r="BF813" s="11" t="e">
        <f t="shared" si="538"/>
        <v>#VALUE!</v>
      </c>
      <c r="BG813" s="11" t="e">
        <f t="shared" si="539"/>
        <v>#VALUE!</v>
      </c>
      <c r="BH813" t="str">
        <f t="shared" si="540"/>
        <v/>
      </c>
      <c r="BI813" t="str" cm="1">
        <f t="array" ref="BI813">_xlfn.IFS(
  L813&gt;0,"Critical Fail",
  M813&gt;0,"Important (Coaching)",
  TRUE,"Clean Pass"
)</f>
        <v>Clean Pass</v>
      </c>
      <c r="BJ813" t="str">
        <f t="shared" si="541"/>
        <v>NA</v>
      </c>
    </row>
    <row r="814" spans="1:62" x14ac:dyDescent="0.3">
      <c r="A814">
        <v>719831</v>
      </c>
      <c r="K814" t="str">
        <f t="shared" si="503"/>
        <v>Pass</v>
      </c>
      <c r="L814" s="15">
        <f t="shared" si="507"/>
        <v>0</v>
      </c>
      <c r="M814" s="15">
        <f t="shared" si="508"/>
        <v>0</v>
      </c>
      <c r="Z814" s="15">
        <f t="shared" si="509"/>
        <v>1</v>
      </c>
      <c r="AA814" s="15">
        <f t="shared" si="510"/>
        <v>1</v>
      </c>
      <c r="AB814" s="15">
        <f t="shared" si="511"/>
        <v>1</v>
      </c>
      <c r="AC814" s="15">
        <f t="shared" si="512"/>
        <v>1</v>
      </c>
      <c r="AD814" s="15">
        <f t="shared" si="513"/>
        <v>1</v>
      </c>
      <c r="AE814" s="15">
        <f t="shared" si="514"/>
        <v>1</v>
      </c>
      <c r="AF814" s="15">
        <f t="shared" si="515"/>
        <v>1</v>
      </c>
      <c r="AG814" s="15">
        <f t="shared" si="516"/>
        <v>1</v>
      </c>
      <c r="AH814" s="15">
        <f t="shared" si="517"/>
        <v>1</v>
      </c>
      <c r="AI814" s="15">
        <f t="shared" si="518"/>
        <v>1</v>
      </c>
      <c r="AJ814" s="15">
        <f t="shared" si="519"/>
        <v>1</v>
      </c>
      <c r="AK814" s="15">
        <f t="shared" si="520"/>
        <v>1</v>
      </c>
      <c r="AL814" s="15">
        <f t="shared" si="521"/>
        <v>1</v>
      </c>
      <c r="AM814" s="15">
        <f t="shared" si="522"/>
        <v>1</v>
      </c>
      <c r="AN814" s="15">
        <f t="shared" si="523"/>
        <v>1</v>
      </c>
      <c r="AO814" s="15">
        <f t="shared" si="524"/>
        <v>1</v>
      </c>
      <c r="AP814" s="15">
        <f t="shared" si="525"/>
        <v>1</v>
      </c>
      <c r="AQ814" s="15">
        <f t="shared" si="526"/>
        <v>1</v>
      </c>
      <c r="AR814" s="15">
        <f t="shared" si="527"/>
        <v>1</v>
      </c>
      <c r="AS814" s="15">
        <f t="shared" si="528"/>
        <v>1</v>
      </c>
      <c r="AT814" s="15">
        <f t="shared" si="529"/>
        <v>1</v>
      </c>
      <c r="AU814" s="15">
        <f t="shared" si="530"/>
        <v>1</v>
      </c>
      <c r="AV814" s="15">
        <f t="shared" si="531"/>
        <v>1</v>
      </c>
      <c r="AW814" s="15">
        <f t="shared" si="532"/>
        <v>1</v>
      </c>
      <c r="AX814" s="15">
        <f t="shared" si="533"/>
        <v>1</v>
      </c>
      <c r="AY814" s="15">
        <f t="shared" si="534"/>
        <v>1</v>
      </c>
      <c r="AZ814" s="15">
        <f t="shared" si="535"/>
        <v>1</v>
      </c>
      <c r="BA814" s="15">
        <f t="shared" si="536"/>
        <v>1</v>
      </c>
      <c r="BB814" s="15">
        <f t="shared" si="504"/>
        <v>0</v>
      </c>
      <c r="BC814" s="15" t="str">
        <f t="shared" si="505"/>
        <v/>
      </c>
      <c r="BD814" s="15" t="str">
        <f t="shared" si="506"/>
        <v/>
      </c>
      <c r="BE814" s="11" t="e">
        <f t="shared" si="537"/>
        <v>#VALUE!</v>
      </c>
      <c r="BF814" s="11" t="e">
        <f t="shared" si="538"/>
        <v>#VALUE!</v>
      </c>
      <c r="BG814" s="11" t="e">
        <f t="shared" si="539"/>
        <v>#VALUE!</v>
      </c>
      <c r="BH814" t="str">
        <f t="shared" si="540"/>
        <v/>
      </c>
      <c r="BI814" t="str" cm="1">
        <f t="array" ref="BI814">_xlfn.IFS(
  L814&gt;0,"Critical Fail",
  M814&gt;0,"Important (Coaching)",
  TRUE,"Clean Pass"
)</f>
        <v>Clean Pass</v>
      </c>
      <c r="BJ814" t="str">
        <f t="shared" si="541"/>
        <v>NA</v>
      </c>
    </row>
    <row r="815" spans="1:62" x14ac:dyDescent="0.3">
      <c r="A815">
        <v>616890</v>
      </c>
      <c r="K815" t="str">
        <f t="shared" si="503"/>
        <v>Pass</v>
      </c>
      <c r="L815" s="15">
        <f t="shared" si="507"/>
        <v>0</v>
      </c>
      <c r="M815" s="15">
        <f t="shared" si="508"/>
        <v>0</v>
      </c>
      <c r="Z815" s="15">
        <f t="shared" si="509"/>
        <v>1</v>
      </c>
      <c r="AA815" s="15">
        <f t="shared" si="510"/>
        <v>1</v>
      </c>
      <c r="AB815" s="15">
        <f t="shared" si="511"/>
        <v>1</v>
      </c>
      <c r="AC815" s="15">
        <f t="shared" si="512"/>
        <v>1</v>
      </c>
      <c r="AD815" s="15">
        <f t="shared" si="513"/>
        <v>1</v>
      </c>
      <c r="AE815" s="15">
        <f t="shared" si="514"/>
        <v>1</v>
      </c>
      <c r="AF815" s="15">
        <f t="shared" si="515"/>
        <v>1</v>
      </c>
      <c r="AG815" s="15">
        <f t="shared" si="516"/>
        <v>1</v>
      </c>
      <c r="AH815" s="15">
        <f t="shared" si="517"/>
        <v>1</v>
      </c>
      <c r="AI815" s="15">
        <f t="shared" si="518"/>
        <v>1</v>
      </c>
      <c r="AJ815" s="15">
        <f t="shared" si="519"/>
        <v>1</v>
      </c>
      <c r="AK815" s="15">
        <f t="shared" si="520"/>
        <v>1</v>
      </c>
      <c r="AL815" s="15">
        <f t="shared" si="521"/>
        <v>1</v>
      </c>
      <c r="AM815" s="15">
        <f t="shared" si="522"/>
        <v>1</v>
      </c>
      <c r="AN815" s="15">
        <f t="shared" si="523"/>
        <v>1</v>
      </c>
      <c r="AO815" s="15">
        <f t="shared" si="524"/>
        <v>1</v>
      </c>
      <c r="AP815" s="15">
        <f t="shared" si="525"/>
        <v>1</v>
      </c>
      <c r="AQ815" s="15">
        <f t="shared" si="526"/>
        <v>1</v>
      </c>
      <c r="AR815" s="15">
        <f t="shared" si="527"/>
        <v>1</v>
      </c>
      <c r="AS815" s="15">
        <f t="shared" si="528"/>
        <v>1</v>
      </c>
      <c r="AT815" s="15">
        <f t="shared" si="529"/>
        <v>1</v>
      </c>
      <c r="AU815" s="15">
        <f t="shared" si="530"/>
        <v>1</v>
      </c>
      <c r="AV815" s="15">
        <f t="shared" si="531"/>
        <v>1</v>
      </c>
      <c r="AW815" s="15">
        <f t="shared" si="532"/>
        <v>1</v>
      </c>
      <c r="AX815" s="15">
        <f t="shared" si="533"/>
        <v>1</v>
      </c>
      <c r="AY815" s="15">
        <f t="shared" si="534"/>
        <v>1</v>
      </c>
      <c r="AZ815" s="15">
        <f t="shared" si="535"/>
        <v>1</v>
      </c>
      <c r="BA815" s="15">
        <f t="shared" si="536"/>
        <v>1</v>
      </c>
      <c r="BB815" s="15">
        <f t="shared" si="504"/>
        <v>0</v>
      </c>
      <c r="BC815" s="15" t="str">
        <f t="shared" si="505"/>
        <v/>
      </c>
      <c r="BD815" s="15" t="str">
        <f t="shared" si="506"/>
        <v/>
      </c>
      <c r="BE815" s="11" t="e">
        <f t="shared" si="537"/>
        <v>#VALUE!</v>
      </c>
      <c r="BF815" s="11" t="e">
        <f t="shared" si="538"/>
        <v>#VALUE!</v>
      </c>
      <c r="BG815" s="11" t="e">
        <f t="shared" si="539"/>
        <v>#VALUE!</v>
      </c>
      <c r="BH815" t="str">
        <f t="shared" si="540"/>
        <v/>
      </c>
      <c r="BI815" t="str" cm="1">
        <f t="array" ref="BI815">_xlfn.IFS(
  L815&gt;0,"Critical Fail",
  M815&gt;0,"Important (Coaching)",
  TRUE,"Clean Pass"
)</f>
        <v>Clean Pass</v>
      </c>
      <c r="BJ815" t="str">
        <f t="shared" si="541"/>
        <v>NA</v>
      </c>
    </row>
    <row r="816" spans="1:62" x14ac:dyDescent="0.3">
      <c r="A816">
        <v>571648</v>
      </c>
      <c r="K816" t="str">
        <f t="shared" si="503"/>
        <v>Pass</v>
      </c>
      <c r="L816" s="15">
        <f t="shared" si="507"/>
        <v>0</v>
      </c>
      <c r="M816" s="15">
        <f t="shared" si="508"/>
        <v>0</v>
      </c>
      <c r="Z816" s="15">
        <f t="shared" si="509"/>
        <v>1</v>
      </c>
      <c r="AA816" s="15">
        <f t="shared" si="510"/>
        <v>1</v>
      </c>
      <c r="AB816" s="15">
        <f t="shared" si="511"/>
        <v>1</v>
      </c>
      <c r="AC816" s="15">
        <f t="shared" si="512"/>
        <v>1</v>
      </c>
      <c r="AD816" s="15">
        <f t="shared" si="513"/>
        <v>1</v>
      </c>
      <c r="AE816" s="15">
        <f t="shared" si="514"/>
        <v>1</v>
      </c>
      <c r="AF816" s="15">
        <f t="shared" si="515"/>
        <v>1</v>
      </c>
      <c r="AG816" s="15">
        <f t="shared" si="516"/>
        <v>1</v>
      </c>
      <c r="AH816" s="15">
        <f t="shared" si="517"/>
        <v>1</v>
      </c>
      <c r="AI816" s="15">
        <f t="shared" si="518"/>
        <v>1</v>
      </c>
      <c r="AJ816" s="15">
        <f t="shared" si="519"/>
        <v>1</v>
      </c>
      <c r="AK816" s="15">
        <f t="shared" si="520"/>
        <v>1</v>
      </c>
      <c r="AL816" s="15">
        <f t="shared" si="521"/>
        <v>1</v>
      </c>
      <c r="AM816" s="15">
        <f t="shared" si="522"/>
        <v>1</v>
      </c>
      <c r="AN816" s="15">
        <f t="shared" si="523"/>
        <v>1</v>
      </c>
      <c r="AO816" s="15">
        <f t="shared" si="524"/>
        <v>1</v>
      </c>
      <c r="AP816" s="15">
        <f t="shared" si="525"/>
        <v>1</v>
      </c>
      <c r="AQ816" s="15">
        <f t="shared" si="526"/>
        <v>1</v>
      </c>
      <c r="AR816" s="15">
        <f t="shared" si="527"/>
        <v>1</v>
      </c>
      <c r="AS816" s="15">
        <f t="shared" si="528"/>
        <v>1</v>
      </c>
      <c r="AT816" s="15">
        <f t="shared" si="529"/>
        <v>1</v>
      </c>
      <c r="AU816" s="15">
        <f t="shared" si="530"/>
        <v>1</v>
      </c>
      <c r="AV816" s="15">
        <f t="shared" si="531"/>
        <v>1</v>
      </c>
      <c r="AW816" s="15">
        <f t="shared" si="532"/>
        <v>1</v>
      </c>
      <c r="AX816" s="15">
        <f t="shared" si="533"/>
        <v>1</v>
      </c>
      <c r="AY816" s="15">
        <f t="shared" si="534"/>
        <v>1</v>
      </c>
      <c r="AZ816" s="15">
        <f t="shared" si="535"/>
        <v>1</v>
      </c>
      <c r="BA816" s="15">
        <f t="shared" si="536"/>
        <v>1</v>
      </c>
      <c r="BB816" s="15">
        <f t="shared" si="504"/>
        <v>0</v>
      </c>
      <c r="BC816" s="15" t="str">
        <f t="shared" si="505"/>
        <v/>
      </c>
      <c r="BD816" s="15" t="str">
        <f t="shared" si="506"/>
        <v/>
      </c>
      <c r="BE816" s="11" t="e">
        <f t="shared" si="537"/>
        <v>#VALUE!</v>
      </c>
      <c r="BF816" s="11" t="e">
        <f t="shared" si="538"/>
        <v>#VALUE!</v>
      </c>
      <c r="BG816" s="11" t="e">
        <f t="shared" si="539"/>
        <v>#VALUE!</v>
      </c>
      <c r="BH816" t="str">
        <f t="shared" si="540"/>
        <v/>
      </c>
      <c r="BI816" t="str" cm="1">
        <f t="array" ref="BI816">_xlfn.IFS(
  L816&gt;0,"Critical Fail",
  M816&gt;0,"Important (Coaching)",
  TRUE,"Clean Pass"
)</f>
        <v>Clean Pass</v>
      </c>
      <c r="BJ816" t="str">
        <f t="shared" si="541"/>
        <v>NA</v>
      </c>
    </row>
    <row r="817" spans="1:62" x14ac:dyDescent="0.3">
      <c r="A817">
        <v>585837</v>
      </c>
      <c r="K817" t="str">
        <f t="shared" si="503"/>
        <v>Pass</v>
      </c>
      <c r="L817" s="15">
        <f t="shared" si="507"/>
        <v>0</v>
      </c>
      <c r="M817" s="15">
        <f t="shared" si="508"/>
        <v>0</v>
      </c>
      <c r="Z817" s="15">
        <f t="shared" si="509"/>
        <v>1</v>
      </c>
      <c r="AA817" s="15">
        <f t="shared" si="510"/>
        <v>1</v>
      </c>
      <c r="AB817" s="15">
        <f t="shared" si="511"/>
        <v>1</v>
      </c>
      <c r="AC817" s="15">
        <f t="shared" si="512"/>
        <v>1</v>
      </c>
      <c r="AD817" s="15">
        <f t="shared" si="513"/>
        <v>1</v>
      </c>
      <c r="AE817" s="15">
        <f t="shared" si="514"/>
        <v>1</v>
      </c>
      <c r="AF817" s="15">
        <f t="shared" si="515"/>
        <v>1</v>
      </c>
      <c r="AG817" s="15">
        <f t="shared" si="516"/>
        <v>1</v>
      </c>
      <c r="AH817" s="15">
        <f t="shared" si="517"/>
        <v>1</v>
      </c>
      <c r="AI817" s="15">
        <f t="shared" si="518"/>
        <v>1</v>
      </c>
      <c r="AJ817" s="15">
        <f t="shared" si="519"/>
        <v>1</v>
      </c>
      <c r="AK817" s="15">
        <f t="shared" si="520"/>
        <v>1</v>
      </c>
      <c r="AL817" s="15">
        <f t="shared" si="521"/>
        <v>1</v>
      </c>
      <c r="AM817" s="15">
        <f t="shared" si="522"/>
        <v>1</v>
      </c>
      <c r="AN817" s="15">
        <f t="shared" si="523"/>
        <v>1</v>
      </c>
      <c r="AO817" s="15">
        <f t="shared" si="524"/>
        <v>1</v>
      </c>
      <c r="AP817" s="15">
        <f t="shared" si="525"/>
        <v>1</v>
      </c>
      <c r="AQ817" s="15">
        <f t="shared" si="526"/>
        <v>1</v>
      </c>
      <c r="AR817" s="15">
        <f t="shared" si="527"/>
        <v>1</v>
      </c>
      <c r="AS817" s="15">
        <f t="shared" si="528"/>
        <v>1</v>
      </c>
      <c r="AT817" s="15">
        <f t="shared" si="529"/>
        <v>1</v>
      </c>
      <c r="AU817" s="15">
        <f t="shared" si="530"/>
        <v>1</v>
      </c>
      <c r="AV817" s="15">
        <f t="shared" si="531"/>
        <v>1</v>
      </c>
      <c r="AW817" s="15">
        <f t="shared" si="532"/>
        <v>1</v>
      </c>
      <c r="AX817" s="15">
        <f t="shared" si="533"/>
        <v>1</v>
      </c>
      <c r="AY817" s="15">
        <f t="shared" si="534"/>
        <v>1</v>
      </c>
      <c r="AZ817" s="15">
        <f t="shared" si="535"/>
        <v>1</v>
      </c>
      <c r="BA817" s="15">
        <f t="shared" si="536"/>
        <v>1</v>
      </c>
      <c r="BB817" s="15">
        <f t="shared" si="504"/>
        <v>0</v>
      </c>
      <c r="BC817" s="15" t="str">
        <f t="shared" si="505"/>
        <v/>
      </c>
      <c r="BD817" s="15" t="str">
        <f t="shared" si="506"/>
        <v/>
      </c>
      <c r="BE817" s="11" t="e">
        <f t="shared" si="537"/>
        <v>#VALUE!</v>
      </c>
      <c r="BF817" s="11" t="e">
        <f t="shared" si="538"/>
        <v>#VALUE!</v>
      </c>
      <c r="BG817" s="11" t="e">
        <f t="shared" si="539"/>
        <v>#VALUE!</v>
      </c>
      <c r="BH817" t="str">
        <f t="shared" si="540"/>
        <v/>
      </c>
      <c r="BI817" t="str" cm="1">
        <f t="array" ref="BI817">_xlfn.IFS(
  L817&gt;0,"Critical Fail",
  M817&gt;0,"Important (Coaching)",
  TRUE,"Clean Pass"
)</f>
        <v>Clean Pass</v>
      </c>
      <c r="BJ817" t="str">
        <f t="shared" si="541"/>
        <v>NA</v>
      </c>
    </row>
    <row r="818" spans="1:62" x14ac:dyDescent="0.3">
      <c r="A818">
        <v>930389</v>
      </c>
      <c r="K818" t="str">
        <f t="shared" si="503"/>
        <v>Pass</v>
      </c>
      <c r="L818" s="15">
        <f t="shared" si="507"/>
        <v>0</v>
      </c>
      <c r="M818" s="15">
        <f t="shared" si="508"/>
        <v>0</v>
      </c>
      <c r="Z818" s="15">
        <f t="shared" si="509"/>
        <v>1</v>
      </c>
      <c r="AA818" s="15">
        <f t="shared" si="510"/>
        <v>1</v>
      </c>
      <c r="AB818" s="15">
        <f t="shared" si="511"/>
        <v>1</v>
      </c>
      <c r="AC818" s="15">
        <f t="shared" si="512"/>
        <v>1</v>
      </c>
      <c r="AD818" s="15">
        <f t="shared" si="513"/>
        <v>1</v>
      </c>
      <c r="AE818" s="15">
        <f t="shared" si="514"/>
        <v>1</v>
      </c>
      <c r="AF818" s="15">
        <f t="shared" si="515"/>
        <v>1</v>
      </c>
      <c r="AG818" s="15">
        <f t="shared" si="516"/>
        <v>1</v>
      </c>
      <c r="AH818" s="15">
        <f t="shared" si="517"/>
        <v>1</v>
      </c>
      <c r="AI818" s="15">
        <f t="shared" si="518"/>
        <v>1</v>
      </c>
      <c r="AJ818" s="15">
        <f t="shared" si="519"/>
        <v>1</v>
      </c>
      <c r="AK818" s="15">
        <f t="shared" si="520"/>
        <v>1</v>
      </c>
      <c r="AL818" s="15">
        <f t="shared" si="521"/>
        <v>1</v>
      </c>
      <c r="AM818" s="15">
        <f t="shared" si="522"/>
        <v>1</v>
      </c>
      <c r="AN818" s="15">
        <f t="shared" si="523"/>
        <v>1</v>
      </c>
      <c r="AO818" s="15">
        <f t="shared" si="524"/>
        <v>1</v>
      </c>
      <c r="AP818" s="15">
        <f t="shared" si="525"/>
        <v>1</v>
      </c>
      <c r="AQ818" s="15">
        <f t="shared" si="526"/>
        <v>1</v>
      </c>
      <c r="AR818" s="15">
        <f t="shared" si="527"/>
        <v>1</v>
      </c>
      <c r="AS818" s="15">
        <f t="shared" si="528"/>
        <v>1</v>
      </c>
      <c r="AT818" s="15">
        <f t="shared" si="529"/>
        <v>1</v>
      </c>
      <c r="AU818" s="15">
        <f t="shared" si="530"/>
        <v>1</v>
      </c>
      <c r="AV818" s="15">
        <f t="shared" si="531"/>
        <v>1</v>
      </c>
      <c r="AW818" s="15">
        <f t="shared" si="532"/>
        <v>1</v>
      </c>
      <c r="AX818" s="15">
        <f t="shared" si="533"/>
        <v>1</v>
      </c>
      <c r="AY818" s="15">
        <f t="shared" si="534"/>
        <v>1</v>
      </c>
      <c r="AZ818" s="15">
        <f t="shared" si="535"/>
        <v>1</v>
      </c>
      <c r="BA818" s="15">
        <f t="shared" si="536"/>
        <v>1</v>
      </c>
      <c r="BB818" s="15">
        <f t="shared" si="504"/>
        <v>0</v>
      </c>
      <c r="BC818" s="15" t="str">
        <f t="shared" si="505"/>
        <v/>
      </c>
      <c r="BD818" s="15" t="str">
        <f t="shared" si="506"/>
        <v/>
      </c>
      <c r="BE818" s="11" t="e">
        <f t="shared" si="537"/>
        <v>#VALUE!</v>
      </c>
      <c r="BF818" s="11" t="e">
        <f t="shared" si="538"/>
        <v>#VALUE!</v>
      </c>
      <c r="BG818" s="11" t="e">
        <f t="shared" si="539"/>
        <v>#VALUE!</v>
      </c>
      <c r="BH818" t="str">
        <f t="shared" si="540"/>
        <v/>
      </c>
      <c r="BI818" t="str" cm="1">
        <f t="array" ref="BI818">_xlfn.IFS(
  L818&gt;0,"Critical Fail",
  M818&gt;0,"Important (Coaching)",
  TRUE,"Clean Pass"
)</f>
        <v>Clean Pass</v>
      </c>
      <c r="BJ818" t="str">
        <f t="shared" si="541"/>
        <v>NA</v>
      </c>
    </row>
    <row r="819" spans="1:62" x14ac:dyDescent="0.3">
      <c r="A819">
        <v>412723</v>
      </c>
      <c r="K819" t="str">
        <f t="shared" si="503"/>
        <v>Pass</v>
      </c>
      <c r="L819" s="15">
        <f t="shared" si="507"/>
        <v>0</v>
      </c>
      <c r="M819" s="15">
        <f t="shared" si="508"/>
        <v>0</v>
      </c>
      <c r="Z819" s="15">
        <f t="shared" si="509"/>
        <v>1</v>
      </c>
      <c r="AA819" s="15">
        <f t="shared" si="510"/>
        <v>1</v>
      </c>
      <c r="AB819" s="15">
        <f t="shared" si="511"/>
        <v>1</v>
      </c>
      <c r="AC819" s="15">
        <f t="shared" si="512"/>
        <v>1</v>
      </c>
      <c r="AD819" s="15">
        <f t="shared" si="513"/>
        <v>1</v>
      </c>
      <c r="AE819" s="15">
        <f t="shared" si="514"/>
        <v>1</v>
      </c>
      <c r="AF819" s="15">
        <f t="shared" si="515"/>
        <v>1</v>
      </c>
      <c r="AG819" s="15">
        <f t="shared" si="516"/>
        <v>1</v>
      </c>
      <c r="AH819" s="15">
        <f t="shared" si="517"/>
        <v>1</v>
      </c>
      <c r="AI819" s="15">
        <f t="shared" si="518"/>
        <v>1</v>
      </c>
      <c r="AJ819" s="15">
        <f t="shared" si="519"/>
        <v>1</v>
      </c>
      <c r="AK819" s="15">
        <f t="shared" si="520"/>
        <v>1</v>
      </c>
      <c r="AL819" s="15">
        <f t="shared" si="521"/>
        <v>1</v>
      </c>
      <c r="AM819" s="15">
        <f t="shared" si="522"/>
        <v>1</v>
      </c>
      <c r="AN819" s="15">
        <f t="shared" si="523"/>
        <v>1</v>
      </c>
      <c r="AO819" s="15">
        <f t="shared" si="524"/>
        <v>1</v>
      </c>
      <c r="AP819" s="15">
        <f t="shared" si="525"/>
        <v>1</v>
      </c>
      <c r="AQ819" s="15">
        <f t="shared" si="526"/>
        <v>1</v>
      </c>
      <c r="AR819" s="15">
        <f t="shared" si="527"/>
        <v>1</v>
      </c>
      <c r="AS819" s="15">
        <f t="shared" si="528"/>
        <v>1</v>
      </c>
      <c r="AT819" s="15">
        <f t="shared" si="529"/>
        <v>1</v>
      </c>
      <c r="AU819" s="15">
        <f t="shared" si="530"/>
        <v>1</v>
      </c>
      <c r="AV819" s="15">
        <f t="shared" si="531"/>
        <v>1</v>
      </c>
      <c r="AW819" s="15">
        <f t="shared" si="532"/>
        <v>1</v>
      </c>
      <c r="AX819" s="15">
        <f t="shared" si="533"/>
        <v>1</v>
      </c>
      <c r="AY819" s="15">
        <f t="shared" si="534"/>
        <v>1</v>
      </c>
      <c r="AZ819" s="15">
        <f t="shared" si="535"/>
        <v>1</v>
      </c>
      <c r="BA819" s="15">
        <f t="shared" si="536"/>
        <v>1</v>
      </c>
      <c r="BB819" s="15">
        <f t="shared" si="504"/>
        <v>0</v>
      </c>
      <c r="BC819" s="15" t="str">
        <f t="shared" si="505"/>
        <v/>
      </c>
      <c r="BD819" s="15" t="str">
        <f t="shared" si="506"/>
        <v/>
      </c>
      <c r="BE819" s="11" t="e">
        <f t="shared" si="537"/>
        <v>#VALUE!</v>
      </c>
      <c r="BF819" s="11" t="e">
        <f t="shared" si="538"/>
        <v>#VALUE!</v>
      </c>
      <c r="BG819" s="11" t="e">
        <f t="shared" si="539"/>
        <v>#VALUE!</v>
      </c>
      <c r="BH819" t="str">
        <f t="shared" si="540"/>
        <v/>
      </c>
      <c r="BI819" t="str" cm="1">
        <f t="array" ref="BI819">_xlfn.IFS(
  L819&gt;0,"Critical Fail",
  M819&gt;0,"Important (Coaching)",
  TRUE,"Clean Pass"
)</f>
        <v>Clean Pass</v>
      </c>
      <c r="BJ819" t="str">
        <f t="shared" si="541"/>
        <v>NA</v>
      </c>
    </row>
    <row r="820" spans="1:62" x14ac:dyDescent="0.3">
      <c r="A820">
        <v>934565</v>
      </c>
      <c r="K820" t="str">
        <f t="shared" si="503"/>
        <v>Pass</v>
      </c>
      <c r="L820" s="15">
        <f t="shared" si="507"/>
        <v>0</v>
      </c>
      <c r="M820" s="15">
        <f t="shared" si="508"/>
        <v>0</v>
      </c>
      <c r="Z820" s="15">
        <f t="shared" si="509"/>
        <v>1</v>
      </c>
      <c r="AA820" s="15">
        <f t="shared" si="510"/>
        <v>1</v>
      </c>
      <c r="AB820" s="15">
        <f t="shared" si="511"/>
        <v>1</v>
      </c>
      <c r="AC820" s="15">
        <f t="shared" si="512"/>
        <v>1</v>
      </c>
      <c r="AD820" s="15">
        <f t="shared" si="513"/>
        <v>1</v>
      </c>
      <c r="AE820" s="15">
        <f t="shared" si="514"/>
        <v>1</v>
      </c>
      <c r="AF820" s="15">
        <f t="shared" si="515"/>
        <v>1</v>
      </c>
      <c r="AG820" s="15">
        <f t="shared" si="516"/>
        <v>1</v>
      </c>
      <c r="AH820" s="15">
        <f t="shared" si="517"/>
        <v>1</v>
      </c>
      <c r="AI820" s="15">
        <f t="shared" si="518"/>
        <v>1</v>
      </c>
      <c r="AJ820" s="15">
        <f t="shared" si="519"/>
        <v>1</v>
      </c>
      <c r="AK820" s="15">
        <f t="shared" si="520"/>
        <v>1</v>
      </c>
      <c r="AL820" s="15">
        <f t="shared" si="521"/>
        <v>1</v>
      </c>
      <c r="AM820" s="15">
        <f t="shared" si="522"/>
        <v>1</v>
      </c>
      <c r="AN820" s="15">
        <f t="shared" si="523"/>
        <v>1</v>
      </c>
      <c r="AO820" s="15">
        <f t="shared" si="524"/>
        <v>1</v>
      </c>
      <c r="AP820" s="15">
        <f t="shared" si="525"/>
        <v>1</v>
      </c>
      <c r="AQ820" s="15">
        <f t="shared" si="526"/>
        <v>1</v>
      </c>
      <c r="AR820" s="15">
        <f t="shared" si="527"/>
        <v>1</v>
      </c>
      <c r="AS820" s="15">
        <f t="shared" si="528"/>
        <v>1</v>
      </c>
      <c r="AT820" s="15">
        <f t="shared" si="529"/>
        <v>1</v>
      </c>
      <c r="AU820" s="15">
        <f t="shared" si="530"/>
        <v>1</v>
      </c>
      <c r="AV820" s="15">
        <f t="shared" si="531"/>
        <v>1</v>
      </c>
      <c r="AW820" s="15">
        <f t="shared" si="532"/>
        <v>1</v>
      </c>
      <c r="AX820" s="15">
        <f t="shared" si="533"/>
        <v>1</v>
      </c>
      <c r="AY820" s="15">
        <f t="shared" si="534"/>
        <v>1</v>
      </c>
      <c r="AZ820" s="15">
        <f t="shared" si="535"/>
        <v>1</v>
      </c>
      <c r="BA820" s="15">
        <f t="shared" si="536"/>
        <v>1</v>
      </c>
      <c r="BB820" s="15">
        <f t="shared" si="504"/>
        <v>0</v>
      </c>
      <c r="BC820" s="15" t="str">
        <f t="shared" si="505"/>
        <v/>
      </c>
      <c r="BD820" s="15" t="str">
        <f t="shared" si="506"/>
        <v/>
      </c>
      <c r="BE820" s="11" t="e">
        <f t="shared" si="537"/>
        <v>#VALUE!</v>
      </c>
      <c r="BF820" s="11" t="e">
        <f t="shared" si="538"/>
        <v>#VALUE!</v>
      </c>
      <c r="BG820" s="11" t="e">
        <f t="shared" si="539"/>
        <v>#VALUE!</v>
      </c>
      <c r="BH820" t="str">
        <f t="shared" si="540"/>
        <v/>
      </c>
      <c r="BI820" t="str" cm="1">
        <f t="array" ref="BI820">_xlfn.IFS(
  L820&gt;0,"Critical Fail",
  M820&gt;0,"Important (Coaching)",
  TRUE,"Clean Pass"
)</f>
        <v>Clean Pass</v>
      </c>
      <c r="BJ820" t="str">
        <f t="shared" si="541"/>
        <v>NA</v>
      </c>
    </row>
    <row r="821" spans="1:62" x14ac:dyDescent="0.3">
      <c r="A821">
        <v>186219</v>
      </c>
      <c r="K821" t="str">
        <f t="shared" si="503"/>
        <v>Pass</v>
      </c>
      <c r="L821" s="15">
        <f t="shared" si="507"/>
        <v>0</v>
      </c>
      <c r="M821" s="15">
        <f t="shared" si="508"/>
        <v>0</v>
      </c>
      <c r="Z821" s="15">
        <f t="shared" si="509"/>
        <v>1</v>
      </c>
      <c r="AA821" s="15">
        <f t="shared" si="510"/>
        <v>1</v>
      </c>
      <c r="AB821" s="15">
        <f t="shared" si="511"/>
        <v>1</v>
      </c>
      <c r="AC821" s="15">
        <f t="shared" si="512"/>
        <v>1</v>
      </c>
      <c r="AD821" s="15">
        <f t="shared" si="513"/>
        <v>1</v>
      </c>
      <c r="AE821" s="15">
        <f t="shared" si="514"/>
        <v>1</v>
      </c>
      <c r="AF821" s="15">
        <f t="shared" si="515"/>
        <v>1</v>
      </c>
      <c r="AG821" s="15">
        <f t="shared" si="516"/>
        <v>1</v>
      </c>
      <c r="AH821" s="15">
        <f t="shared" si="517"/>
        <v>1</v>
      </c>
      <c r="AI821" s="15">
        <f t="shared" si="518"/>
        <v>1</v>
      </c>
      <c r="AJ821" s="15">
        <f t="shared" si="519"/>
        <v>1</v>
      </c>
      <c r="AK821" s="15">
        <f t="shared" si="520"/>
        <v>1</v>
      </c>
      <c r="AL821" s="15">
        <f t="shared" si="521"/>
        <v>1</v>
      </c>
      <c r="AM821" s="15">
        <f t="shared" si="522"/>
        <v>1</v>
      </c>
      <c r="AN821" s="15">
        <f t="shared" si="523"/>
        <v>1</v>
      </c>
      <c r="AO821" s="15">
        <f t="shared" si="524"/>
        <v>1</v>
      </c>
      <c r="AP821" s="15">
        <f t="shared" si="525"/>
        <v>1</v>
      </c>
      <c r="AQ821" s="15">
        <f t="shared" si="526"/>
        <v>1</v>
      </c>
      <c r="AR821" s="15">
        <f t="shared" si="527"/>
        <v>1</v>
      </c>
      <c r="AS821" s="15">
        <f t="shared" si="528"/>
        <v>1</v>
      </c>
      <c r="AT821" s="15">
        <f t="shared" si="529"/>
        <v>1</v>
      </c>
      <c r="AU821" s="15">
        <f t="shared" si="530"/>
        <v>1</v>
      </c>
      <c r="AV821" s="15">
        <f t="shared" si="531"/>
        <v>1</v>
      </c>
      <c r="AW821" s="15">
        <f t="shared" si="532"/>
        <v>1</v>
      </c>
      <c r="AX821" s="15">
        <f t="shared" si="533"/>
        <v>1</v>
      </c>
      <c r="AY821" s="15">
        <f t="shared" si="534"/>
        <v>1</v>
      </c>
      <c r="AZ821" s="15">
        <f t="shared" si="535"/>
        <v>1</v>
      </c>
      <c r="BA821" s="15">
        <f t="shared" si="536"/>
        <v>1</v>
      </c>
      <c r="BB821" s="15">
        <f t="shared" si="504"/>
        <v>0</v>
      </c>
      <c r="BC821" s="15" t="str">
        <f t="shared" si="505"/>
        <v/>
      </c>
      <c r="BD821" s="15" t="str">
        <f t="shared" si="506"/>
        <v/>
      </c>
      <c r="BE821" s="11" t="e">
        <f t="shared" si="537"/>
        <v>#VALUE!</v>
      </c>
      <c r="BF821" s="11" t="e">
        <f t="shared" si="538"/>
        <v>#VALUE!</v>
      </c>
      <c r="BG821" s="11" t="e">
        <f t="shared" si="539"/>
        <v>#VALUE!</v>
      </c>
      <c r="BH821" t="str">
        <f t="shared" si="540"/>
        <v/>
      </c>
      <c r="BI821" t="str" cm="1">
        <f t="array" ref="BI821">_xlfn.IFS(
  L821&gt;0,"Critical Fail",
  M821&gt;0,"Important (Coaching)",
  TRUE,"Clean Pass"
)</f>
        <v>Clean Pass</v>
      </c>
      <c r="BJ821" t="str">
        <f t="shared" si="541"/>
        <v>NA</v>
      </c>
    </row>
    <row r="822" spans="1:62" x14ac:dyDescent="0.3">
      <c r="A822">
        <v>450396</v>
      </c>
      <c r="K822" t="str">
        <f t="shared" si="503"/>
        <v>Pass</v>
      </c>
      <c r="L822" s="15">
        <f t="shared" si="507"/>
        <v>0</v>
      </c>
      <c r="M822" s="15">
        <f t="shared" si="508"/>
        <v>0</v>
      </c>
      <c r="Z822" s="15">
        <f t="shared" si="509"/>
        <v>1</v>
      </c>
      <c r="AA822" s="15">
        <f t="shared" si="510"/>
        <v>1</v>
      </c>
      <c r="AB822" s="15">
        <f t="shared" si="511"/>
        <v>1</v>
      </c>
      <c r="AC822" s="15">
        <f t="shared" si="512"/>
        <v>1</v>
      </c>
      <c r="AD822" s="15">
        <f t="shared" si="513"/>
        <v>1</v>
      </c>
      <c r="AE822" s="15">
        <f t="shared" si="514"/>
        <v>1</v>
      </c>
      <c r="AF822" s="15">
        <f t="shared" si="515"/>
        <v>1</v>
      </c>
      <c r="AG822" s="15">
        <f t="shared" si="516"/>
        <v>1</v>
      </c>
      <c r="AH822" s="15">
        <f t="shared" si="517"/>
        <v>1</v>
      </c>
      <c r="AI822" s="15">
        <f t="shared" si="518"/>
        <v>1</v>
      </c>
      <c r="AJ822" s="15">
        <f t="shared" si="519"/>
        <v>1</v>
      </c>
      <c r="AK822" s="15">
        <f t="shared" si="520"/>
        <v>1</v>
      </c>
      <c r="AL822" s="15">
        <f t="shared" si="521"/>
        <v>1</v>
      </c>
      <c r="AM822" s="15">
        <f t="shared" si="522"/>
        <v>1</v>
      </c>
      <c r="AN822" s="15">
        <f t="shared" si="523"/>
        <v>1</v>
      </c>
      <c r="AO822" s="15">
        <f t="shared" si="524"/>
        <v>1</v>
      </c>
      <c r="AP822" s="15">
        <f t="shared" si="525"/>
        <v>1</v>
      </c>
      <c r="AQ822" s="15">
        <f t="shared" si="526"/>
        <v>1</v>
      </c>
      <c r="AR822" s="15">
        <f t="shared" si="527"/>
        <v>1</v>
      </c>
      <c r="AS822" s="15">
        <f t="shared" si="528"/>
        <v>1</v>
      </c>
      <c r="AT822" s="15">
        <f t="shared" si="529"/>
        <v>1</v>
      </c>
      <c r="AU822" s="15">
        <f t="shared" si="530"/>
        <v>1</v>
      </c>
      <c r="AV822" s="15">
        <f t="shared" si="531"/>
        <v>1</v>
      </c>
      <c r="AW822" s="15">
        <f t="shared" si="532"/>
        <v>1</v>
      </c>
      <c r="AX822" s="15">
        <f t="shared" si="533"/>
        <v>1</v>
      </c>
      <c r="AY822" s="15">
        <f t="shared" si="534"/>
        <v>1</v>
      </c>
      <c r="AZ822" s="15">
        <f t="shared" si="535"/>
        <v>1</v>
      </c>
      <c r="BA822" s="15">
        <f t="shared" si="536"/>
        <v>1</v>
      </c>
      <c r="BB822" s="15">
        <f t="shared" si="504"/>
        <v>0</v>
      </c>
      <c r="BC822" s="15" t="str">
        <f t="shared" si="505"/>
        <v/>
      </c>
      <c r="BD822" s="15" t="str">
        <f t="shared" si="506"/>
        <v/>
      </c>
      <c r="BE822" s="11" t="e">
        <f t="shared" si="537"/>
        <v>#VALUE!</v>
      </c>
      <c r="BF822" s="11" t="e">
        <f t="shared" si="538"/>
        <v>#VALUE!</v>
      </c>
      <c r="BG822" s="11" t="e">
        <f t="shared" si="539"/>
        <v>#VALUE!</v>
      </c>
      <c r="BH822" t="str">
        <f t="shared" si="540"/>
        <v/>
      </c>
      <c r="BI822" t="str" cm="1">
        <f t="array" ref="BI822">_xlfn.IFS(
  L822&gt;0,"Critical Fail",
  M822&gt;0,"Important (Coaching)",
  TRUE,"Clean Pass"
)</f>
        <v>Clean Pass</v>
      </c>
      <c r="BJ822" t="str">
        <f t="shared" si="541"/>
        <v>NA</v>
      </c>
    </row>
    <row r="823" spans="1:62" x14ac:dyDescent="0.3">
      <c r="A823">
        <v>111532</v>
      </c>
      <c r="K823" t="str">
        <f t="shared" si="503"/>
        <v>Pass</v>
      </c>
      <c r="L823" s="15">
        <f t="shared" si="507"/>
        <v>0</v>
      </c>
      <c r="M823" s="15">
        <f t="shared" si="508"/>
        <v>0</v>
      </c>
      <c r="Z823" s="15">
        <f t="shared" si="509"/>
        <v>1</v>
      </c>
      <c r="AA823" s="15">
        <f t="shared" si="510"/>
        <v>1</v>
      </c>
      <c r="AB823" s="15">
        <f t="shared" si="511"/>
        <v>1</v>
      </c>
      <c r="AC823" s="15">
        <f t="shared" si="512"/>
        <v>1</v>
      </c>
      <c r="AD823" s="15">
        <f t="shared" si="513"/>
        <v>1</v>
      </c>
      <c r="AE823" s="15">
        <f t="shared" si="514"/>
        <v>1</v>
      </c>
      <c r="AF823" s="15">
        <f t="shared" si="515"/>
        <v>1</v>
      </c>
      <c r="AG823" s="15">
        <f t="shared" si="516"/>
        <v>1</v>
      </c>
      <c r="AH823" s="15">
        <f t="shared" si="517"/>
        <v>1</v>
      </c>
      <c r="AI823" s="15">
        <f t="shared" si="518"/>
        <v>1</v>
      </c>
      <c r="AJ823" s="15">
        <f t="shared" si="519"/>
        <v>1</v>
      </c>
      <c r="AK823" s="15">
        <f t="shared" si="520"/>
        <v>1</v>
      </c>
      <c r="AL823" s="15">
        <f t="shared" si="521"/>
        <v>1</v>
      </c>
      <c r="AM823" s="15">
        <f t="shared" si="522"/>
        <v>1</v>
      </c>
      <c r="AN823" s="15">
        <f t="shared" si="523"/>
        <v>1</v>
      </c>
      <c r="AO823" s="15">
        <f t="shared" si="524"/>
        <v>1</v>
      </c>
      <c r="AP823" s="15">
        <f t="shared" si="525"/>
        <v>1</v>
      </c>
      <c r="AQ823" s="15">
        <f t="shared" si="526"/>
        <v>1</v>
      </c>
      <c r="AR823" s="15">
        <f t="shared" si="527"/>
        <v>1</v>
      </c>
      <c r="AS823" s="15">
        <f t="shared" si="528"/>
        <v>1</v>
      </c>
      <c r="AT823" s="15">
        <f t="shared" si="529"/>
        <v>1</v>
      </c>
      <c r="AU823" s="15">
        <f t="shared" si="530"/>
        <v>1</v>
      </c>
      <c r="AV823" s="15">
        <f t="shared" si="531"/>
        <v>1</v>
      </c>
      <c r="AW823" s="15">
        <f t="shared" si="532"/>
        <v>1</v>
      </c>
      <c r="AX823" s="15">
        <f t="shared" si="533"/>
        <v>1</v>
      </c>
      <c r="AY823" s="15">
        <f t="shared" si="534"/>
        <v>1</v>
      </c>
      <c r="AZ823" s="15">
        <f t="shared" si="535"/>
        <v>1</v>
      </c>
      <c r="BA823" s="15">
        <f t="shared" si="536"/>
        <v>1</v>
      </c>
      <c r="BB823" s="15">
        <f t="shared" si="504"/>
        <v>0</v>
      </c>
      <c r="BC823" s="15" t="str">
        <f t="shared" si="505"/>
        <v/>
      </c>
      <c r="BD823" s="15" t="str">
        <f t="shared" si="506"/>
        <v/>
      </c>
      <c r="BE823" s="11" t="e">
        <f t="shared" si="537"/>
        <v>#VALUE!</v>
      </c>
      <c r="BF823" s="11" t="e">
        <f t="shared" si="538"/>
        <v>#VALUE!</v>
      </c>
      <c r="BG823" s="11" t="e">
        <f t="shared" si="539"/>
        <v>#VALUE!</v>
      </c>
      <c r="BH823" t="str">
        <f t="shared" si="540"/>
        <v/>
      </c>
      <c r="BI823" t="str" cm="1">
        <f t="array" ref="BI823">_xlfn.IFS(
  L823&gt;0,"Critical Fail",
  M823&gt;0,"Important (Coaching)",
  TRUE,"Clean Pass"
)</f>
        <v>Clean Pass</v>
      </c>
      <c r="BJ823" t="str">
        <f t="shared" si="541"/>
        <v>NA</v>
      </c>
    </row>
    <row r="824" spans="1:62" x14ac:dyDescent="0.3">
      <c r="A824">
        <v>131448</v>
      </c>
      <c r="K824" t="str">
        <f t="shared" si="503"/>
        <v>Pass</v>
      </c>
      <c r="L824" s="15">
        <f t="shared" si="507"/>
        <v>0</v>
      </c>
      <c r="M824" s="15">
        <f t="shared" si="508"/>
        <v>0</v>
      </c>
      <c r="Z824" s="15">
        <f t="shared" si="509"/>
        <v>1</v>
      </c>
      <c r="AA824" s="15">
        <f t="shared" si="510"/>
        <v>1</v>
      </c>
      <c r="AB824" s="15">
        <f t="shared" si="511"/>
        <v>1</v>
      </c>
      <c r="AC824" s="15">
        <f t="shared" si="512"/>
        <v>1</v>
      </c>
      <c r="AD824" s="15">
        <f t="shared" si="513"/>
        <v>1</v>
      </c>
      <c r="AE824" s="15">
        <f t="shared" si="514"/>
        <v>1</v>
      </c>
      <c r="AF824" s="15">
        <f t="shared" si="515"/>
        <v>1</v>
      </c>
      <c r="AG824" s="15">
        <f t="shared" si="516"/>
        <v>1</v>
      </c>
      <c r="AH824" s="15">
        <f t="shared" si="517"/>
        <v>1</v>
      </c>
      <c r="AI824" s="15">
        <f t="shared" si="518"/>
        <v>1</v>
      </c>
      <c r="AJ824" s="15">
        <f t="shared" si="519"/>
        <v>1</v>
      </c>
      <c r="AK824" s="15">
        <f t="shared" si="520"/>
        <v>1</v>
      </c>
      <c r="AL824" s="15">
        <f t="shared" si="521"/>
        <v>1</v>
      </c>
      <c r="AM824" s="15">
        <f t="shared" si="522"/>
        <v>1</v>
      </c>
      <c r="AN824" s="15">
        <f t="shared" si="523"/>
        <v>1</v>
      </c>
      <c r="AO824" s="15">
        <f t="shared" si="524"/>
        <v>1</v>
      </c>
      <c r="AP824" s="15">
        <f t="shared" si="525"/>
        <v>1</v>
      </c>
      <c r="AQ824" s="15">
        <f t="shared" si="526"/>
        <v>1</v>
      </c>
      <c r="AR824" s="15">
        <f t="shared" si="527"/>
        <v>1</v>
      </c>
      <c r="AS824" s="15">
        <f t="shared" si="528"/>
        <v>1</v>
      </c>
      <c r="AT824" s="15">
        <f t="shared" si="529"/>
        <v>1</v>
      </c>
      <c r="AU824" s="15">
        <f t="shared" si="530"/>
        <v>1</v>
      </c>
      <c r="AV824" s="15">
        <f t="shared" si="531"/>
        <v>1</v>
      </c>
      <c r="AW824" s="15">
        <f t="shared" si="532"/>
        <v>1</v>
      </c>
      <c r="AX824" s="15">
        <f t="shared" si="533"/>
        <v>1</v>
      </c>
      <c r="AY824" s="15">
        <f t="shared" si="534"/>
        <v>1</v>
      </c>
      <c r="AZ824" s="15">
        <f t="shared" si="535"/>
        <v>1</v>
      </c>
      <c r="BA824" s="15">
        <f t="shared" si="536"/>
        <v>1</v>
      </c>
      <c r="BB824" s="15">
        <f t="shared" si="504"/>
        <v>0</v>
      </c>
      <c r="BC824" s="15" t="str">
        <f t="shared" si="505"/>
        <v/>
      </c>
      <c r="BD824" s="15" t="str">
        <f t="shared" si="506"/>
        <v/>
      </c>
      <c r="BE824" s="11" t="e">
        <f t="shared" si="537"/>
        <v>#VALUE!</v>
      </c>
      <c r="BF824" s="11" t="e">
        <f t="shared" si="538"/>
        <v>#VALUE!</v>
      </c>
      <c r="BG824" s="11" t="e">
        <f t="shared" si="539"/>
        <v>#VALUE!</v>
      </c>
      <c r="BH824" t="str">
        <f t="shared" si="540"/>
        <v/>
      </c>
      <c r="BI824" t="str" cm="1">
        <f t="array" ref="BI824">_xlfn.IFS(
  L824&gt;0,"Critical Fail",
  M824&gt;0,"Important (Coaching)",
  TRUE,"Clean Pass"
)</f>
        <v>Clean Pass</v>
      </c>
      <c r="BJ824" t="str">
        <f t="shared" si="541"/>
        <v>NA</v>
      </c>
    </row>
    <row r="825" spans="1:62" x14ac:dyDescent="0.3">
      <c r="A825">
        <v>182505</v>
      </c>
      <c r="K825" t="str">
        <f t="shared" si="503"/>
        <v>Pass</v>
      </c>
      <c r="L825" s="15">
        <f t="shared" si="507"/>
        <v>0</v>
      </c>
      <c r="M825" s="15">
        <f t="shared" si="508"/>
        <v>0</v>
      </c>
      <c r="Z825" s="15">
        <f t="shared" si="509"/>
        <v>1</v>
      </c>
      <c r="AA825" s="15">
        <f t="shared" si="510"/>
        <v>1</v>
      </c>
      <c r="AB825" s="15">
        <f t="shared" si="511"/>
        <v>1</v>
      </c>
      <c r="AC825" s="15">
        <f t="shared" si="512"/>
        <v>1</v>
      </c>
      <c r="AD825" s="15">
        <f t="shared" si="513"/>
        <v>1</v>
      </c>
      <c r="AE825" s="15">
        <f t="shared" si="514"/>
        <v>1</v>
      </c>
      <c r="AF825" s="15">
        <f t="shared" si="515"/>
        <v>1</v>
      </c>
      <c r="AG825" s="15">
        <f t="shared" si="516"/>
        <v>1</v>
      </c>
      <c r="AH825" s="15">
        <f t="shared" si="517"/>
        <v>1</v>
      </c>
      <c r="AI825" s="15">
        <f t="shared" si="518"/>
        <v>1</v>
      </c>
      <c r="AJ825" s="15">
        <f t="shared" si="519"/>
        <v>1</v>
      </c>
      <c r="AK825" s="15">
        <f t="shared" si="520"/>
        <v>1</v>
      </c>
      <c r="AL825" s="15">
        <f t="shared" si="521"/>
        <v>1</v>
      </c>
      <c r="AM825" s="15">
        <f t="shared" si="522"/>
        <v>1</v>
      </c>
      <c r="AN825" s="15">
        <f t="shared" si="523"/>
        <v>1</v>
      </c>
      <c r="AO825" s="15">
        <f t="shared" si="524"/>
        <v>1</v>
      </c>
      <c r="AP825" s="15">
        <f t="shared" si="525"/>
        <v>1</v>
      </c>
      <c r="AQ825" s="15">
        <f t="shared" si="526"/>
        <v>1</v>
      </c>
      <c r="AR825" s="15">
        <f t="shared" si="527"/>
        <v>1</v>
      </c>
      <c r="AS825" s="15">
        <f t="shared" si="528"/>
        <v>1</v>
      </c>
      <c r="AT825" s="15">
        <f t="shared" si="529"/>
        <v>1</v>
      </c>
      <c r="AU825" s="15">
        <f t="shared" si="530"/>
        <v>1</v>
      </c>
      <c r="AV825" s="15">
        <f t="shared" si="531"/>
        <v>1</v>
      </c>
      <c r="AW825" s="15">
        <f t="shared" si="532"/>
        <v>1</v>
      </c>
      <c r="AX825" s="15">
        <f t="shared" si="533"/>
        <v>1</v>
      </c>
      <c r="AY825" s="15">
        <f t="shared" si="534"/>
        <v>1</v>
      </c>
      <c r="AZ825" s="15">
        <f t="shared" si="535"/>
        <v>1</v>
      </c>
      <c r="BA825" s="15">
        <f t="shared" si="536"/>
        <v>1</v>
      </c>
      <c r="BB825" s="15">
        <f t="shared" si="504"/>
        <v>0</v>
      </c>
      <c r="BC825" s="15" t="str">
        <f t="shared" si="505"/>
        <v/>
      </c>
      <c r="BD825" s="15" t="str">
        <f t="shared" si="506"/>
        <v/>
      </c>
      <c r="BE825" s="11" t="e">
        <f t="shared" si="537"/>
        <v>#VALUE!</v>
      </c>
      <c r="BF825" s="11" t="e">
        <f t="shared" si="538"/>
        <v>#VALUE!</v>
      </c>
      <c r="BG825" s="11" t="e">
        <f t="shared" si="539"/>
        <v>#VALUE!</v>
      </c>
      <c r="BH825" t="str">
        <f t="shared" si="540"/>
        <v/>
      </c>
      <c r="BI825" t="str" cm="1">
        <f t="array" ref="BI825">_xlfn.IFS(
  L825&gt;0,"Critical Fail",
  M825&gt;0,"Important (Coaching)",
  TRUE,"Clean Pass"
)</f>
        <v>Clean Pass</v>
      </c>
      <c r="BJ825" t="str">
        <f t="shared" si="541"/>
        <v>NA</v>
      </c>
    </row>
    <row r="826" spans="1:62" x14ac:dyDescent="0.3">
      <c r="A826">
        <v>240047</v>
      </c>
      <c r="K826" t="str">
        <f t="shared" si="503"/>
        <v>Pass</v>
      </c>
      <c r="L826" s="15">
        <f t="shared" si="507"/>
        <v>0</v>
      </c>
      <c r="M826" s="15">
        <f t="shared" si="508"/>
        <v>0</v>
      </c>
      <c r="Z826" s="15">
        <f t="shared" si="509"/>
        <v>1</v>
      </c>
      <c r="AA826" s="15">
        <f t="shared" si="510"/>
        <v>1</v>
      </c>
      <c r="AB826" s="15">
        <f t="shared" si="511"/>
        <v>1</v>
      </c>
      <c r="AC826" s="15">
        <f t="shared" si="512"/>
        <v>1</v>
      </c>
      <c r="AD826" s="15">
        <f t="shared" si="513"/>
        <v>1</v>
      </c>
      <c r="AE826" s="15">
        <f t="shared" si="514"/>
        <v>1</v>
      </c>
      <c r="AF826" s="15">
        <f t="shared" si="515"/>
        <v>1</v>
      </c>
      <c r="AG826" s="15">
        <f t="shared" si="516"/>
        <v>1</v>
      </c>
      <c r="AH826" s="15">
        <f t="shared" si="517"/>
        <v>1</v>
      </c>
      <c r="AI826" s="15">
        <f t="shared" si="518"/>
        <v>1</v>
      </c>
      <c r="AJ826" s="15">
        <f t="shared" si="519"/>
        <v>1</v>
      </c>
      <c r="AK826" s="15">
        <f t="shared" si="520"/>
        <v>1</v>
      </c>
      <c r="AL826" s="15">
        <f t="shared" si="521"/>
        <v>1</v>
      </c>
      <c r="AM826" s="15">
        <f t="shared" si="522"/>
        <v>1</v>
      </c>
      <c r="AN826" s="15">
        <f t="shared" si="523"/>
        <v>1</v>
      </c>
      <c r="AO826" s="15">
        <f t="shared" si="524"/>
        <v>1</v>
      </c>
      <c r="AP826" s="15">
        <f t="shared" si="525"/>
        <v>1</v>
      </c>
      <c r="AQ826" s="15">
        <f t="shared" si="526"/>
        <v>1</v>
      </c>
      <c r="AR826" s="15">
        <f t="shared" si="527"/>
        <v>1</v>
      </c>
      <c r="AS826" s="15">
        <f t="shared" si="528"/>
        <v>1</v>
      </c>
      <c r="AT826" s="15">
        <f t="shared" si="529"/>
        <v>1</v>
      </c>
      <c r="AU826" s="15">
        <f t="shared" si="530"/>
        <v>1</v>
      </c>
      <c r="AV826" s="15">
        <f t="shared" si="531"/>
        <v>1</v>
      </c>
      <c r="AW826" s="15">
        <f t="shared" si="532"/>
        <v>1</v>
      </c>
      <c r="AX826" s="15">
        <f t="shared" si="533"/>
        <v>1</v>
      </c>
      <c r="AY826" s="15">
        <f t="shared" si="534"/>
        <v>1</v>
      </c>
      <c r="AZ826" s="15">
        <f t="shared" si="535"/>
        <v>1</v>
      </c>
      <c r="BA826" s="15">
        <f t="shared" si="536"/>
        <v>1</v>
      </c>
      <c r="BB826" s="15">
        <f t="shared" si="504"/>
        <v>0</v>
      </c>
      <c r="BC826" s="15" t="str">
        <f t="shared" si="505"/>
        <v/>
      </c>
      <c r="BD826" s="15" t="str">
        <f t="shared" si="506"/>
        <v/>
      </c>
      <c r="BE826" s="11" t="e">
        <f t="shared" si="537"/>
        <v>#VALUE!</v>
      </c>
      <c r="BF826" s="11" t="e">
        <f t="shared" si="538"/>
        <v>#VALUE!</v>
      </c>
      <c r="BG826" s="11" t="e">
        <f t="shared" si="539"/>
        <v>#VALUE!</v>
      </c>
      <c r="BH826" t="str">
        <f t="shared" si="540"/>
        <v/>
      </c>
      <c r="BI826" t="str" cm="1">
        <f t="array" ref="BI826">_xlfn.IFS(
  L826&gt;0,"Critical Fail",
  M826&gt;0,"Important (Coaching)",
  TRUE,"Clean Pass"
)</f>
        <v>Clean Pass</v>
      </c>
      <c r="BJ826" t="str">
        <f t="shared" si="541"/>
        <v>NA</v>
      </c>
    </row>
    <row r="827" spans="1:62" x14ac:dyDescent="0.3">
      <c r="A827">
        <v>151275</v>
      </c>
      <c r="K827" t="str">
        <f t="shared" si="503"/>
        <v>Pass</v>
      </c>
      <c r="L827" s="15">
        <f t="shared" si="507"/>
        <v>0</v>
      </c>
      <c r="M827" s="15">
        <f t="shared" si="508"/>
        <v>0</v>
      </c>
      <c r="Z827" s="15">
        <f t="shared" si="509"/>
        <v>1</v>
      </c>
      <c r="AA827" s="15">
        <f t="shared" si="510"/>
        <v>1</v>
      </c>
      <c r="AB827" s="15">
        <f t="shared" si="511"/>
        <v>1</v>
      </c>
      <c r="AC827" s="15">
        <f t="shared" si="512"/>
        <v>1</v>
      </c>
      <c r="AD827" s="15">
        <f t="shared" si="513"/>
        <v>1</v>
      </c>
      <c r="AE827" s="15">
        <f t="shared" si="514"/>
        <v>1</v>
      </c>
      <c r="AF827" s="15">
        <f t="shared" si="515"/>
        <v>1</v>
      </c>
      <c r="AG827" s="15">
        <f t="shared" si="516"/>
        <v>1</v>
      </c>
      <c r="AH827" s="15">
        <f t="shared" si="517"/>
        <v>1</v>
      </c>
      <c r="AI827" s="15">
        <f t="shared" si="518"/>
        <v>1</v>
      </c>
      <c r="AJ827" s="15">
        <f t="shared" si="519"/>
        <v>1</v>
      </c>
      <c r="AK827" s="15">
        <f t="shared" si="520"/>
        <v>1</v>
      </c>
      <c r="AL827" s="15">
        <f t="shared" si="521"/>
        <v>1</v>
      </c>
      <c r="AM827" s="15">
        <f t="shared" si="522"/>
        <v>1</v>
      </c>
      <c r="AN827" s="15">
        <f t="shared" si="523"/>
        <v>1</v>
      </c>
      <c r="AO827" s="15">
        <f t="shared" si="524"/>
        <v>1</v>
      </c>
      <c r="AP827" s="15">
        <f t="shared" si="525"/>
        <v>1</v>
      </c>
      <c r="AQ827" s="15">
        <f t="shared" si="526"/>
        <v>1</v>
      </c>
      <c r="AR827" s="15">
        <f t="shared" si="527"/>
        <v>1</v>
      </c>
      <c r="AS827" s="15">
        <f t="shared" si="528"/>
        <v>1</v>
      </c>
      <c r="AT827" s="15">
        <f t="shared" si="529"/>
        <v>1</v>
      </c>
      <c r="AU827" s="15">
        <f t="shared" si="530"/>
        <v>1</v>
      </c>
      <c r="AV827" s="15">
        <f t="shared" si="531"/>
        <v>1</v>
      </c>
      <c r="AW827" s="15">
        <f t="shared" si="532"/>
        <v>1</v>
      </c>
      <c r="AX827" s="15">
        <f t="shared" si="533"/>
        <v>1</v>
      </c>
      <c r="AY827" s="15">
        <f t="shared" si="534"/>
        <v>1</v>
      </c>
      <c r="AZ827" s="15">
        <f t="shared" si="535"/>
        <v>1</v>
      </c>
      <c r="BA827" s="15">
        <f t="shared" si="536"/>
        <v>1</v>
      </c>
      <c r="BB827" s="15">
        <f t="shared" si="504"/>
        <v>0</v>
      </c>
      <c r="BC827" s="15" t="str">
        <f t="shared" si="505"/>
        <v/>
      </c>
      <c r="BD827" s="15" t="str">
        <f t="shared" si="506"/>
        <v/>
      </c>
      <c r="BE827" s="11" t="e">
        <f t="shared" si="537"/>
        <v>#VALUE!</v>
      </c>
      <c r="BF827" s="11" t="e">
        <f t="shared" si="538"/>
        <v>#VALUE!</v>
      </c>
      <c r="BG827" s="11" t="e">
        <f t="shared" si="539"/>
        <v>#VALUE!</v>
      </c>
      <c r="BH827" t="str">
        <f t="shared" si="540"/>
        <v/>
      </c>
      <c r="BI827" t="str" cm="1">
        <f t="array" ref="BI827">_xlfn.IFS(
  L827&gt;0,"Critical Fail",
  M827&gt;0,"Important (Coaching)",
  TRUE,"Clean Pass"
)</f>
        <v>Clean Pass</v>
      </c>
      <c r="BJ827" t="str">
        <f t="shared" si="541"/>
        <v>NA</v>
      </c>
    </row>
    <row r="828" spans="1:62" x14ac:dyDescent="0.3">
      <c r="A828">
        <v>783918</v>
      </c>
      <c r="K828" t="str">
        <f t="shared" si="503"/>
        <v>Pass</v>
      </c>
      <c r="L828" s="15">
        <f t="shared" si="507"/>
        <v>0</v>
      </c>
      <c r="M828" s="15">
        <f t="shared" si="508"/>
        <v>0</v>
      </c>
      <c r="Z828" s="15">
        <f t="shared" si="509"/>
        <v>1</v>
      </c>
      <c r="AA828" s="15">
        <f t="shared" si="510"/>
        <v>1</v>
      </c>
      <c r="AB828" s="15">
        <f t="shared" si="511"/>
        <v>1</v>
      </c>
      <c r="AC828" s="15">
        <f t="shared" si="512"/>
        <v>1</v>
      </c>
      <c r="AD828" s="15">
        <f t="shared" si="513"/>
        <v>1</v>
      </c>
      <c r="AE828" s="15">
        <f t="shared" si="514"/>
        <v>1</v>
      </c>
      <c r="AF828" s="15">
        <f t="shared" si="515"/>
        <v>1</v>
      </c>
      <c r="AG828" s="15">
        <f t="shared" si="516"/>
        <v>1</v>
      </c>
      <c r="AH828" s="15">
        <f t="shared" si="517"/>
        <v>1</v>
      </c>
      <c r="AI828" s="15">
        <f t="shared" si="518"/>
        <v>1</v>
      </c>
      <c r="AJ828" s="15">
        <f t="shared" si="519"/>
        <v>1</v>
      </c>
      <c r="AK828" s="15">
        <f t="shared" si="520"/>
        <v>1</v>
      </c>
      <c r="AL828" s="15">
        <f t="shared" si="521"/>
        <v>1</v>
      </c>
      <c r="AM828" s="15">
        <f t="shared" si="522"/>
        <v>1</v>
      </c>
      <c r="AN828" s="15">
        <f t="shared" si="523"/>
        <v>1</v>
      </c>
      <c r="AO828" s="15">
        <f t="shared" si="524"/>
        <v>1</v>
      </c>
      <c r="AP828" s="15">
        <f t="shared" si="525"/>
        <v>1</v>
      </c>
      <c r="AQ828" s="15">
        <f t="shared" si="526"/>
        <v>1</v>
      </c>
      <c r="AR828" s="15">
        <f t="shared" si="527"/>
        <v>1</v>
      </c>
      <c r="AS828" s="15">
        <f t="shared" si="528"/>
        <v>1</v>
      </c>
      <c r="AT828" s="15">
        <f t="shared" si="529"/>
        <v>1</v>
      </c>
      <c r="AU828" s="15">
        <f t="shared" si="530"/>
        <v>1</v>
      </c>
      <c r="AV828" s="15">
        <f t="shared" si="531"/>
        <v>1</v>
      </c>
      <c r="AW828" s="15">
        <f t="shared" si="532"/>
        <v>1</v>
      </c>
      <c r="AX828" s="15">
        <f t="shared" si="533"/>
        <v>1</v>
      </c>
      <c r="AY828" s="15">
        <f t="shared" si="534"/>
        <v>1</v>
      </c>
      <c r="AZ828" s="15">
        <f t="shared" si="535"/>
        <v>1</v>
      </c>
      <c r="BA828" s="15">
        <f t="shared" si="536"/>
        <v>1</v>
      </c>
      <c r="BB828" s="15">
        <f t="shared" si="504"/>
        <v>0</v>
      </c>
      <c r="BC828" s="15" t="str">
        <f t="shared" si="505"/>
        <v/>
      </c>
      <c r="BD828" s="15" t="str">
        <f t="shared" si="506"/>
        <v/>
      </c>
      <c r="BE828" s="11" t="e">
        <f t="shared" si="537"/>
        <v>#VALUE!</v>
      </c>
      <c r="BF828" s="11" t="e">
        <f t="shared" si="538"/>
        <v>#VALUE!</v>
      </c>
      <c r="BG828" s="11" t="e">
        <f t="shared" si="539"/>
        <v>#VALUE!</v>
      </c>
      <c r="BH828" t="str">
        <f t="shared" si="540"/>
        <v/>
      </c>
      <c r="BI828" t="str" cm="1">
        <f t="array" ref="BI828">_xlfn.IFS(
  L828&gt;0,"Critical Fail",
  M828&gt;0,"Important (Coaching)",
  TRUE,"Clean Pass"
)</f>
        <v>Clean Pass</v>
      </c>
      <c r="BJ828" t="str">
        <f t="shared" si="541"/>
        <v>NA</v>
      </c>
    </row>
    <row r="829" spans="1:62" x14ac:dyDescent="0.3">
      <c r="A829">
        <v>801253</v>
      </c>
      <c r="K829" t="str">
        <f t="shared" si="503"/>
        <v>Pass</v>
      </c>
      <c r="L829" s="15">
        <f t="shared" si="507"/>
        <v>0</v>
      </c>
      <c r="M829" s="15">
        <f t="shared" si="508"/>
        <v>0</v>
      </c>
      <c r="Z829" s="15">
        <f t="shared" si="509"/>
        <v>1</v>
      </c>
      <c r="AA829" s="15">
        <f t="shared" si="510"/>
        <v>1</v>
      </c>
      <c r="AB829" s="15">
        <f t="shared" si="511"/>
        <v>1</v>
      </c>
      <c r="AC829" s="15">
        <f t="shared" si="512"/>
        <v>1</v>
      </c>
      <c r="AD829" s="15">
        <f t="shared" si="513"/>
        <v>1</v>
      </c>
      <c r="AE829" s="15">
        <f t="shared" si="514"/>
        <v>1</v>
      </c>
      <c r="AF829" s="15">
        <f t="shared" si="515"/>
        <v>1</v>
      </c>
      <c r="AG829" s="15">
        <f t="shared" si="516"/>
        <v>1</v>
      </c>
      <c r="AH829" s="15">
        <f t="shared" si="517"/>
        <v>1</v>
      </c>
      <c r="AI829" s="15">
        <f t="shared" si="518"/>
        <v>1</v>
      </c>
      <c r="AJ829" s="15">
        <f t="shared" si="519"/>
        <v>1</v>
      </c>
      <c r="AK829" s="15">
        <f t="shared" si="520"/>
        <v>1</v>
      </c>
      <c r="AL829" s="15">
        <f t="shared" si="521"/>
        <v>1</v>
      </c>
      <c r="AM829" s="15">
        <f t="shared" si="522"/>
        <v>1</v>
      </c>
      <c r="AN829" s="15">
        <f t="shared" si="523"/>
        <v>1</v>
      </c>
      <c r="AO829" s="15">
        <f t="shared" si="524"/>
        <v>1</v>
      </c>
      <c r="AP829" s="15">
        <f t="shared" si="525"/>
        <v>1</v>
      </c>
      <c r="AQ829" s="15">
        <f t="shared" si="526"/>
        <v>1</v>
      </c>
      <c r="AR829" s="15">
        <f t="shared" si="527"/>
        <v>1</v>
      </c>
      <c r="AS829" s="15">
        <f t="shared" si="528"/>
        <v>1</v>
      </c>
      <c r="AT829" s="15">
        <f t="shared" si="529"/>
        <v>1</v>
      </c>
      <c r="AU829" s="15">
        <f t="shared" si="530"/>
        <v>1</v>
      </c>
      <c r="AV829" s="15">
        <f t="shared" si="531"/>
        <v>1</v>
      </c>
      <c r="AW829" s="15">
        <f t="shared" si="532"/>
        <v>1</v>
      </c>
      <c r="AX829" s="15">
        <f t="shared" si="533"/>
        <v>1</v>
      </c>
      <c r="AY829" s="15">
        <f t="shared" si="534"/>
        <v>1</v>
      </c>
      <c r="AZ829" s="15">
        <f t="shared" si="535"/>
        <v>1</v>
      </c>
      <c r="BA829" s="15">
        <f t="shared" si="536"/>
        <v>1</v>
      </c>
      <c r="BB829" s="15">
        <f t="shared" si="504"/>
        <v>0</v>
      </c>
      <c r="BC829" s="15" t="str">
        <f t="shared" si="505"/>
        <v/>
      </c>
      <c r="BD829" s="15" t="str">
        <f t="shared" si="506"/>
        <v/>
      </c>
      <c r="BE829" s="11" t="e">
        <f t="shared" si="537"/>
        <v>#VALUE!</v>
      </c>
      <c r="BF829" s="11" t="e">
        <f t="shared" si="538"/>
        <v>#VALUE!</v>
      </c>
      <c r="BG829" s="11" t="e">
        <f t="shared" si="539"/>
        <v>#VALUE!</v>
      </c>
      <c r="BH829" t="str">
        <f t="shared" si="540"/>
        <v/>
      </c>
      <c r="BI829" t="str" cm="1">
        <f t="array" ref="BI829">_xlfn.IFS(
  L829&gt;0,"Critical Fail",
  M829&gt;0,"Important (Coaching)",
  TRUE,"Clean Pass"
)</f>
        <v>Clean Pass</v>
      </c>
      <c r="BJ829" t="str">
        <f t="shared" si="541"/>
        <v>NA</v>
      </c>
    </row>
    <row r="830" spans="1:62" x14ac:dyDescent="0.3">
      <c r="A830">
        <v>469892</v>
      </c>
      <c r="K830" t="str">
        <f t="shared" si="503"/>
        <v>Pass</v>
      </c>
      <c r="L830" s="15">
        <f t="shared" si="507"/>
        <v>0</v>
      </c>
      <c r="M830" s="15">
        <f t="shared" si="508"/>
        <v>0</v>
      </c>
      <c r="Z830" s="15">
        <f t="shared" si="509"/>
        <v>1</v>
      </c>
      <c r="AA830" s="15">
        <f t="shared" si="510"/>
        <v>1</v>
      </c>
      <c r="AB830" s="15">
        <f t="shared" si="511"/>
        <v>1</v>
      </c>
      <c r="AC830" s="15">
        <f t="shared" si="512"/>
        <v>1</v>
      </c>
      <c r="AD830" s="15">
        <f t="shared" si="513"/>
        <v>1</v>
      </c>
      <c r="AE830" s="15">
        <f t="shared" si="514"/>
        <v>1</v>
      </c>
      <c r="AF830" s="15">
        <f t="shared" si="515"/>
        <v>1</v>
      </c>
      <c r="AG830" s="15">
        <f t="shared" si="516"/>
        <v>1</v>
      </c>
      <c r="AH830" s="15">
        <f t="shared" si="517"/>
        <v>1</v>
      </c>
      <c r="AI830" s="15">
        <f t="shared" si="518"/>
        <v>1</v>
      </c>
      <c r="AJ830" s="15">
        <f t="shared" si="519"/>
        <v>1</v>
      </c>
      <c r="AK830" s="15">
        <f t="shared" si="520"/>
        <v>1</v>
      </c>
      <c r="AL830" s="15">
        <f t="shared" si="521"/>
        <v>1</v>
      </c>
      <c r="AM830" s="15">
        <f t="shared" si="522"/>
        <v>1</v>
      </c>
      <c r="AN830" s="15">
        <f t="shared" si="523"/>
        <v>1</v>
      </c>
      <c r="AO830" s="15">
        <f t="shared" si="524"/>
        <v>1</v>
      </c>
      <c r="AP830" s="15">
        <f t="shared" si="525"/>
        <v>1</v>
      </c>
      <c r="AQ830" s="15">
        <f t="shared" si="526"/>
        <v>1</v>
      </c>
      <c r="AR830" s="15">
        <f t="shared" si="527"/>
        <v>1</v>
      </c>
      <c r="AS830" s="15">
        <f t="shared" si="528"/>
        <v>1</v>
      </c>
      <c r="AT830" s="15">
        <f t="shared" si="529"/>
        <v>1</v>
      </c>
      <c r="AU830" s="15">
        <f t="shared" si="530"/>
        <v>1</v>
      </c>
      <c r="AV830" s="15">
        <f t="shared" si="531"/>
        <v>1</v>
      </c>
      <c r="AW830" s="15">
        <f t="shared" si="532"/>
        <v>1</v>
      </c>
      <c r="AX830" s="15">
        <f t="shared" si="533"/>
        <v>1</v>
      </c>
      <c r="AY830" s="15">
        <f t="shared" si="534"/>
        <v>1</v>
      </c>
      <c r="AZ830" s="15">
        <f t="shared" si="535"/>
        <v>1</v>
      </c>
      <c r="BA830" s="15">
        <f t="shared" si="536"/>
        <v>1</v>
      </c>
      <c r="BB830" s="15">
        <f t="shared" si="504"/>
        <v>0</v>
      </c>
      <c r="BC830" s="15" t="str">
        <f t="shared" si="505"/>
        <v/>
      </c>
      <c r="BD830" s="15" t="str">
        <f t="shared" si="506"/>
        <v/>
      </c>
      <c r="BE830" s="11" t="e">
        <f t="shared" si="537"/>
        <v>#VALUE!</v>
      </c>
      <c r="BF830" s="11" t="e">
        <f t="shared" si="538"/>
        <v>#VALUE!</v>
      </c>
      <c r="BG830" s="11" t="e">
        <f t="shared" si="539"/>
        <v>#VALUE!</v>
      </c>
      <c r="BH830" t="str">
        <f t="shared" si="540"/>
        <v/>
      </c>
      <c r="BI830" t="str" cm="1">
        <f t="array" ref="BI830">_xlfn.IFS(
  L830&gt;0,"Critical Fail",
  M830&gt;0,"Important (Coaching)",
  TRUE,"Clean Pass"
)</f>
        <v>Clean Pass</v>
      </c>
      <c r="BJ830" t="str">
        <f t="shared" si="541"/>
        <v>NA</v>
      </c>
    </row>
    <row r="831" spans="1:62" x14ac:dyDescent="0.3">
      <c r="A831">
        <v>530976</v>
      </c>
      <c r="K831" t="str">
        <f t="shared" si="503"/>
        <v>Pass</v>
      </c>
      <c r="L831" s="15">
        <f t="shared" si="507"/>
        <v>0</v>
      </c>
      <c r="M831" s="15">
        <f t="shared" si="508"/>
        <v>0</v>
      </c>
      <c r="Z831" s="15">
        <f t="shared" si="509"/>
        <v>1</v>
      </c>
      <c r="AA831" s="15">
        <f t="shared" si="510"/>
        <v>1</v>
      </c>
      <c r="AB831" s="15">
        <f t="shared" si="511"/>
        <v>1</v>
      </c>
      <c r="AC831" s="15">
        <f t="shared" si="512"/>
        <v>1</v>
      </c>
      <c r="AD831" s="15">
        <f t="shared" si="513"/>
        <v>1</v>
      </c>
      <c r="AE831" s="15">
        <f t="shared" si="514"/>
        <v>1</v>
      </c>
      <c r="AF831" s="15">
        <f t="shared" si="515"/>
        <v>1</v>
      </c>
      <c r="AG831" s="15">
        <f t="shared" si="516"/>
        <v>1</v>
      </c>
      <c r="AH831" s="15">
        <f t="shared" si="517"/>
        <v>1</v>
      </c>
      <c r="AI831" s="15">
        <f t="shared" si="518"/>
        <v>1</v>
      </c>
      <c r="AJ831" s="15">
        <f t="shared" si="519"/>
        <v>1</v>
      </c>
      <c r="AK831" s="15">
        <f t="shared" si="520"/>
        <v>1</v>
      </c>
      <c r="AL831" s="15">
        <f t="shared" si="521"/>
        <v>1</v>
      </c>
      <c r="AM831" s="15">
        <f t="shared" si="522"/>
        <v>1</v>
      </c>
      <c r="AN831" s="15">
        <f t="shared" si="523"/>
        <v>1</v>
      </c>
      <c r="AO831" s="15">
        <f t="shared" si="524"/>
        <v>1</v>
      </c>
      <c r="AP831" s="15">
        <f t="shared" si="525"/>
        <v>1</v>
      </c>
      <c r="AQ831" s="15">
        <f t="shared" si="526"/>
        <v>1</v>
      </c>
      <c r="AR831" s="15">
        <f t="shared" si="527"/>
        <v>1</v>
      </c>
      <c r="AS831" s="15">
        <f t="shared" si="528"/>
        <v>1</v>
      </c>
      <c r="AT831" s="15">
        <f t="shared" si="529"/>
        <v>1</v>
      </c>
      <c r="AU831" s="15">
        <f t="shared" si="530"/>
        <v>1</v>
      </c>
      <c r="AV831" s="15">
        <f t="shared" si="531"/>
        <v>1</v>
      </c>
      <c r="AW831" s="15">
        <f t="shared" si="532"/>
        <v>1</v>
      </c>
      <c r="AX831" s="15">
        <f t="shared" si="533"/>
        <v>1</v>
      </c>
      <c r="AY831" s="15">
        <f t="shared" si="534"/>
        <v>1</v>
      </c>
      <c r="AZ831" s="15">
        <f t="shared" si="535"/>
        <v>1</v>
      </c>
      <c r="BA831" s="15">
        <f t="shared" si="536"/>
        <v>1</v>
      </c>
      <c r="BB831" s="15">
        <f t="shared" si="504"/>
        <v>0</v>
      </c>
      <c r="BC831" s="15" t="str">
        <f t="shared" si="505"/>
        <v/>
      </c>
      <c r="BD831" s="15" t="str">
        <f t="shared" si="506"/>
        <v/>
      </c>
      <c r="BE831" s="11" t="e">
        <f t="shared" si="537"/>
        <v>#VALUE!</v>
      </c>
      <c r="BF831" s="11" t="e">
        <f t="shared" si="538"/>
        <v>#VALUE!</v>
      </c>
      <c r="BG831" s="11" t="e">
        <f t="shared" si="539"/>
        <v>#VALUE!</v>
      </c>
      <c r="BH831" t="str">
        <f t="shared" si="540"/>
        <v/>
      </c>
      <c r="BI831" t="str" cm="1">
        <f t="array" ref="BI831">_xlfn.IFS(
  L831&gt;0,"Critical Fail",
  M831&gt;0,"Important (Coaching)",
  TRUE,"Clean Pass"
)</f>
        <v>Clean Pass</v>
      </c>
      <c r="BJ831" t="str">
        <f t="shared" si="541"/>
        <v>NA</v>
      </c>
    </row>
    <row r="832" spans="1:62" x14ac:dyDescent="0.3">
      <c r="A832">
        <v>435372</v>
      </c>
      <c r="K832" t="str">
        <f t="shared" si="503"/>
        <v>Pass</v>
      </c>
      <c r="L832" s="15">
        <f t="shared" si="507"/>
        <v>0</v>
      </c>
      <c r="M832" s="15">
        <f t="shared" si="508"/>
        <v>0</v>
      </c>
      <c r="Z832" s="15">
        <f t="shared" si="509"/>
        <v>1</v>
      </c>
      <c r="AA832" s="15">
        <f t="shared" si="510"/>
        <v>1</v>
      </c>
      <c r="AB832" s="15">
        <f t="shared" si="511"/>
        <v>1</v>
      </c>
      <c r="AC832" s="15">
        <f t="shared" si="512"/>
        <v>1</v>
      </c>
      <c r="AD832" s="15">
        <f t="shared" si="513"/>
        <v>1</v>
      </c>
      <c r="AE832" s="15">
        <f t="shared" si="514"/>
        <v>1</v>
      </c>
      <c r="AF832" s="15">
        <f t="shared" si="515"/>
        <v>1</v>
      </c>
      <c r="AG832" s="15">
        <f t="shared" si="516"/>
        <v>1</v>
      </c>
      <c r="AH832" s="15">
        <f t="shared" si="517"/>
        <v>1</v>
      </c>
      <c r="AI832" s="15">
        <f t="shared" si="518"/>
        <v>1</v>
      </c>
      <c r="AJ832" s="15">
        <f t="shared" si="519"/>
        <v>1</v>
      </c>
      <c r="AK832" s="15">
        <f t="shared" si="520"/>
        <v>1</v>
      </c>
      <c r="AL832" s="15">
        <f t="shared" si="521"/>
        <v>1</v>
      </c>
      <c r="AM832" s="15">
        <f t="shared" si="522"/>
        <v>1</v>
      </c>
      <c r="AN832" s="15">
        <f t="shared" si="523"/>
        <v>1</v>
      </c>
      <c r="AO832" s="15">
        <f t="shared" si="524"/>
        <v>1</v>
      </c>
      <c r="AP832" s="15">
        <f t="shared" si="525"/>
        <v>1</v>
      </c>
      <c r="AQ832" s="15">
        <f t="shared" si="526"/>
        <v>1</v>
      </c>
      <c r="AR832" s="15">
        <f t="shared" si="527"/>
        <v>1</v>
      </c>
      <c r="AS832" s="15">
        <f t="shared" si="528"/>
        <v>1</v>
      </c>
      <c r="AT832" s="15">
        <f t="shared" si="529"/>
        <v>1</v>
      </c>
      <c r="AU832" s="15">
        <f t="shared" si="530"/>
        <v>1</v>
      </c>
      <c r="AV832" s="15">
        <f t="shared" si="531"/>
        <v>1</v>
      </c>
      <c r="AW832" s="15">
        <f t="shared" si="532"/>
        <v>1</v>
      </c>
      <c r="AX832" s="15">
        <f t="shared" si="533"/>
        <v>1</v>
      </c>
      <c r="AY832" s="15">
        <f t="shared" si="534"/>
        <v>1</v>
      </c>
      <c r="AZ832" s="15">
        <f t="shared" si="535"/>
        <v>1</v>
      </c>
      <c r="BA832" s="15">
        <f t="shared" si="536"/>
        <v>1</v>
      </c>
      <c r="BB832" s="15">
        <f t="shared" si="504"/>
        <v>0</v>
      </c>
      <c r="BC832" s="15" t="str">
        <f t="shared" si="505"/>
        <v/>
      </c>
      <c r="BD832" s="15" t="str">
        <f t="shared" si="506"/>
        <v/>
      </c>
      <c r="BE832" s="11" t="e">
        <f t="shared" si="537"/>
        <v>#VALUE!</v>
      </c>
      <c r="BF832" s="11" t="e">
        <f t="shared" si="538"/>
        <v>#VALUE!</v>
      </c>
      <c r="BG832" s="11" t="e">
        <f t="shared" si="539"/>
        <v>#VALUE!</v>
      </c>
      <c r="BH832" t="str">
        <f t="shared" si="540"/>
        <v/>
      </c>
      <c r="BI832" t="str" cm="1">
        <f t="array" ref="BI832">_xlfn.IFS(
  L832&gt;0,"Critical Fail",
  M832&gt;0,"Important (Coaching)",
  TRUE,"Clean Pass"
)</f>
        <v>Clean Pass</v>
      </c>
      <c r="BJ832" t="str">
        <f t="shared" si="541"/>
        <v>NA</v>
      </c>
    </row>
    <row r="833" spans="1:62" x14ac:dyDescent="0.3">
      <c r="A833">
        <v>387627</v>
      </c>
      <c r="K833" t="str">
        <f t="shared" si="503"/>
        <v>Pass</v>
      </c>
      <c r="L833" s="15">
        <f t="shared" si="507"/>
        <v>0</v>
      </c>
      <c r="M833" s="15">
        <f t="shared" si="508"/>
        <v>0</v>
      </c>
      <c r="Z833" s="15">
        <f t="shared" si="509"/>
        <v>1</v>
      </c>
      <c r="AA833" s="15">
        <f t="shared" si="510"/>
        <v>1</v>
      </c>
      <c r="AB833" s="15">
        <f t="shared" si="511"/>
        <v>1</v>
      </c>
      <c r="AC833" s="15">
        <f t="shared" si="512"/>
        <v>1</v>
      </c>
      <c r="AD833" s="15">
        <f t="shared" si="513"/>
        <v>1</v>
      </c>
      <c r="AE833" s="15">
        <f t="shared" si="514"/>
        <v>1</v>
      </c>
      <c r="AF833" s="15">
        <f t="shared" si="515"/>
        <v>1</v>
      </c>
      <c r="AG833" s="15">
        <f t="shared" si="516"/>
        <v>1</v>
      </c>
      <c r="AH833" s="15">
        <f t="shared" si="517"/>
        <v>1</v>
      </c>
      <c r="AI833" s="15">
        <f t="shared" si="518"/>
        <v>1</v>
      </c>
      <c r="AJ833" s="15">
        <f t="shared" si="519"/>
        <v>1</v>
      </c>
      <c r="AK833" s="15">
        <f t="shared" si="520"/>
        <v>1</v>
      </c>
      <c r="AL833" s="15">
        <f t="shared" si="521"/>
        <v>1</v>
      </c>
      <c r="AM833" s="15">
        <f t="shared" si="522"/>
        <v>1</v>
      </c>
      <c r="AN833" s="15">
        <f t="shared" si="523"/>
        <v>1</v>
      </c>
      <c r="AO833" s="15">
        <f t="shared" si="524"/>
        <v>1</v>
      </c>
      <c r="AP833" s="15">
        <f t="shared" si="525"/>
        <v>1</v>
      </c>
      <c r="AQ833" s="15">
        <f t="shared" si="526"/>
        <v>1</v>
      </c>
      <c r="AR833" s="15">
        <f t="shared" si="527"/>
        <v>1</v>
      </c>
      <c r="AS833" s="15">
        <f t="shared" si="528"/>
        <v>1</v>
      </c>
      <c r="AT833" s="15">
        <f t="shared" si="529"/>
        <v>1</v>
      </c>
      <c r="AU833" s="15">
        <f t="shared" si="530"/>
        <v>1</v>
      </c>
      <c r="AV833" s="15">
        <f t="shared" si="531"/>
        <v>1</v>
      </c>
      <c r="AW833" s="15">
        <f t="shared" si="532"/>
        <v>1</v>
      </c>
      <c r="AX833" s="15">
        <f t="shared" si="533"/>
        <v>1</v>
      </c>
      <c r="AY833" s="15">
        <f t="shared" si="534"/>
        <v>1</v>
      </c>
      <c r="AZ833" s="15">
        <f t="shared" si="535"/>
        <v>1</v>
      </c>
      <c r="BA833" s="15">
        <f t="shared" si="536"/>
        <v>1</v>
      </c>
      <c r="BB833" s="15">
        <f t="shared" si="504"/>
        <v>0</v>
      </c>
      <c r="BC833" s="15" t="str">
        <f t="shared" si="505"/>
        <v/>
      </c>
      <c r="BD833" s="15" t="str">
        <f t="shared" si="506"/>
        <v/>
      </c>
      <c r="BE833" s="11" t="e">
        <f t="shared" si="537"/>
        <v>#VALUE!</v>
      </c>
      <c r="BF833" s="11" t="e">
        <f t="shared" si="538"/>
        <v>#VALUE!</v>
      </c>
      <c r="BG833" s="11" t="e">
        <f t="shared" si="539"/>
        <v>#VALUE!</v>
      </c>
      <c r="BH833" t="str">
        <f t="shared" si="540"/>
        <v/>
      </c>
      <c r="BI833" t="str" cm="1">
        <f t="array" ref="BI833">_xlfn.IFS(
  L833&gt;0,"Critical Fail",
  M833&gt;0,"Important (Coaching)",
  TRUE,"Clean Pass"
)</f>
        <v>Clean Pass</v>
      </c>
      <c r="BJ833" t="str">
        <f t="shared" si="541"/>
        <v>NA</v>
      </c>
    </row>
    <row r="834" spans="1:62" x14ac:dyDescent="0.3">
      <c r="A834">
        <v>293424</v>
      </c>
      <c r="K834" t="str">
        <f t="shared" ref="K834:K897" si="542">IF(L834="","",IF(L834&gt;0,"Fail","Pass"))</f>
        <v>Pass</v>
      </c>
      <c r="L834" s="15">
        <f t="shared" si="507"/>
        <v>0</v>
      </c>
      <c r="M834" s="15">
        <f t="shared" si="508"/>
        <v>0</v>
      </c>
      <c r="Z834" s="15">
        <f t="shared" si="509"/>
        <v>1</v>
      </c>
      <c r="AA834" s="15">
        <f t="shared" si="510"/>
        <v>1</v>
      </c>
      <c r="AB834" s="15">
        <f t="shared" si="511"/>
        <v>1</v>
      </c>
      <c r="AC834" s="15">
        <f t="shared" si="512"/>
        <v>1</v>
      </c>
      <c r="AD834" s="15">
        <f t="shared" si="513"/>
        <v>1</v>
      </c>
      <c r="AE834" s="15">
        <f t="shared" si="514"/>
        <v>1</v>
      </c>
      <c r="AF834" s="15">
        <f t="shared" si="515"/>
        <v>1</v>
      </c>
      <c r="AG834" s="15">
        <f t="shared" si="516"/>
        <v>1</v>
      </c>
      <c r="AH834" s="15">
        <f t="shared" si="517"/>
        <v>1</v>
      </c>
      <c r="AI834" s="15">
        <f t="shared" si="518"/>
        <v>1</v>
      </c>
      <c r="AJ834" s="15">
        <f t="shared" si="519"/>
        <v>1</v>
      </c>
      <c r="AK834" s="15">
        <f t="shared" si="520"/>
        <v>1</v>
      </c>
      <c r="AL834" s="15">
        <f t="shared" si="521"/>
        <v>1</v>
      </c>
      <c r="AM834" s="15">
        <f t="shared" si="522"/>
        <v>1</v>
      </c>
      <c r="AN834" s="15">
        <f t="shared" si="523"/>
        <v>1</v>
      </c>
      <c r="AO834" s="15">
        <f t="shared" si="524"/>
        <v>1</v>
      </c>
      <c r="AP834" s="15">
        <f t="shared" si="525"/>
        <v>1</v>
      </c>
      <c r="AQ834" s="15">
        <f t="shared" si="526"/>
        <v>1</v>
      </c>
      <c r="AR834" s="15">
        <f t="shared" si="527"/>
        <v>1</v>
      </c>
      <c r="AS834" s="15">
        <f t="shared" si="528"/>
        <v>1</v>
      </c>
      <c r="AT834" s="15">
        <f t="shared" si="529"/>
        <v>1</v>
      </c>
      <c r="AU834" s="15">
        <f t="shared" si="530"/>
        <v>1</v>
      </c>
      <c r="AV834" s="15">
        <f t="shared" si="531"/>
        <v>1</v>
      </c>
      <c r="AW834" s="15">
        <f t="shared" si="532"/>
        <v>1</v>
      </c>
      <c r="AX834" s="15">
        <f t="shared" si="533"/>
        <v>1</v>
      </c>
      <c r="AY834" s="15">
        <f t="shared" si="534"/>
        <v>1</v>
      </c>
      <c r="AZ834" s="15">
        <f t="shared" si="535"/>
        <v>1</v>
      </c>
      <c r="BA834" s="15">
        <f t="shared" si="536"/>
        <v>1</v>
      </c>
      <c r="BB834" s="15">
        <f t="shared" ref="BB834:BB897" si="543">IF(L834&gt;0,1,0)</f>
        <v>0</v>
      </c>
      <c r="BC834" s="15" t="str">
        <f t="shared" ref="BC834:BC897" si="544">IF(G834="DV",9,IF(G834="AL",13,""))</f>
        <v/>
      </c>
      <c r="BD834" s="15" t="str">
        <f t="shared" ref="BD834:BD897" si="545">IF(G834="DV",3,IF(G834="AL",3,""))</f>
        <v/>
      </c>
      <c r="BE834" s="11" t="e">
        <f t="shared" si="537"/>
        <v>#VALUE!</v>
      </c>
      <c r="BF834" s="11" t="e">
        <f t="shared" si="538"/>
        <v>#VALUE!</v>
      </c>
      <c r="BG834" s="11" t="e">
        <f t="shared" si="539"/>
        <v>#VALUE!</v>
      </c>
      <c r="BH834" t="str">
        <f t="shared" si="540"/>
        <v/>
      </c>
      <c r="BI834" t="str" cm="1">
        <f t="array" ref="BI834">_xlfn.IFS(
  L834&gt;0,"Critical Fail",
  M834&gt;0,"Important (Coaching)",
  TRUE,"Clean Pass"
)</f>
        <v>Clean Pass</v>
      </c>
      <c r="BJ834" t="str">
        <f t="shared" si="541"/>
        <v>NA</v>
      </c>
    </row>
    <row r="835" spans="1:62" x14ac:dyDescent="0.3">
      <c r="A835">
        <v>917323</v>
      </c>
      <c r="K835" t="str">
        <f t="shared" si="542"/>
        <v>Pass</v>
      </c>
      <c r="L835" s="15">
        <f t="shared" si="507"/>
        <v>0</v>
      </c>
      <c r="M835" s="15">
        <f t="shared" si="508"/>
        <v>0</v>
      </c>
      <c r="Z835" s="15">
        <f t="shared" si="509"/>
        <v>1</v>
      </c>
      <c r="AA835" s="15">
        <f t="shared" si="510"/>
        <v>1</v>
      </c>
      <c r="AB835" s="15">
        <f t="shared" si="511"/>
        <v>1</v>
      </c>
      <c r="AC835" s="15">
        <f t="shared" si="512"/>
        <v>1</v>
      </c>
      <c r="AD835" s="15">
        <f t="shared" si="513"/>
        <v>1</v>
      </c>
      <c r="AE835" s="15">
        <f t="shared" si="514"/>
        <v>1</v>
      </c>
      <c r="AF835" s="15">
        <f t="shared" si="515"/>
        <v>1</v>
      </c>
      <c r="AG835" s="15">
        <f t="shared" si="516"/>
        <v>1</v>
      </c>
      <c r="AH835" s="15">
        <f t="shared" si="517"/>
        <v>1</v>
      </c>
      <c r="AI835" s="15">
        <f t="shared" si="518"/>
        <v>1</v>
      </c>
      <c r="AJ835" s="15">
        <f t="shared" si="519"/>
        <v>1</v>
      </c>
      <c r="AK835" s="15">
        <f t="shared" si="520"/>
        <v>1</v>
      </c>
      <c r="AL835" s="15">
        <f t="shared" si="521"/>
        <v>1</v>
      </c>
      <c r="AM835" s="15">
        <f t="shared" si="522"/>
        <v>1</v>
      </c>
      <c r="AN835" s="15">
        <f t="shared" si="523"/>
        <v>1</v>
      </c>
      <c r="AO835" s="15">
        <f t="shared" si="524"/>
        <v>1</v>
      </c>
      <c r="AP835" s="15">
        <f t="shared" si="525"/>
        <v>1</v>
      </c>
      <c r="AQ835" s="15">
        <f t="shared" si="526"/>
        <v>1</v>
      </c>
      <c r="AR835" s="15">
        <f t="shared" si="527"/>
        <v>1</v>
      </c>
      <c r="AS835" s="15">
        <f t="shared" si="528"/>
        <v>1</v>
      </c>
      <c r="AT835" s="15">
        <f t="shared" si="529"/>
        <v>1</v>
      </c>
      <c r="AU835" s="15">
        <f t="shared" si="530"/>
        <v>1</v>
      </c>
      <c r="AV835" s="15">
        <f t="shared" si="531"/>
        <v>1</v>
      </c>
      <c r="AW835" s="15">
        <f t="shared" si="532"/>
        <v>1</v>
      </c>
      <c r="AX835" s="15">
        <f t="shared" si="533"/>
        <v>1</v>
      </c>
      <c r="AY835" s="15">
        <f t="shared" si="534"/>
        <v>1</v>
      </c>
      <c r="AZ835" s="15">
        <f t="shared" si="535"/>
        <v>1</v>
      </c>
      <c r="BA835" s="15">
        <f t="shared" si="536"/>
        <v>1</v>
      </c>
      <c r="BB835" s="15">
        <f t="shared" si="543"/>
        <v>0</v>
      </c>
      <c r="BC835" s="15" t="str">
        <f t="shared" si="544"/>
        <v/>
      </c>
      <c r="BD835" s="15" t="str">
        <f t="shared" si="545"/>
        <v/>
      </c>
      <c r="BE835" s="11" t="e">
        <f t="shared" si="537"/>
        <v>#VALUE!</v>
      </c>
      <c r="BF835" s="11" t="e">
        <f t="shared" si="538"/>
        <v>#VALUE!</v>
      </c>
      <c r="BG835" s="11" t="e">
        <f t="shared" si="539"/>
        <v>#VALUE!</v>
      </c>
      <c r="BH835" t="str">
        <f t="shared" si="540"/>
        <v/>
      </c>
      <c r="BI835" t="str" cm="1">
        <f t="array" ref="BI835">_xlfn.IFS(
  L835&gt;0,"Critical Fail",
  M835&gt;0,"Important (Coaching)",
  TRUE,"Clean Pass"
)</f>
        <v>Clean Pass</v>
      </c>
      <c r="BJ835" t="str">
        <f t="shared" si="541"/>
        <v>NA</v>
      </c>
    </row>
    <row r="836" spans="1:62" x14ac:dyDescent="0.3">
      <c r="A836">
        <v>275272</v>
      </c>
      <c r="K836" t="str">
        <f t="shared" si="542"/>
        <v>Pass</v>
      </c>
      <c r="L836" s="15">
        <f t="shared" si="507"/>
        <v>0</v>
      </c>
      <c r="M836" s="15">
        <f t="shared" si="508"/>
        <v>0</v>
      </c>
      <c r="Z836" s="15">
        <f t="shared" si="509"/>
        <v>1</v>
      </c>
      <c r="AA836" s="15">
        <f t="shared" si="510"/>
        <v>1</v>
      </c>
      <c r="AB836" s="15">
        <f t="shared" si="511"/>
        <v>1</v>
      </c>
      <c r="AC836" s="15">
        <f t="shared" si="512"/>
        <v>1</v>
      </c>
      <c r="AD836" s="15">
        <f t="shared" si="513"/>
        <v>1</v>
      </c>
      <c r="AE836" s="15">
        <f t="shared" si="514"/>
        <v>1</v>
      </c>
      <c r="AF836" s="15">
        <f t="shared" si="515"/>
        <v>1</v>
      </c>
      <c r="AG836" s="15">
        <f t="shared" si="516"/>
        <v>1</v>
      </c>
      <c r="AH836" s="15">
        <f t="shared" si="517"/>
        <v>1</v>
      </c>
      <c r="AI836" s="15">
        <f t="shared" si="518"/>
        <v>1</v>
      </c>
      <c r="AJ836" s="15">
        <f t="shared" si="519"/>
        <v>1</v>
      </c>
      <c r="AK836" s="15">
        <f t="shared" si="520"/>
        <v>1</v>
      </c>
      <c r="AL836" s="15">
        <f t="shared" si="521"/>
        <v>1</v>
      </c>
      <c r="AM836" s="15">
        <f t="shared" si="522"/>
        <v>1</v>
      </c>
      <c r="AN836" s="15">
        <f t="shared" si="523"/>
        <v>1</v>
      </c>
      <c r="AO836" s="15">
        <f t="shared" si="524"/>
        <v>1</v>
      </c>
      <c r="AP836" s="15">
        <f t="shared" si="525"/>
        <v>1</v>
      </c>
      <c r="AQ836" s="15">
        <f t="shared" si="526"/>
        <v>1</v>
      </c>
      <c r="AR836" s="15">
        <f t="shared" si="527"/>
        <v>1</v>
      </c>
      <c r="AS836" s="15">
        <f t="shared" si="528"/>
        <v>1</v>
      </c>
      <c r="AT836" s="15">
        <f t="shared" si="529"/>
        <v>1</v>
      </c>
      <c r="AU836" s="15">
        <f t="shared" si="530"/>
        <v>1</v>
      </c>
      <c r="AV836" s="15">
        <f t="shared" si="531"/>
        <v>1</v>
      </c>
      <c r="AW836" s="15">
        <f t="shared" si="532"/>
        <v>1</v>
      </c>
      <c r="AX836" s="15">
        <f t="shared" si="533"/>
        <v>1</v>
      </c>
      <c r="AY836" s="15">
        <f t="shared" si="534"/>
        <v>1</v>
      </c>
      <c r="AZ836" s="15">
        <f t="shared" si="535"/>
        <v>1</v>
      </c>
      <c r="BA836" s="15">
        <f t="shared" si="536"/>
        <v>1</v>
      </c>
      <c r="BB836" s="15">
        <f t="shared" si="543"/>
        <v>0</v>
      </c>
      <c r="BC836" s="15" t="str">
        <f t="shared" si="544"/>
        <v/>
      </c>
      <c r="BD836" s="15" t="str">
        <f t="shared" si="545"/>
        <v/>
      </c>
      <c r="BE836" s="11" t="e">
        <f t="shared" si="537"/>
        <v>#VALUE!</v>
      </c>
      <c r="BF836" s="11" t="e">
        <f t="shared" si="538"/>
        <v>#VALUE!</v>
      </c>
      <c r="BG836" s="11" t="e">
        <f t="shared" si="539"/>
        <v>#VALUE!</v>
      </c>
      <c r="BH836" t="str">
        <f t="shared" si="540"/>
        <v/>
      </c>
      <c r="BI836" t="str" cm="1">
        <f t="array" ref="BI836">_xlfn.IFS(
  L836&gt;0,"Critical Fail",
  M836&gt;0,"Important (Coaching)",
  TRUE,"Clean Pass"
)</f>
        <v>Clean Pass</v>
      </c>
      <c r="BJ836" t="str">
        <f t="shared" si="541"/>
        <v>NA</v>
      </c>
    </row>
    <row r="837" spans="1:62" x14ac:dyDescent="0.3">
      <c r="A837">
        <v>818520</v>
      </c>
      <c r="K837" t="str">
        <f t="shared" si="542"/>
        <v>Pass</v>
      </c>
      <c r="L837" s="15">
        <f t="shared" si="507"/>
        <v>0</v>
      </c>
      <c r="M837" s="15">
        <f t="shared" si="508"/>
        <v>0</v>
      </c>
      <c r="Z837" s="15">
        <f t="shared" si="509"/>
        <v>1</v>
      </c>
      <c r="AA837" s="15">
        <f t="shared" si="510"/>
        <v>1</v>
      </c>
      <c r="AB837" s="15">
        <f t="shared" si="511"/>
        <v>1</v>
      </c>
      <c r="AC837" s="15">
        <f t="shared" si="512"/>
        <v>1</v>
      </c>
      <c r="AD837" s="15">
        <f t="shared" si="513"/>
        <v>1</v>
      </c>
      <c r="AE837" s="15">
        <f t="shared" si="514"/>
        <v>1</v>
      </c>
      <c r="AF837" s="15">
        <f t="shared" si="515"/>
        <v>1</v>
      </c>
      <c r="AG837" s="15">
        <f t="shared" si="516"/>
        <v>1</v>
      </c>
      <c r="AH837" s="15">
        <f t="shared" si="517"/>
        <v>1</v>
      </c>
      <c r="AI837" s="15">
        <f t="shared" si="518"/>
        <v>1</v>
      </c>
      <c r="AJ837" s="15">
        <f t="shared" si="519"/>
        <v>1</v>
      </c>
      <c r="AK837" s="15">
        <f t="shared" si="520"/>
        <v>1</v>
      </c>
      <c r="AL837" s="15">
        <f t="shared" si="521"/>
        <v>1</v>
      </c>
      <c r="AM837" s="15">
        <f t="shared" si="522"/>
        <v>1</v>
      </c>
      <c r="AN837" s="15">
        <f t="shared" si="523"/>
        <v>1</v>
      </c>
      <c r="AO837" s="15">
        <f t="shared" si="524"/>
        <v>1</v>
      </c>
      <c r="AP837" s="15">
        <f t="shared" si="525"/>
        <v>1</v>
      </c>
      <c r="AQ837" s="15">
        <f t="shared" si="526"/>
        <v>1</v>
      </c>
      <c r="AR837" s="15">
        <f t="shared" si="527"/>
        <v>1</v>
      </c>
      <c r="AS837" s="15">
        <f t="shared" si="528"/>
        <v>1</v>
      </c>
      <c r="AT837" s="15">
        <f t="shared" si="529"/>
        <v>1</v>
      </c>
      <c r="AU837" s="15">
        <f t="shared" si="530"/>
        <v>1</v>
      </c>
      <c r="AV837" s="15">
        <f t="shared" si="531"/>
        <v>1</v>
      </c>
      <c r="AW837" s="15">
        <f t="shared" si="532"/>
        <v>1</v>
      </c>
      <c r="AX837" s="15">
        <f t="shared" si="533"/>
        <v>1</v>
      </c>
      <c r="AY837" s="15">
        <f t="shared" si="534"/>
        <v>1</v>
      </c>
      <c r="AZ837" s="15">
        <f t="shared" si="535"/>
        <v>1</v>
      </c>
      <c r="BA837" s="15">
        <f t="shared" si="536"/>
        <v>1</v>
      </c>
      <c r="BB837" s="15">
        <f t="shared" si="543"/>
        <v>0</v>
      </c>
      <c r="BC837" s="15" t="str">
        <f t="shared" si="544"/>
        <v/>
      </c>
      <c r="BD837" s="15" t="str">
        <f t="shared" si="545"/>
        <v/>
      </c>
      <c r="BE837" s="11" t="e">
        <f t="shared" si="537"/>
        <v>#VALUE!</v>
      </c>
      <c r="BF837" s="11" t="e">
        <f t="shared" si="538"/>
        <v>#VALUE!</v>
      </c>
      <c r="BG837" s="11" t="e">
        <f t="shared" si="539"/>
        <v>#VALUE!</v>
      </c>
      <c r="BH837" t="str">
        <f t="shared" si="540"/>
        <v/>
      </c>
      <c r="BI837" t="str" cm="1">
        <f t="array" ref="BI837">_xlfn.IFS(
  L837&gt;0,"Critical Fail",
  M837&gt;0,"Important (Coaching)",
  TRUE,"Clean Pass"
)</f>
        <v>Clean Pass</v>
      </c>
      <c r="BJ837" t="str">
        <f t="shared" si="541"/>
        <v>NA</v>
      </c>
    </row>
    <row r="838" spans="1:62" x14ac:dyDescent="0.3">
      <c r="A838">
        <v>572686</v>
      </c>
      <c r="K838" t="str">
        <f t="shared" si="542"/>
        <v>Pass</v>
      </c>
      <c r="L838" s="15">
        <f t="shared" si="507"/>
        <v>0</v>
      </c>
      <c r="M838" s="15">
        <f t="shared" si="508"/>
        <v>0</v>
      </c>
      <c r="Z838" s="15">
        <f t="shared" si="509"/>
        <v>1</v>
      </c>
      <c r="AA838" s="15">
        <f t="shared" si="510"/>
        <v>1</v>
      </c>
      <c r="AB838" s="15">
        <f t="shared" si="511"/>
        <v>1</v>
      </c>
      <c r="AC838" s="15">
        <f t="shared" si="512"/>
        <v>1</v>
      </c>
      <c r="AD838" s="15">
        <f t="shared" si="513"/>
        <v>1</v>
      </c>
      <c r="AE838" s="15">
        <f t="shared" si="514"/>
        <v>1</v>
      </c>
      <c r="AF838" s="15">
        <f t="shared" si="515"/>
        <v>1</v>
      </c>
      <c r="AG838" s="15">
        <f t="shared" si="516"/>
        <v>1</v>
      </c>
      <c r="AH838" s="15">
        <f t="shared" si="517"/>
        <v>1</v>
      </c>
      <c r="AI838" s="15">
        <f t="shared" si="518"/>
        <v>1</v>
      </c>
      <c r="AJ838" s="15">
        <f t="shared" si="519"/>
        <v>1</v>
      </c>
      <c r="AK838" s="15">
        <f t="shared" si="520"/>
        <v>1</v>
      </c>
      <c r="AL838" s="15">
        <f t="shared" si="521"/>
        <v>1</v>
      </c>
      <c r="AM838" s="15">
        <f t="shared" si="522"/>
        <v>1</v>
      </c>
      <c r="AN838" s="15">
        <f t="shared" si="523"/>
        <v>1</v>
      </c>
      <c r="AO838" s="15">
        <f t="shared" si="524"/>
        <v>1</v>
      </c>
      <c r="AP838" s="15">
        <f t="shared" si="525"/>
        <v>1</v>
      </c>
      <c r="AQ838" s="15">
        <f t="shared" si="526"/>
        <v>1</v>
      </c>
      <c r="AR838" s="15">
        <f t="shared" si="527"/>
        <v>1</v>
      </c>
      <c r="AS838" s="15">
        <f t="shared" si="528"/>
        <v>1</v>
      </c>
      <c r="AT838" s="15">
        <f t="shared" si="529"/>
        <v>1</v>
      </c>
      <c r="AU838" s="15">
        <f t="shared" si="530"/>
        <v>1</v>
      </c>
      <c r="AV838" s="15">
        <f t="shared" si="531"/>
        <v>1</v>
      </c>
      <c r="AW838" s="15">
        <f t="shared" si="532"/>
        <v>1</v>
      </c>
      <c r="AX838" s="15">
        <f t="shared" si="533"/>
        <v>1</v>
      </c>
      <c r="AY838" s="15">
        <f t="shared" si="534"/>
        <v>1</v>
      </c>
      <c r="AZ838" s="15">
        <f t="shared" si="535"/>
        <v>1</v>
      </c>
      <c r="BA838" s="15">
        <f t="shared" si="536"/>
        <v>1</v>
      </c>
      <c r="BB838" s="15">
        <f t="shared" si="543"/>
        <v>0</v>
      </c>
      <c r="BC838" s="15" t="str">
        <f t="shared" si="544"/>
        <v/>
      </c>
      <c r="BD838" s="15" t="str">
        <f t="shared" si="545"/>
        <v/>
      </c>
      <c r="BE838" s="11" t="e">
        <f t="shared" si="537"/>
        <v>#VALUE!</v>
      </c>
      <c r="BF838" s="11" t="e">
        <f t="shared" si="538"/>
        <v>#VALUE!</v>
      </c>
      <c r="BG838" s="11" t="e">
        <f t="shared" si="539"/>
        <v>#VALUE!</v>
      </c>
      <c r="BH838" t="str">
        <f t="shared" si="540"/>
        <v/>
      </c>
      <c r="BI838" t="str" cm="1">
        <f t="array" ref="BI838">_xlfn.IFS(
  L838&gt;0,"Critical Fail",
  M838&gt;0,"Important (Coaching)",
  TRUE,"Clean Pass"
)</f>
        <v>Clean Pass</v>
      </c>
      <c r="BJ838" t="str">
        <f t="shared" si="541"/>
        <v>NA</v>
      </c>
    </row>
    <row r="839" spans="1:62" x14ac:dyDescent="0.3">
      <c r="A839">
        <v>339324</v>
      </c>
      <c r="K839" t="str">
        <f t="shared" si="542"/>
        <v>Pass</v>
      </c>
      <c r="L839" s="15">
        <f t="shared" si="507"/>
        <v>0</v>
      </c>
      <c r="M839" s="15">
        <f t="shared" si="508"/>
        <v>0</v>
      </c>
      <c r="Z839" s="15">
        <f t="shared" si="509"/>
        <v>1</v>
      </c>
      <c r="AA839" s="15">
        <f t="shared" si="510"/>
        <v>1</v>
      </c>
      <c r="AB839" s="15">
        <f t="shared" si="511"/>
        <v>1</v>
      </c>
      <c r="AC839" s="15">
        <f t="shared" si="512"/>
        <v>1</v>
      </c>
      <c r="AD839" s="15">
        <f t="shared" si="513"/>
        <v>1</v>
      </c>
      <c r="AE839" s="15">
        <f t="shared" si="514"/>
        <v>1</v>
      </c>
      <c r="AF839" s="15">
        <f t="shared" si="515"/>
        <v>1</v>
      </c>
      <c r="AG839" s="15">
        <f t="shared" si="516"/>
        <v>1</v>
      </c>
      <c r="AH839" s="15">
        <f t="shared" si="517"/>
        <v>1</v>
      </c>
      <c r="AI839" s="15">
        <f t="shared" si="518"/>
        <v>1</v>
      </c>
      <c r="AJ839" s="15">
        <f t="shared" si="519"/>
        <v>1</v>
      </c>
      <c r="AK839" s="15">
        <f t="shared" si="520"/>
        <v>1</v>
      </c>
      <c r="AL839" s="15">
        <f t="shared" si="521"/>
        <v>1</v>
      </c>
      <c r="AM839" s="15">
        <f t="shared" si="522"/>
        <v>1</v>
      </c>
      <c r="AN839" s="15">
        <f t="shared" si="523"/>
        <v>1</v>
      </c>
      <c r="AO839" s="15">
        <f t="shared" si="524"/>
        <v>1</v>
      </c>
      <c r="AP839" s="15">
        <f t="shared" si="525"/>
        <v>1</v>
      </c>
      <c r="AQ839" s="15">
        <f t="shared" si="526"/>
        <v>1</v>
      </c>
      <c r="AR839" s="15">
        <f t="shared" si="527"/>
        <v>1</v>
      </c>
      <c r="AS839" s="15">
        <f t="shared" si="528"/>
        <v>1</v>
      </c>
      <c r="AT839" s="15">
        <f t="shared" si="529"/>
        <v>1</v>
      </c>
      <c r="AU839" s="15">
        <f t="shared" si="530"/>
        <v>1</v>
      </c>
      <c r="AV839" s="15">
        <f t="shared" si="531"/>
        <v>1</v>
      </c>
      <c r="AW839" s="15">
        <f t="shared" si="532"/>
        <v>1</v>
      </c>
      <c r="AX839" s="15">
        <f t="shared" si="533"/>
        <v>1</v>
      </c>
      <c r="AY839" s="15">
        <f t="shared" si="534"/>
        <v>1</v>
      </c>
      <c r="AZ839" s="15">
        <f t="shared" si="535"/>
        <v>1</v>
      </c>
      <c r="BA839" s="15">
        <f t="shared" si="536"/>
        <v>1</v>
      </c>
      <c r="BB839" s="15">
        <f t="shared" si="543"/>
        <v>0</v>
      </c>
      <c r="BC839" s="15" t="str">
        <f t="shared" si="544"/>
        <v/>
      </c>
      <c r="BD839" s="15" t="str">
        <f t="shared" si="545"/>
        <v/>
      </c>
      <c r="BE839" s="11" t="e">
        <f t="shared" si="537"/>
        <v>#VALUE!</v>
      </c>
      <c r="BF839" s="11" t="e">
        <f t="shared" si="538"/>
        <v>#VALUE!</v>
      </c>
      <c r="BG839" s="11" t="e">
        <f t="shared" si="539"/>
        <v>#VALUE!</v>
      </c>
      <c r="BH839" t="str">
        <f t="shared" si="540"/>
        <v/>
      </c>
      <c r="BI839" t="str" cm="1">
        <f t="array" ref="BI839">_xlfn.IFS(
  L839&gt;0,"Critical Fail",
  M839&gt;0,"Important (Coaching)",
  TRUE,"Clean Pass"
)</f>
        <v>Clean Pass</v>
      </c>
      <c r="BJ839" t="str">
        <f t="shared" si="541"/>
        <v>NA</v>
      </c>
    </row>
    <row r="840" spans="1:62" x14ac:dyDescent="0.3">
      <c r="A840">
        <v>446355</v>
      </c>
      <c r="K840" t="str">
        <f t="shared" si="542"/>
        <v>Pass</v>
      </c>
      <c r="L840" s="15">
        <f t="shared" si="507"/>
        <v>0</v>
      </c>
      <c r="M840" s="15">
        <f t="shared" si="508"/>
        <v>0</v>
      </c>
      <c r="Z840" s="15">
        <f t="shared" si="509"/>
        <v>1</v>
      </c>
      <c r="AA840" s="15">
        <f t="shared" si="510"/>
        <v>1</v>
      </c>
      <c r="AB840" s="15">
        <f t="shared" si="511"/>
        <v>1</v>
      </c>
      <c r="AC840" s="15">
        <f t="shared" si="512"/>
        <v>1</v>
      </c>
      <c r="AD840" s="15">
        <f t="shared" si="513"/>
        <v>1</v>
      </c>
      <c r="AE840" s="15">
        <f t="shared" si="514"/>
        <v>1</v>
      </c>
      <c r="AF840" s="15">
        <f t="shared" si="515"/>
        <v>1</v>
      </c>
      <c r="AG840" s="15">
        <f t="shared" si="516"/>
        <v>1</v>
      </c>
      <c r="AH840" s="15">
        <f t="shared" si="517"/>
        <v>1</v>
      </c>
      <c r="AI840" s="15">
        <f t="shared" si="518"/>
        <v>1</v>
      </c>
      <c r="AJ840" s="15">
        <f t="shared" si="519"/>
        <v>1</v>
      </c>
      <c r="AK840" s="15">
        <f t="shared" si="520"/>
        <v>1</v>
      </c>
      <c r="AL840" s="15">
        <f t="shared" si="521"/>
        <v>1</v>
      </c>
      <c r="AM840" s="15">
        <f t="shared" si="522"/>
        <v>1</v>
      </c>
      <c r="AN840" s="15">
        <f t="shared" si="523"/>
        <v>1</v>
      </c>
      <c r="AO840" s="15">
        <f t="shared" si="524"/>
        <v>1</v>
      </c>
      <c r="AP840" s="15">
        <f t="shared" si="525"/>
        <v>1</v>
      </c>
      <c r="AQ840" s="15">
        <f t="shared" si="526"/>
        <v>1</v>
      </c>
      <c r="AR840" s="15">
        <f t="shared" si="527"/>
        <v>1</v>
      </c>
      <c r="AS840" s="15">
        <f t="shared" si="528"/>
        <v>1</v>
      </c>
      <c r="AT840" s="15">
        <f t="shared" si="529"/>
        <v>1</v>
      </c>
      <c r="AU840" s="15">
        <f t="shared" si="530"/>
        <v>1</v>
      </c>
      <c r="AV840" s="15">
        <f t="shared" si="531"/>
        <v>1</v>
      </c>
      <c r="AW840" s="15">
        <f t="shared" si="532"/>
        <v>1</v>
      </c>
      <c r="AX840" s="15">
        <f t="shared" si="533"/>
        <v>1</v>
      </c>
      <c r="AY840" s="15">
        <f t="shared" si="534"/>
        <v>1</v>
      </c>
      <c r="AZ840" s="15">
        <f t="shared" si="535"/>
        <v>1</v>
      </c>
      <c r="BA840" s="15">
        <f t="shared" si="536"/>
        <v>1</v>
      </c>
      <c r="BB840" s="15">
        <f t="shared" si="543"/>
        <v>0</v>
      </c>
      <c r="BC840" s="15" t="str">
        <f t="shared" si="544"/>
        <v/>
      </c>
      <c r="BD840" s="15" t="str">
        <f t="shared" si="545"/>
        <v/>
      </c>
      <c r="BE840" s="11" t="e">
        <f t="shared" si="537"/>
        <v>#VALUE!</v>
      </c>
      <c r="BF840" s="11" t="e">
        <f t="shared" si="538"/>
        <v>#VALUE!</v>
      </c>
      <c r="BG840" s="11" t="e">
        <f t="shared" si="539"/>
        <v>#VALUE!</v>
      </c>
      <c r="BH840" t="str">
        <f t="shared" si="540"/>
        <v/>
      </c>
      <c r="BI840" t="str" cm="1">
        <f t="array" ref="BI840">_xlfn.IFS(
  L840&gt;0,"Critical Fail",
  M840&gt;0,"Important (Coaching)",
  TRUE,"Clean Pass"
)</f>
        <v>Clean Pass</v>
      </c>
      <c r="BJ840" t="str">
        <f t="shared" si="541"/>
        <v>NA</v>
      </c>
    </row>
    <row r="841" spans="1:62" x14ac:dyDescent="0.3">
      <c r="A841">
        <v>412818</v>
      </c>
      <c r="K841" t="str">
        <f t="shared" si="542"/>
        <v>Pass</v>
      </c>
      <c r="L841" s="15">
        <f t="shared" si="507"/>
        <v>0</v>
      </c>
      <c r="M841" s="15">
        <f t="shared" si="508"/>
        <v>0</v>
      </c>
      <c r="Z841" s="15">
        <f t="shared" si="509"/>
        <v>1</v>
      </c>
      <c r="AA841" s="15">
        <f t="shared" si="510"/>
        <v>1</v>
      </c>
      <c r="AB841" s="15">
        <f t="shared" si="511"/>
        <v>1</v>
      </c>
      <c r="AC841" s="15">
        <f t="shared" si="512"/>
        <v>1</v>
      </c>
      <c r="AD841" s="15">
        <f t="shared" si="513"/>
        <v>1</v>
      </c>
      <c r="AE841" s="15">
        <f t="shared" si="514"/>
        <v>1</v>
      </c>
      <c r="AF841" s="15">
        <f t="shared" si="515"/>
        <v>1</v>
      </c>
      <c r="AG841" s="15">
        <f t="shared" si="516"/>
        <v>1</v>
      </c>
      <c r="AH841" s="15">
        <f t="shared" si="517"/>
        <v>1</v>
      </c>
      <c r="AI841" s="15">
        <f t="shared" si="518"/>
        <v>1</v>
      </c>
      <c r="AJ841" s="15">
        <f t="shared" si="519"/>
        <v>1</v>
      </c>
      <c r="AK841" s="15">
        <f t="shared" si="520"/>
        <v>1</v>
      </c>
      <c r="AL841" s="15">
        <f t="shared" si="521"/>
        <v>1</v>
      </c>
      <c r="AM841" s="15">
        <f t="shared" si="522"/>
        <v>1</v>
      </c>
      <c r="AN841" s="15">
        <f t="shared" si="523"/>
        <v>1</v>
      </c>
      <c r="AO841" s="15">
        <f t="shared" si="524"/>
        <v>1</v>
      </c>
      <c r="AP841" s="15">
        <f t="shared" si="525"/>
        <v>1</v>
      </c>
      <c r="AQ841" s="15">
        <f t="shared" si="526"/>
        <v>1</v>
      </c>
      <c r="AR841" s="15">
        <f t="shared" si="527"/>
        <v>1</v>
      </c>
      <c r="AS841" s="15">
        <f t="shared" si="528"/>
        <v>1</v>
      </c>
      <c r="AT841" s="15">
        <f t="shared" si="529"/>
        <v>1</v>
      </c>
      <c r="AU841" s="15">
        <f t="shared" si="530"/>
        <v>1</v>
      </c>
      <c r="AV841" s="15">
        <f t="shared" si="531"/>
        <v>1</v>
      </c>
      <c r="AW841" s="15">
        <f t="shared" si="532"/>
        <v>1</v>
      </c>
      <c r="AX841" s="15">
        <f t="shared" si="533"/>
        <v>1</v>
      </c>
      <c r="AY841" s="15">
        <f t="shared" si="534"/>
        <v>1</v>
      </c>
      <c r="AZ841" s="15">
        <f t="shared" si="535"/>
        <v>1</v>
      </c>
      <c r="BA841" s="15">
        <f t="shared" si="536"/>
        <v>1</v>
      </c>
      <c r="BB841" s="15">
        <f t="shared" si="543"/>
        <v>0</v>
      </c>
      <c r="BC841" s="15" t="str">
        <f t="shared" si="544"/>
        <v/>
      </c>
      <c r="BD841" s="15" t="str">
        <f t="shared" si="545"/>
        <v/>
      </c>
      <c r="BE841" s="11" t="e">
        <f t="shared" si="537"/>
        <v>#VALUE!</v>
      </c>
      <c r="BF841" s="11" t="e">
        <f t="shared" si="538"/>
        <v>#VALUE!</v>
      </c>
      <c r="BG841" s="11" t="e">
        <f t="shared" si="539"/>
        <v>#VALUE!</v>
      </c>
      <c r="BH841" t="str">
        <f t="shared" si="540"/>
        <v/>
      </c>
      <c r="BI841" t="str" cm="1">
        <f t="array" ref="BI841">_xlfn.IFS(
  L841&gt;0,"Critical Fail",
  M841&gt;0,"Important (Coaching)",
  TRUE,"Clean Pass"
)</f>
        <v>Clean Pass</v>
      </c>
      <c r="BJ841" t="str">
        <f t="shared" si="541"/>
        <v>NA</v>
      </c>
    </row>
    <row r="842" spans="1:62" x14ac:dyDescent="0.3">
      <c r="A842">
        <v>478931</v>
      </c>
      <c r="K842" t="str">
        <f t="shared" si="542"/>
        <v>Pass</v>
      </c>
      <c r="L842" s="15">
        <f t="shared" si="507"/>
        <v>0</v>
      </c>
      <c r="M842" s="15">
        <f t="shared" si="508"/>
        <v>0</v>
      </c>
      <c r="Z842" s="15">
        <f t="shared" si="509"/>
        <v>1</v>
      </c>
      <c r="AA842" s="15">
        <f t="shared" si="510"/>
        <v>1</v>
      </c>
      <c r="AB842" s="15">
        <f t="shared" si="511"/>
        <v>1</v>
      </c>
      <c r="AC842" s="15">
        <f t="shared" si="512"/>
        <v>1</v>
      </c>
      <c r="AD842" s="15">
        <f t="shared" si="513"/>
        <v>1</v>
      </c>
      <c r="AE842" s="15">
        <f t="shared" si="514"/>
        <v>1</v>
      </c>
      <c r="AF842" s="15">
        <f t="shared" si="515"/>
        <v>1</v>
      </c>
      <c r="AG842" s="15">
        <f t="shared" si="516"/>
        <v>1</v>
      </c>
      <c r="AH842" s="15">
        <f t="shared" si="517"/>
        <v>1</v>
      </c>
      <c r="AI842" s="15">
        <f t="shared" si="518"/>
        <v>1</v>
      </c>
      <c r="AJ842" s="15">
        <f t="shared" si="519"/>
        <v>1</v>
      </c>
      <c r="AK842" s="15">
        <f t="shared" si="520"/>
        <v>1</v>
      </c>
      <c r="AL842" s="15">
        <f t="shared" si="521"/>
        <v>1</v>
      </c>
      <c r="AM842" s="15">
        <f t="shared" si="522"/>
        <v>1</v>
      </c>
      <c r="AN842" s="15">
        <f t="shared" si="523"/>
        <v>1</v>
      </c>
      <c r="AO842" s="15">
        <f t="shared" si="524"/>
        <v>1</v>
      </c>
      <c r="AP842" s="15">
        <f t="shared" si="525"/>
        <v>1</v>
      </c>
      <c r="AQ842" s="15">
        <f t="shared" si="526"/>
        <v>1</v>
      </c>
      <c r="AR842" s="15">
        <f t="shared" si="527"/>
        <v>1</v>
      </c>
      <c r="AS842" s="15">
        <f t="shared" si="528"/>
        <v>1</v>
      </c>
      <c r="AT842" s="15">
        <f t="shared" si="529"/>
        <v>1</v>
      </c>
      <c r="AU842" s="15">
        <f t="shared" si="530"/>
        <v>1</v>
      </c>
      <c r="AV842" s="15">
        <f t="shared" si="531"/>
        <v>1</v>
      </c>
      <c r="AW842" s="15">
        <f t="shared" si="532"/>
        <v>1</v>
      </c>
      <c r="AX842" s="15">
        <f t="shared" si="533"/>
        <v>1</v>
      </c>
      <c r="AY842" s="15">
        <f t="shared" si="534"/>
        <v>1</v>
      </c>
      <c r="AZ842" s="15">
        <f t="shared" si="535"/>
        <v>1</v>
      </c>
      <c r="BA842" s="15">
        <f t="shared" si="536"/>
        <v>1</v>
      </c>
      <c r="BB842" s="15">
        <f t="shared" si="543"/>
        <v>0</v>
      </c>
      <c r="BC842" s="15" t="str">
        <f t="shared" si="544"/>
        <v/>
      </c>
      <c r="BD842" s="15" t="str">
        <f t="shared" si="545"/>
        <v/>
      </c>
      <c r="BE842" s="11" t="e">
        <f t="shared" si="537"/>
        <v>#VALUE!</v>
      </c>
      <c r="BF842" s="11" t="e">
        <f t="shared" si="538"/>
        <v>#VALUE!</v>
      </c>
      <c r="BG842" s="11" t="e">
        <f t="shared" si="539"/>
        <v>#VALUE!</v>
      </c>
      <c r="BH842" t="str">
        <f t="shared" si="540"/>
        <v/>
      </c>
      <c r="BI842" t="str" cm="1">
        <f t="array" ref="BI842">_xlfn.IFS(
  L842&gt;0,"Critical Fail",
  M842&gt;0,"Important (Coaching)",
  TRUE,"Clean Pass"
)</f>
        <v>Clean Pass</v>
      </c>
      <c r="BJ842" t="str">
        <f t="shared" si="541"/>
        <v>NA</v>
      </c>
    </row>
    <row r="843" spans="1:62" x14ac:dyDescent="0.3">
      <c r="A843">
        <v>798536</v>
      </c>
      <c r="K843" t="str">
        <f t="shared" si="542"/>
        <v>Pass</v>
      </c>
      <c r="L843" s="15">
        <f t="shared" si="507"/>
        <v>0</v>
      </c>
      <c r="M843" s="15">
        <f t="shared" si="508"/>
        <v>0</v>
      </c>
      <c r="Z843" s="15">
        <f t="shared" si="509"/>
        <v>1</v>
      </c>
      <c r="AA843" s="15">
        <f t="shared" si="510"/>
        <v>1</v>
      </c>
      <c r="AB843" s="15">
        <f t="shared" si="511"/>
        <v>1</v>
      </c>
      <c r="AC843" s="15">
        <f t="shared" si="512"/>
        <v>1</v>
      </c>
      <c r="AD843" s="15">
        <f t="shared" si="513"/>
        <v>1</v>
      </c>
      <c r="AE843" s="15">
        <f t="shared" si="514"/>
        <v>1</v>
      </c>
      <c r="AF843" s="15">
        <f t="shared" si="515"/>
        <v>1</v>
      </c>
      <c r="AG843" s="15">
        <f t="shared" si="516"/>
        <v>1</v>
      </c>
      <c r="AH843" s="15">
        <f t="shared" si="517"/>
        <v>1</v>
      </c>
      <c r="AI843" s="15">
        <f t="shared" si="518"/>
        <v>1</v>
      </c>
      <c r="AJ843" s="15">
        <f t="shared" si="519"/>
        <v>1</v>
      </c>
      <c r="AK843" s="15">
        <f t="shared" si="520"/>
        <v>1</v>
      </c>
      <c r="AL843" s="15">
        <f t="shared" si="521"/>
        <v>1</v>
      </c>
      <c r="AM843" s="15">
        <f t="shared" si="522"/>
        <v>1</v>
      </c>
      <c r="AN843" s="15">
        <f t="shared" si="523"/>
        <v>1</v>
      </c>
      <c r="AO843" s="15">
        <f t="shared" si="524"/>
        <v>1</v>
      </c>
      <c r="AP843" s="15">
        <f t="shared" si="525"/>
        <v>1</v>
      </c>
      <c r="AQ843" s="15">
        <f t="shared" si="526"/>
        <v>1</v>
      </c>
      <c r="AR843" s="15">
        <f t="shared" si="527"/>
        <v>1</v>
      </c>
      <c r="AS843" s="15">
        <f t="shared" si="528"/>
        <v>1</v>
      </c>
      <c r="AT843" s="15">
        <f t="shared" si="529"/>
        <v>1</v>
      </c>
      <c r="AU843" s="15">
        <f t="shared" si="530"/>
        <v>1</v>
      </c>
      <c r="AV843" s="15">
        <f t="shared" si="531"/>
        <v>1</v>
      </c>
      <c r="AW843" s="15">
        <f t="shared" si="532"/>
        <v>1</v>
      </c>
      <c r="AX843" s="15">
        <f t="shared" si="533"/>
        <v>1</v>
      </c>
      <c r="AY843" s="15">
        <f t="shared" si="534"/>
        <v>1</v>
      </c>
      <c r="AZ843" s="15">
        <f t="shared" si="535"/>
        <v>1</v>
      </c>
      <c r="BA843" s="15">
        <f t="shared" si="536"/>
        <v>1</v>
      </c>
      <c r="BB843" s="15">
        <f t="shared" si="543"/>
        <v>0</v>
      </c>
      <c r="BC843" s="15" t="str">
        <f t="shared" si="544"/>
        <v/>
      </c>
      <c r="BD843" s="15" t="str">
        <f t="shared" si="545"/>
        <v/>
      </c>
      <c r="BE843" s="11" t="e">
        <f t="shared" si="537"/>
        <v>#VALUE!</v>
      </c>
      <c r="BF843" s="11" t="e">
        <f t="shared" si="538"/>
        <v>#VALUE!</v>
      </c>
      <c r="BG843" s="11" t="e">
        <f t="shared" si="539"/>
        <v>#VALUE!</v>
      </c>
      <c r="BH843" t="str">
        <f t="shared" si="540"/>
        <v/>
      </c>
      <c r="BI843" t="str" cm="1">
        <f t="array" ref="BI843">_xlfn.IFS(
  L843&gt;0,"Critical Fail",
  M843&gt;0,"Important (Coaching)",
  TRUE,"Clean Pass"
)</f>
        <v>Clean Pass</v>
      </c>
      <c r="BJ843" t="str">
        <f t="shared" si="541"/>
        <v>NA</v>
      </c>
    </row>
    <row r="844" spans="1:62" x14ac:dyDescent="0.3">
      <c r="A844">
        <v>588747</v>
      </c>
      <c r="K844" t="str">
        <f t="shared" si="542"/>
        <v>Pass</v>
      </c>
      <c r="L844" s="15">
        <f t="shared" si="507"/>
        <v>0</v>
      </c>
      <c r="M844" s="15">
        <f t="shared" si="508"/>
        <v>0</v>
      </c>
      <c r="Z844" s="15">
        <f t="shared" si="509"/>
        <v>1</v>
      </c>
      <c r="AA844" s="15">
        <f t="shared" si="510"/>
        <v>1</v>
      </c>
      <c r="AB844" s="15">
        <f t="shared" si="511"/>
        <v>1</v>
      </c>
      <c r="AC844" s="15">
        <f t="shared" si="512"/>
        <v>1</v>
      </c>
      <c r="AD844" s="15">
        <f t="shared" si="513"/>
        <v>1</v>
      </c>
      <c r="AE844" s="15">
        <f t="shared" si="514"/>
        <v>1</v>
      </c>
      <c r="AF844" s="15">
        <f t="shared" si="515"/>
        <v>1</v>
      </c>
      <c r="AG844" s="15">
        <f t="shared" si="516"/>
        <v>1</v>
      </c>
      <c r="AH844" s="15">
        <f t="shared" si="517"/>
        <v>1</v>
      </c>
      <c r="AI844" s="15">
        <f t="shared" si="518"/>
        <v>1</v>
      </c>
      <c r="AJ844" s="15">
        <f t="shared" si="519"/>
        <v>1</v>
      </c>
      <c r="AK844" s="15">
        <f t="shared" si="520"/>
        <v>1</v>
      </c>
      <c r="AL844" s="15">
        <f t="shared" si="521"/>
        <v>1</v>
      </c>
      <c r="AM844" s="15">
        <f t="shared" si="522"/>
        <v>1</v>
      </c>
      <c r="AN844" s="15">
        <f t="shared" si="523"/>
        <v>1</v>
      </c>
      <c r="AO844" s="15">
        <f t="shared" si="524"/>
        <v>1</v>
      </c>
      <c r="AP844" s="15">
        <f t="shared" si="525"/>
        <v>1</v>
      </c>
      <c r="AQ844" s="15">
        <f t="shared" si="526"/>
        <v>1</v>
      </c>
      <c r="AR844" s="15">
        <f t="shared" si="527"/>
        <v>1</v>
      </c>
      <c r="AS844" s="15">
        <f t="shared" si="528"/>
        <v>1</v>
      </c>
      <c r="AT844" s="15">
        <f t="shared" si="529"/>
        <v>1</v>
      </c>
      <c r="AU844" s="15">
        <f t="shared" si="530"/>
        <v>1</v>
      </c>
      <c r="AV844" s="15">
        <f t="shared" si="531"/>
        <v>1</v>
      </c>
      <c r="AW844" s="15">
        <f t="shared" si="532"/>
        <v>1</v>
      </c>
      <c r="AX844" s="15">
        <f t="shared" si="533"/>
        <v>1</v>
      </c>
      <c r="AY844" s="15">
        <f t="shared" si="534"/>
        <v>1</v>
      </c>
      <c r="AZ844" s="15">
        <f t="shared" si="535"/>
        <v>1</v>
      </c>
      <c r="BA844" s="15">
        <f t="shared" si="536"/>
        <v>1</v>
      </c>
      <c r="BB844" s="15">
        <f t="shared" si="543"/>
        <v>0</v>
      </c>
      <c r="BC844" s="15" t="str">
        <f t="shared" si="544"/>
        <v/>
      </c>
      <c r="BD844" s="15" t="str">
        <f t="shared" si="545"/>
        <v/>
      </c>
      <c r="BE844" s="11" t="e">
        <f t="shared" si="537"/>
        <v>#VALUE!</v>
      </c>
      <c r="BF844" s="11" t="e">
        <f t="shared" si="538"/>
        <v>#VALUE!</v>
      </c>
      <c r="BG844" s="11" t="e">
        <f t="shared" si="539"/>
        <v>#VALUE!</v>
      </c>
      <c r="BH844" t="str">
        <f t="shared" si="540"/>
        <v/>
      </c>
      <c r="BI844" t="str" cm="1">
        <f t="array" ref="BI844">_xlfn.IFS(
  L844&gt;0,"Critical Fail",
  M844&gt;0,"Important (Coaching)",
  TRUE,"Clean Pass"
)</f>
        <v>Clean Pass</v>
      </c>
      <c r="BJ844" t="str">
        <f t="shared" si="541"/>
        <v>NA</v>
      </c>
    </row>
    <row r="845" spans="1:62" x14ac:dyDescent="0.3">
      <c r="A845">
        <v>844460</v>
      </c>
      <c r="K845" t="str">
        <f t="shared" si="542"/>
        <v>Pass</v>
      </c>
      <c r="L845" s="15">
        <f t="shared" si="507"/>
        <v>0</v>
      </c>
      <c r="M845" s="15">
        <f t="shared" si="508"/>
        <v>0</v>
      </c>
      <c r="Z845" s="15">
        <f t="shared" si="509"/>
        <v>1</v>
      </c>
      <c r="AA845" s="15">
        <f t="shared" si="510"/>
        <v>1</v>
      </c>
      <c r="AB845" s="15">
        <f t="shared" si="511"/>
        <v>1</v>
      </c>
      <c r="AC845" s="15">
        <f t="shared" si="512"/>
        <v>1</v>
      </c>
      <c r="AD845" s="15">
        <f t="shared" si="513"/>
        <v>1</v>
      </c>
      <c r="AE845" s="15">
        <f t="shared" si="514"/>
        <v>1</v>
      </c>
      <c r="AF845" s="15">
        <f t="shared" si="515"/>
        <v>1</v>
      </c>
      <c r="AG845" s="15">
        <f t="shared" si="516"/>
        <v>1</v>
      </c>
      <c r="AH845" s="15">
        <f t="shared" si="517"/>
        <v>1</v>
      </c>
      <c r="AI845" s="15">
        <f t="shared" si="518"/>
        <v>1</v>
      </c>
      <c r="AJ845" s="15">
        <f t="shared" si="519"/>
        <v>1</v>
      </c>
      <c r="AK845" s="15">
        <f t="shared" si="520"/>
        <v>1</v>
      </c>
      <c r="AL845" s="15">
        <f t="shared" si="521"/>
        <v>1</v>
      </c>
      <c r="AM845" s="15">
        <f t="shared" si="522"/>
        <v>1</v>
      </c>
      <c r="AN845" s="15">
        <f t="shared" si="523"/>
        <v>1</v>
      </c>
      <c r="AO845" s="15">
        <f t="shared" si="524"/>
        <v>1</v>
      </c>
      <c r="AP845" s="15">
        <f t="shared" si="525"/>
        <v>1</v>
      </c>
      <c r="AQ845" s="15">
        <f t="shared" si="526"/>
        <v>1</v>
      </c>
      <c r="AR845" s="15">
        <f t="shared" si="527"/>
        <v>1</v>
      </c>
      <c r="AS845" s="15">
        <f t="shared" si="528"/>
        <v>1</v>
      </c>
      <c r="AT845" s="15">
        <f t="shared" si="529"/>
        <v>1</v>
      </c>
      <c r="AU845" s="15">
        <f t="shared" si="530"/>
        <v>1</v>
      </c>
      <c r="AV845" s="15">
        <f t="shared" si="531"/>
        <v>1</v>
      </c>
      <c r="AW845" s="15">
        <f t="shared" si="532"/>
        <v>1</v>
      </c>
      <c r="AX845" s="15">
        <f t="shared" si="533"/>
        <v>1</v>
      </c>
      <c r="AY845" s="15">
        <f t="shared" si="534"/>
        <v>1</v>
      </c>
      <c r="AZ845" s="15">
        <f t="shared" si="535"/>
        <v>1</v>
      </c>
      <c r="BA845" s="15">
        <f t="shared" si="536"/>
        <v>1</v>
      </c>
      <c r="BB845" s="15">
        <f t="shared" si="543"/>
        <v>0</v>
      </c>
      <c r="BC845" s="15" t="str">
        <f t="shared" si="544"/>
        <v/>
      </c>
      <c r="BD845" s="15" t="str">
        <f t="shared" si="545"/>
        <v/>
      </c>
      <c r="BE845" s="11" t="e">
        <f t="shared" si="537"/>
        <v>#VALUE!</v>
      </c>
      <c r="BF845" s="11" t="e">
        <f t="shared" si="538"/>
        <v>#VALUE!</v>
      </c>
      <c r="BG845" s="11" t="e">
        <f t="shared" si="539"/>
        <v>#VALUE!</v>
      </c>
      <c r="BH845" t="str">
        <f t="shared" si="540"/>
        <v/>
      </c>
      <c r="BI845" t="str" cm="1">
        <f t="array" ref="BI845">_xlfn.IFS(
  L845&gt;0,"Critical Fail",
  M845&gt;0,"Important (Coaching)",
  TRUE,"Clean Pass"
)</f>
        <v>Clean Pass</v>
      </c>
      <c r="BJ845" t="str">
        <f t="shared" si="541"/>
        <v>NA</v>
      </c>
    </row>
    <row r="846" spans="1:62" x14ac:dyDescent="0.3">
      <c r="A846">
        <v>675278</v>
      </c>
      <c r="K846" t="str">
        <f t="shared" si="542"/>
        <v>Pass</v>
      </c>
      <c r="L846" s="15">
        <f t="shared" si="507"/>
        <v>0</v>
      </c>
      <c r="M846" s="15">
        <f t="shared" si="508"/>
        <v>0</v>
      </c>
      <c r="Z846" s="15">
        <f t="shared" si="509"/>
        <v>1</v>
      </c>
      <c r="AA846" s="15">
        <f t="shared" si="510"/>
        <v>1</v>
      </c>
      <c r="AB846" s="15">
        <f t="shared" si="511"/>
        <v>1</v>
      </c>
      <c r="AC846" s="15">
        <f t="shared" si="512"/>
        <v>1</v>
      </c>
      <c r="AD846" s="15">
        <f t="shared" si="513"/>
        <v>1</v>
      </c>
      <c r="AE846" s="15">
        <f t="shared" si="514"/>
        <v>1</v>
      </c>
      <c r="AF846" s="15">
        <f t="shared" si="515"/>
        <v>1</v>
      </c>
      <c r="AG846" s="15">
        <f t="shared" si="516"/>
        <v>1</v>
      </c>
      <c r="AH846" s="15">
        <f t="shared" si="517"/>
        <v>1</v>
      </c>
      <c r="AI846" s="15">
        <f t="shared" si="518"/>
        <v>1</v>
      </c>
      <c r="AJ846" s="15">
        <f t="shared" si="519"/>
        <v>1</v>
      </c>
      <c r="AK846" s="15">
        <f t="shared" si="520"/>
        <v>1</v>
      </c>
      <c r="AL846" s="15">
        <f t="shared" si="521"/>
        <v>1</v>
      </c>
      <c r="AM846" s="15">
        <f t="shared" si="522"/>
        <v>1</v>
      </c>
      <c r="AN846" s="15">
        <f t="shared" si="523"/>
        <v>1</v>
      </c>
      <c r="AO846" s="15">
        <f t="shared" si="524"/>
        <v>1</v>
      </c>
      <c r="AP846" s="15">
        <f t="shared" si="525"/>
        <v>1</v>
      </c>
      <c r="AQ846" s="15">
        <f t="shared" si="526"/>
        <v>1</v>
      </c>
      <c r="AR846" s="15">
        <f t="shared" si="527"/>
        <v>1</v>
      </c>
      <c r="AS846" s="15">
        <f t="shared" si="528"/>
        <v>1</v>
      </c>
      <c r="AT846" s="15">
        <f t="shared" si="529"/>
        <v>1</v>
      </c>
      <c r="AU846" s="15">
        <f t="shared" si="530"/>
        <v>1</v>
      </c>
      <c r="AV846" s="15">
        <f t="shared" si="531"/>
        <v>1</v>
      </c>
      <c r="AW846" s="15">
        <f t="shared" si="532"/>
        <v>1</v>
      </c>
      <c r="AX846" s="15">
        <f t="shared" si="533"/>
        <v>1</v>
      </c>
      <c r="AY846" s="15">
        <f t="shared" si="534"/>
        <v>1</v>
      </c>
      <c r="AZ846" s="15">
        <f t="shared" si="535"/>
        <v>1</v>
      </c>
      <c r="BA846" s="15">
        <f t="shared" si="536"/>
        <v>1</v>
      </c>
      <c r="BB846" s="15">
        <f t="shared" si="543"/>
        <v>0</v>
      </c>
      <c r="BC846" s="15" t="str">
        <f t="shared" si="544"/>
        <v/>
      </c>
      <c r="BD846" s="15" t="str">
        <f t="shared" si="545"/>
        <v/>
      </c>
      <c r="BE846" s="11" t="e">
        <f t="shared" si="537"/>
        <v>#VALUE!</v>
      </c>
      <c r="BF846" s="11" t="e">
        <f t="shared" si="538"/>
        <v>#VALUE!</v>
      </c>
      <c r="BG846" s="11" t="e">
        <f t="shared" si="539"/>
        <v>#VALUE!</v>
      </c>
      <c r="BH846" t="str">
        <f t="shared" si="540"/>
        <v/>
      </c>
      <c r="BI846" t="str" cm="1">
        <f t="array" ref="BI846">_xlfn.IFS(
  L846&gt;0,"Critical Fail",
  M846&gt;0,"Important (Coaching)",
  TRUE,"Clean Pass"
)</f>
        <v>Clean Pass</v>
      </c>
      <c r="BJ846" t="str">
        <f t="shared" si="541"/>
        <v>NA</v>
      </c>
    </row>
    <row r="847" spans="1:62" x14ac:dyDescent="0.3">
      <c r="A847">
        <v>701669</v>
      </c>
      <c r="K847" t="str">
        <f t="shared" si="542"/>
        <v>Pass</v>
      </c>
      <c r="L847" s="15">
        <f t="shared" si="507"/>
        <v>0</v>
      </c>
      <c r="M847" s="15">
        <f t="shared" si="508"/>
        <v>0</v>
      </c>
      <c r="Z847" s="15">
        <f t="shared" si="509"/>
        <v>1</v>
      </c>
      <c r="AA847" s="15">
        <f t="shared" si="510"/>
        <v>1</v>
      </c>
      <c r="AB847" s="15">
        <f t="shared" si="511"/>
        <v>1</v>
      </c>
      <c r="AC847" s="15">
        <f t="shared" si="512"/>
        <v>1</v>
      </c>
      <c r="AD847" s="15">
        <f t="shared" si="513"/>
        <v>1</v>
      </c>
      <c r="AE847" s="15">
        <f t="shared" si="514"/>
        <v>1</v>
      </c>
      <c r="AF847" s="15">
        <f t="shared" si="515"/>
        <v>1</v>
      </c>
      <c r="AG847" s="15">
        <f t="shared" si="516"/>
        <v>1</v>
      </c>
      <c r="AH847" s="15">
        <f t="shared" si="517"/>
        <v>1</v>
      </c>
      <c r="AI847" s="15">
        <f t="shared" si="518"/>
        <v>1</v>
      </c>
      <c r="AJ847" s="15">
        <f t="shared" si="519"/>
        <v>1</v>
      </c>
      <c r="AK847" s="15">
        <f t="shared" si="520"/>
        <v>1</v>
      </c>
      <c r="AL847" s="15">
        <f t="shared" si="521"/>
        <v>1</v>
      </c>
      <c r="AM847" s="15">
        <f t="shared" si="522"/>
        <v>1</v>
      </c>
      <c r="AN847" s="15">
        <f t="shared" si="523"/>
        <v>1</v>
      </c>
      <c r="AO847" s="15">
        <f t="shared" si="524"/>
        <v>1</v>
      </c>
      <c r="AP847" s="15">
        <f t="shared" si="525"/>
        <v>1</v>
      </c>
      <c r="AQ847" s="15">
        <f t="shared" si="526"/>
        <v>1</v>
      </c>
      <c r="AR847" s="15">
        <f t="shared" si="527"/>
        <v>1</v>
      </c>
      <c r="AS847" s="15">
        <f t="shared" si="528"/>
        <v>1</v>
      </c>
      <c r="AT847" s="15">
        <f t="shared" si="529"/>
        <v>1</v>
      </c>
      <c r="AU847" s="15">
        <f t="shared" si="530"/>
        <v>1</v>
      </c>
      <c r="AV847" s="15">
        <f t="shared" si="531"/>
        <v>1</v>
      </c>
      <c r="AW847" s="15">
        <f t="shared" si="532"/>
        <v>1</v>
      </c>
      <c r="AX847" s="15">
        <f t="shared" si="533"/>
        <v>1</v>
      </c>
      <c r="AY847" s="15">
        <f t="shared" si="534"/>
        <v>1</v>
      </c>
      <c r="AZ847" s="15">
        <f t="shared" si="535"/>
        <v>1</v>
      </c>
      <c r="BA847" s="15">
        <f t="shared" si="536"/>
        <v>1</v>
      </c>
      <c r="BB847" s="15">
        <f t="shared" si="543"/>
        <v>0</v>
      </c>
      <c r="BC847" s="15" t="str">
        <f t="shared" si="544"/>
        <v/>
      </c>
      <c r="BD847" s="15" t="str">
        <f t="shared" si="545"/>
        <v/>
      </c>
      <c r="BE847" s="11" t="e">
        <f t="shared" si="537"/>
        <v>#VALUE!</v>
      </c>
      <c r="BF847" s="11" t="e">
        <f t="shared" si="538"/>
        <v>#VALUE!</v>
      </c>
      <c r="BG847" s="11" t="e">
        <f t="shared" si="539"/>
        <v>#VALUE!</v>
      </c>
      <c r="BH847" t="str">
        <f t="shared" si="540"/>
        <v/>
      </c>
      <c r="BI847" t="str" cm="1">
        <f t="array" ref="BI847">_xlfn.IFS(
  L847&gt;0,"Critical Fail",
  M847&gt;0,"Important (Coaching)",
  TRUE,"Clean Pass"
)</f>
        <v>Clean Pass</v>
      </c>
      <c r="BJ847" t="str">
        <f t="shared" si="541"/>
        <v>NA</v>
      </c>
    </row>
    <row r="848" spans="1:62" x14ac:dyDescent="0.3">
      <c r="A848">
        <v>355237</v>
      </c>
      <c r="K848" t="str">
        <f t="shared" si="542"/>
        <v>Pass</v>
      </c>
      <c r="L848" s="15">
        <f t="shared" si="507"/>
        <v>0</v>
      </c>
      <c r="M848" s="15">
        <f t="shared" si="508"/>
        <v>0</v>
      </c>
      <c r="Z848" s="15">
        <f t="shared" si="509"/>
        <v>1</v>
      </c>
      <c r="AA848" s="15">
        <f t="shared" si="510"/>
        <v>1</v>
      </c>
      <c r="AB848" s="15">
        <f t="shared" si="511"/>
        <v>1</v>
      </c>
      <c r="AC848" s="15">
        <f t="shared" si="512"/>
        <v>1</v>
      </c>
      <c r="AD848" s="15">
        <f t="shared" si="513"/>
        <v>1</v>
      </c>
      <c r="AE848" s="15">
        <f t="shared" si="514"/>
        <v>1</v>
      </c>
      <c r="AF848" s="15">
        <f t="shared" si="515"/>
        <v>1</v>
      </c>
      <c r="AG848" s="15">
        <f t="shared" si="516"/>
        <v>1</v>
      </c>
      <c r="AH848" s="15">
        <f t="shared" si="517"/>
        <v>1</v>
      </c>
      <c r="AI848" s="15">
        <f t="shared" si="518"/>
        <v>1</v>
      </c>
      <c r="AJ848" s="15">
        <f t="shared" si="519"/>
        <v>1</v>
      </c>
      <c r="AK848" s="15">
        <f t="shared" si="520"/>
        <v>1</v>
      </c>
      <c r="AL848" s="15">
        <f t="shared" si="521"/>
        <v>1</v>
      </c>
      <c r="AM848" s="15">
        <f t="shared" si="522"/>
        <v>1</v>
      </c>
      <c r="AN848" s="15">
        <f t="shared" si="523"/>
        <v>1</v>
      </c>
      <c r="AO848" s="15">
        <f t="shared" si="524"/>
        <v>1</v>
      </c>
      <c r="AP848" s="15">
        <f t="shared" si="525"/>
        <v>1</v>
      </c>
      <c r="AQ848" s="15">
        <f t="shared" si="526"/>
        <v>1</v>
      </c>
      <c r="AR848" s="15">
        <f t="shared" si="527"/>
        <v>1</v>
      </c>
      <c r="AS848" s="15">
        <f t="shared" si="528"/>
        <v>1</v>
      </c>
      <c r="AT848" s="15">
        <f t="shared" si="529"/>
        <v>1</v>
      </c>
      <c r="AU848" s="15">
        <f t="shared" si="530"/>
        <v>1</v>
      </c>
      <c r="AV848" s="15">
        <f t="shared" si="531"/>
        <v>1</v>
      </c>
      <c r="AW848" s="15">
        <f t="shared" si="532"/>
        <v>1</v>
      </c>
      <c r="AX848" s="15">
        <f t="shared" si="533"/>
        <v>1</v>
      </c>
      <c r="AY848" s="15">
        <f t="shared" si="534"/>
        <v>1</v>
      </c>
      <c r="AZ848" s="15">
        <f t="shared" si="535"/>
        <v>1</v>
      </c>
      <c r="BA848" s="15">
        <f t="shared" si="536"/>
        <v>1</v>
      </c>
      <c r="BB848" s="15">
        <f t="shared" si="543"/>
        <v>0</v>
      </c>
      <c r="BC848" s="15" t="str">
        <f t="shared" si="544"/>
        <v/>
      </c>
      <c r="BD848" s="15" t="str">
        <f t="shared" si="545"/>
        <v/>
      </c>
      <c r="BE848" s="11" t="e">
        <f t="shared" si="537"/>
        <v>#VALUE!</v>
      </c>
      <c r="BF848" s="11" t="e">
        <f t="shared" si="538"/>
        <v>#VALUE!</v>
      </c>
      <c r="BG848" s="11" t="e">
        <f t="shared" si="539"/>
        <v>#VALUE!</v>
      </c>
      <c r="BH848" t="str">
        <f t="shared" si="540"/>
        <v/>
      </c>
      <c r="BI848" t="str" cm="1">
        <f t="array" ref="BI848">_xlfn.IFS(
  L848&gt;0,"Critical Fail",
  M848&gt;0,"Important (Coaching)",
  TRUE,"Clean Pass"
)</f>
        <v>Clean Pass</v>
      </c>
      <c r="BJ848" t="str">
        <f t="shared" si="541"/>
        <v>NA</v>
      </c>
    </row>
    <row r="849" spans="1:62" x14ac:dyDescent="0.3">
      <c r="A849">
        <v>701882</v>
      </c>
      <c r="K849" t="str">
        <f t="shared" si="542"/>
        <v>Pass</v>
      </c>
      <c r="L849" s="15">
        <f t="shared" si="507"/>
        <v>0</v>
      </c>
      <c r="M849" s="15">
        <f t="shared" si="508"/>
        <v>0</v>
      </c>
      <c r="Z849" s="15">
        <f t="shared" si="509"/>
        <v>1</v>
      </c>
      <c r="AA849" s="15">
        <f t="shared" si="510"/>
        <v>1</v>
      </c>
      <c r="AB849" s="15">
        <f t="shared" si="511"/>
        <v>1</v>
      </c>
      <c r="AC849" s="15">
        <f t="shared" si="512"/>
        <v>1</v>
      </c>
      <c r="AD849" s="15">
        <f t="shared" si="513"/>
        <v>1</v>
      </c>
      <c r="AE849" s="15">
        <f t="shared" si="514"/>
        <v>1</v>
      </c>
      <c r="AF849" s="15">
        <f t="shared" si="515"/>
        <v>1</v>
      </c>
      <c r="AG849" s="15">
        <f t="shared" si="516"/>
        <v>1</v>
      </c>
      <c r="AH849" s="15">
        <f t="shared" si="517"/>
        <v>1</v>
      </c>
      <c r="AI849" s="15">
        <f t="shared" si="518"/>
        <v>1</v>
      </c>
      <c r="AJ849" s="15">
        <f t="shared" si="519"/>
        <v>1</v>
      </c>
      <c r="AK849" s="15">
        <f t="shared" si="520"/>
        <v>1</v>
      </c>
      <c r="AL849" s="15">
        <f t="shared" si="521"/>
        <v>1</v>
      </c>
      <c r="AM849" s="15">
        <f t="shared" si="522"/>
        <v>1</v>
      </c>
      <c r="AN849" s="15">
        <f t="shared" si="523"/>
        <v>1</v>
      </c>
      <c r="AO849" s="15">
        <f t="shared" si="524"/>
        <v>1</v>
      </c>
      <c r="AP849" s="15">
        <f t="shared" si="525"/>
        <v>1</v>
      </c>
      <c r="AQ849" s="15">
        <f t="shared" si="526"/>
        <v>1</v>
      </c>
      <c r="AR849" s="15">
        <f t="shared" si="527"/>
        <v>1</v>
      </c>
      <c r="AS849" s="15">
        <f t="shared" si="528"/>
        <v>1</v>
      </c>
      <c r="AT849" s="15">
        <f t="shared" si="529"/>
        <v>1</v>
      </c>
      <c r="AU849" s="15">
        <f t="shared" si="530"/>
        <v>1</v>
      </c>
      <c r="AV849" s="15">
        <f t="shared" si="531"/>
        <v>1</v>
      </c>
      <c r="AW849" s="15">
        <f t="shared" si="532"/>
        <v>1</v>
      </c>
      <c r="AX849" s="15">
        <f t="shared" si="533"/>
        <v>1</v>
      </c>
      <c r="AY849" s="15">
        <f t="shared" si="534"/>
        <v>1</v>
      </c>
      <c r="AZ849" s="15">
        <f t="shared" si="535"/>
        <v>1</v>
      </c>
      <c r="BA849" s="15">
        <f t="shared" si="536"/>
        <v>1</v>
      </c>
      <c r="BB849" s="15">
        <f t="shared" si="543"/>
        <v>0</v>
      </c>
      <c r="BC849" s="15" t="str">
        <f t="shared" si="544"/>
        <v/>
      </c>
      <c r="BD849" s="15" t="str">
        <f t="shared" si="545"/>
        <v/>
      </c>
      <c r="BE849" s="11" t="e">
        <f t="shared" si="537"/>
        <v>#VALUE!</v>
      </c>
      <c r="BF849" s="11" t="e">
        <f t="shared" si="538"/>
        <v>#VALUE!</v>
      </c>
      <c r="BG849" s="11" t="e">
        <f t="shared" si="539"/>
        <v>#VALUE!</v>
      </c>
      <c r="BH849" t="str">
        <f t="shared" si="540"/>
        <v/>
      </c>
      <c r="BI849" t="str" cm="1">
        <f t="array" ref="BI849">_xlfn.IFS(
  L849&gt;0,"Critical Fail",
  M849&gt;0,"Important (Coaching)",
  TRUE,"Clean Pass"
)</f>
        <v>Clean Pass</v>
      </c>
      <c r="BJ849" t="str">
        <f t="shared" si="541"/>
        <v>NA</v>
      </c>
    </row>
    <row r="850" spans="1:62" x14ac:dyDescent="0.3">
      <c r="A850">
        <v>324068</v>
      </c>
      <c r="K850" t="str">
        <f t="shared" si="542"/>
        <v>Pass</v>
      </c>
      <c r="L850" s="15">
        <f t="shared" si="507"/>
        <v>0</v>
      </c>
      <c r="M850" s="15">
        <f t="shared" si="508"/>
        <v>0</v>
      </c>
      <c r="Z850" s="15">
        <f t="shared" si="509"/>
        <v>1</v>
      </c>
      <c r="AA850" s="15">
        <f t="shared" si="510"/>
        <v>1</v>
      </c>
      <c r="AB850" s="15">
        <f t="shared" si="511"/>
        <v>1</v>
      </c>
      <c r="AC850" s="15">
        <f t="shared" si="512"/>
        <v>1</v>
      </c>
      <c r="AD850" s="15">
        <f t="shared" si="513"/>
        <v>1</v>
      </c>
      <c r="AE850" s="15">
        <f t="shared" si="514"/>
        <v>1</v>
      </c>
      <c r="AF850" s="15">
        <f t="shared" si="515"/>
        <v>1</v>
      </c>
      <c r="AG850" s="15">
        <f t="shared" si="516"/>
        <v>1</v>
      </c>
      <c r="AH850" s="15">
        <f t="shared" si="517"/>
        <v>1</v>
      </c>
      <c r="AI850" s="15">
        <f t="shared" si="518"/>
        <v>1</v>
      </c>
      <c r="AJ850" s="15">
        <f t="shared" si="519"/>
        <v>1</v>
      </c>
      <c r="AK850" s="15">
        <f t="shared" si="520"/>
        <v>1</v>
      </c>
      <c r="AL850" s="15">
        <f t="shared" si="521"/>
        <v>1</v>
      </c>
      <c r="AM850" s="15">
        <f t="shared" si="522"/>
        <v>1</v>
      </c>
      <c r="AN850" s="15">
        <f t="shared" si="523"/>
        <v>1</v>
      </c>
      <c r="AO850" s="15">
        <f t="shared" si="524"/>
        <v>1</v>
      </c>
      <c r="AP850" s="15">
        <f t="shared" si="525"/>
        <v>1</v>
      </c>
      <c r="AQ850" s="15">
        <f t="shared" si="526"/>
        <v>1</v>
      </c>
      <c r="AR850" s="15">
        <f t="shared" si="527"/>
        <v>1</v>
      </c>
      <c r="AS850" s="15">
        <f t="shared" si="528"/>
        <v>1</v>
      </c>
      <c r="AT850" s="15">
        <f t="shared" si="529"/>
        <v>1</v>
      </c>
      <c r="AU850" s="15">
        <f t="shared" si="530"/>
        <v>1</v>
      </c>
      <c r="AV850" s="15">
        <f t="shared" si="531"/>
        <v>1</v>
      </c>
      <c r="AW850" s="15">
        <f t="shared" si="532"/>
        <v>1</v>
      </c>
      <c r="AX850" s="15">
        <f t="shared" si="533"/>
        <v>1</v>
      </c>
      <c r="AY850" s="15">
        <f t="shared" si="534"/>
        <v>1</v>
      </c>
      <c r="AZ850" s="15">
        <f t="shared" si="535"/>
        <v>1</v>
      </c>
      <c r="BA850" s="15">
        <f t="shared" si="536"/>
        <v>1</v>
      </c>
      <c r="BB850" s="15">
        <f t="shared" si="543"/>
        <v>0</v>
      </c>
      <c r="BC850" s="15" t="str">
        <f t="shared" si="544"/>
        <v/>
      </c>
      <c r="BD850" s="15" t="str">
        <f t="shared" si="545"/>
        <v/>
      </c>
      <c r="BE850" s="11" t="e">
        <f t="shared" si="537"/>
        <v>#VALUE!</v>
      </c>
      <c r="BF850" s="11" t="e">
        <f t="shared" si="538"/>
        <v>#VALUE!</v>
      </c>
      <c r="BG850" s="11" t="e">
        <f t="shared" si="539"/>
        <v>#VALUE!</v>
      </c>
      <c r="BH850" t="str">
        <f t="shared" si="540"/>
        <v/>
      </c>
      <c r="BI850" t="str" cm="1">
        <f t="array" ref="BI850">_xlfn.IFS(
  L850&gt;0,"Critical Fail",
  M850&gt;0,"Important (Coaching)",
  TRUE,"Clean Pass"
)</f>
        <v>Clean Pass</v>
      </c>
      <c r="BJ850" t="str">
        <f t="shared" si="541"/>
        <v>NA</v>
      </c>
    </row>
    <row r="851" spans="1:62" x14ac:dyDescent="0.3">
      <c r="A851">
        <v>159361</v>
      </c>
      <c r="K851" t="str">
        <f t="shared" si="542"/>
        <v>Pass</v>
      </c>
      <c r="L851" s="15">
        <f t="shared" si="507"/>
        <v>0</v>
      </c>
      <c r="M851" s="15">
        <f t="shared" si="508"/>
        <v>0</v>
      </c>
      <c r="Z851" s="15">
        <f t="shared" si="509"/>
        <v>1</v>
      </c>
      <c r="AA851" s="15">
        <f t="shared" si="510"/>
        <v>1</v>
      </c>
      <c r="AB851" s="15">
        <f t="shared" si="511"/>
        <v>1</v>
      </c>
      <c r="AC851" s="15">
        <f t="shared" si="512"/>
        <v>1</v>
      </c>
      <c r="AD851" s="15">
        <f t="shared" si="513"/>
        <v>1</v>
      </c>
      <c r="AE851" s="15">
        <f t="shared" si="514"/>
        <v>1</v>
      </c>
      <c r="AF851" s="15">
        <f t="shared" si="515"/>
        <v>1</v>
      </c>
      <c r="AG851" s="15">
        <f t="shared" si="516"/>
        <v>1</v>
      </c>
      <c r="AH851" s="15">
        <f t="shared" si="517"/>
        <v>1</v>
      </c>
      <c r="AI851" s="15">
        <f t="shared" si="518"/>
        <v>1</v>
      </c>
      <c r="AJ851" s="15">
        <f t="shared" si="519"/>
        <v>1</v>
      </c>
      <c r="AK851" s="15">
        <f t="shared" si="520"/>
        <v>1</v>
      </c>
      <c r="AL851" s="15">
        <f t="shared" si="521"/>
        <v>1</v>
      </c>
      <c r="AM851" s="15">
        <f t="shared" si="522"/>
        <v>1</v>
      </c>
      <c r="AN851" s="15">
        <f t="shared" si="523"/>
        <v>1</v>
      </c>
      <c r="AO851" s="15">
        <f t="shared" si="524"/>
        <v>1</v>
      </c>
      <c r="AP851" s="15">
        <f t="shared" si="525"/>
        <v>1</v>
      </c>
      <c r="AQ851" s="15">
        <f t="shared" si="526"/>
        <v>1</v>
      </c>
      <c r="AR851" s="15">
        <f t="shared" si="527"/>
        <v>1</v>
      </c>
      <c r="AS851" s="15">
        <f t="shared" si="528"/>
        <v>1</v>
      </c>
      <c r="AT851" s="15">
        <f t="shared" si="529"/>
        <v>1</v>
      </c>
      <c r="AU851" s="15">
        <f t="shared" si="530"/>
        <v>1</v>
      </c>
      <c r="AV851" s="15">
        <f t="shared" si="531"/>
        <v>1</v>
      </c>
      <c r="AW851" s="15">
        <f t="shared" si="532"/>
        <v>1</v>
      </c>
      <c r="AX851" s="15">
        <f t="shared" si="533"/>
        <v>1</v>
      </c>
      <c r="AY851" s="15">
        <f t="shared" si="534"/>
        <v>1</v>
      </c>
      <c r="AZ851" s="15">
        <f t="shared" si="535"/>
        <v>1</v>
      </c>
      <c r="BA851" s="15">
        <f t="shared" si="536"/>
        <v>1</v>
      </c>
      <c r="BB851" s="15">
        <f t="shared" si="543"/>
        <v>0</v>
      </c>
      <c r="BC851" s="15" t="str">
        <f t="shared" si="544"/>
        <v/>
      </c>
      <c r="BD851" s="15" t="str">
        <f t="shared" si="545"/>
        <v/>
      </c>
      <c r="BE851" s="11" t="e">
        <f t="shared" si="537"/>
        <v>#VALUE!</v>
      </c>
      <c r="BF851" s="11" t="e">
        <f t="shared" si="538"/>
        <v>#VALUE!</v>
      </c>
      <c r="BG851" s="11" t="e">
        <f t="shared" si="539"/>
        <v>#VALUE!</v>
      </c>
      <c r="BH851" t="str">
        <f t="shared" si="540"/>
        <v/>
      </c>
      <c r="BI851" t="str" cm="1">
        <f t="array" ref="BI851">_xlfn.IFS(
  L851&gt;0,"Critical Fail",
  M851&gt;0,"Important (Coaching)",
  TRUE,"Clean Pass"
)</f>
        <v>Clean Pass</v>
      </c>
      <c r="BJ851" t="str">
        <f t="shared" si="541"/>
        <v>NA</v>
      </c>
    </row>
    <row r="852" spans="1:62" x14ac:dyDescent="0.3">
      <c r="A852">
        <v>387860</v>
      </c>
      <c r="K852" t="str">
        <f t="shared" si="542"/>
        <v>Pass</v>
      </c>
      <c r="L852" s="15">
        <f t="shared" si="507"/>
        <v>0</v>
      </c>
      <c r="M852" s="15">
        <f t="shared" si="508"/>
        <v>0</v>
      </c>
      <c r="Z852" s="15">
        <f t="shared" si="509"/>
        <v>1</v>
      </c>
      <c r="AA852" s="15">
        <f t="shared" si="510"/>
        <v>1</v>
      </c>
      <c r="AB852" s="15">
        <f t="shared" si="511"/>
        <v>1</v>
      </c>
      <c r="AC852" s="15">
        <f t="shared" si="512"/>
        <v>1</v>
      </c>
      <c r="AD852" s="15">
        <f t="shared" si="513"/>
        <v>1</v>
      </c>
      <c r="AE852" s="15">
        <f t="shared" si="514"/>
        <v>1</v>
      </c>
      <c r="AF852" s="15">
        <f t="shared" si="515"/>
        <v>1</v>
      </c>
      <c r="AG852" s="15">
        <f t="shared" si="516"/>
        <v>1</v>
      </c>
      <c r="AH852" s="15">
        <f t="shared" si="517"/>
        <v>1</v>
      </c>
      <c r="AI852" s="15">
        <f t="shared" si="518"/>
        <v>1</v>
      </c>
      <c r="AJ852" s="15">
        <f t="shared" si="519"/>
        <v>1</v>
      </c>
      <c r="AK852" s="15">
        <f t="shared" si="520"/>
        <v>1</v>
      </c>
      <c r="AL852" s="15">
        <f t="shared" si="521"/>
        <v>1</v>
      </c>
      <c r="AM852" s="15">
        <f t="shared" si="522"/>
        <v>1</v>
      </c>
      <c r="AN852" s="15">
        <f t="shared" si="523"/>
        <v>1</v>
      </c>
      <c r="AO852" s="15">
        <f t="shared" si="524"/>
        <v>1</v>
      </c>
      <c r="AP852" s="15">
        <f t="shared" si="525"/>
        <v>1</v>
      </c>
      <c r="AQ852" s="15">
        <f t="shared" si="526"/>
        <v>1</v>
      </c>
      <c r="AR852" s="15">
        <f t="shared" si="527"/>
        <v>1</v>
      </c>
      <c r="AS852" s="15">
        <f t="shared" si="528"/>
        <v>1</v>
      </c>
      <c r="AT852" s="15">
        <f t="shared" si="529"/>
        <v>1</v>
      </c>
      <c r="AU852" s="15">
        <f t="shared" si="530"/>
        <v>1</v>
      </c>
      <c r="AV852" s="15">
        <f t="shared" si="531"/>
        <v>1</v>
      </c>
      <c r="AW852" s="15">
        <f t="shared" si="532"/>
        <v>1</v>
      </c>
      <c r="AX852" s="15">
        <f t="shared" si="533"/>
        <v>1</v>
      </c>
      <c r="AY852" s="15">
        <f t="shared" si="534"/>
        <v>1</v>
      </c>
      <c r="AZ852" s="15">
        <f t="shared" si="535"/>
        <v>1</v>
      </c>
      <c r="BA852" s="15">
        <f t="shared" si="536"/>
        <v>1</v>
      </c>
      <c r="BB852" s="15">
        <f t="shared" si="543"/>
        <v>0</v>
      </c>
      <c r="BC852" s="15" t="str">
        <f t="shared" si="544"/>
        <v/>
      </c>
      <c r="BD852" s="15" t="str">
        <f t="shared" si="545"/>
        <v/>
      </c>
      <c r="BE852" s="11" t="e">
        <f t="shared" si="537"/>
        <v>#VALUE!</v>
      </c>
      <c r="BF852" s="11" t="e">
        <f t="shared" si="538"/>
        <v>#VALUE!</v>
      </c>
      <c r="BG852" s="11" t="e">
        <f t="shared" si="539"/>
        <v>#VALUE!</v>
      </c>
      <c r="BH852" t="str">
        <f t="shared" si="540"/>
        <v/>
      </c>
      <c r="BI852" t="str" cm="1">
        <f t="array" ref="BI852">_xlfn.IFS(
  L852&gt;0,"Critical Fail",
  M852&gt;0,"Important (Coaching)",
  TRUE,"Clean Pass"
)</f>
        <v>Clean Pass</v>
      </c>
      <c r="BJ852" t="str">
        <f t="shared" si="541"/>
        <v>NA</v>
      </c>
    </row>
    <row r="853" spans="1:62" x14ac:dyDescent="0.3">
      <c r="A853">
        <v>383821</v>
      </c>
      <c r="K853" t="str">
        <f t="shared" si="542"/>
        <v>Pass</v>
      </c>
      <c r="L853" s="15">
        <f t="shared" si="507"/>
        <v>0</v>
      </c>
      <c r="M853" s="15">
        <f t="shared" si="508"/>
        <v>0</v>
      </c>
      <c r="Z853" s="15">
        <f t="shared" si="509"/>
        <v>1</v>
      </c>
      <c r="AA853" s="15">
        <f t="shared" si="510"/>
        <v>1</v>
      </c>
      <c r="AB853" s="15">
        <f t="shared" si="511"/>
        <v>1</v>
      </c>
      <c r="AC853" s="15">
        <f t="shared" si="512"/>
        <v>1</v>
      </c>
      <c r="AD853" s="15">
        <f t="shared" si="513"/>
        <v>1</v>
      </c>
      <c r="AE853" s="15">
        <f t="shared" si="514"/>
        <v>1</v>
      </c>
      <c r="AF853" s="15">
        <f t="shared" si="515"/>
        <v>1</v>
      </c>
      <c r="AG853" s="15">
        <f t="shared" si="516"/>
        <v>1</v>
      </c>
      <c r="AH853" s="15">
        <f t="shared" si="517"/>
        <v>1</v>
      </c>
      <c r="AI853" s="15">
        <f t="shared" si="518"/>
        <v>1</v>
      </c>
      <c r="AJ853" s="15">
        <f t="shared" si="519"/>
        <v>1</v>
      </c>
      <c r="AK853" s="15">
        <f t="shared" si="520"/>
        <v>1</v>
      </c>
      <c r="AL853" s="15">
        <f t="shared" si="521"/>
        <v>1</v>
      </c>
      <c r="AM853" s="15">
        <f t="shared" si="522"/>
        <v>1</v>
      </c>
      <c r="AN853" s="15">
        <f t="shared" si="523"/>
        <v>1</v>
      </c>
      <c r="AO853" s="15">
        <f t="shared" si="524"/>
        <v>1</v>
      </c>
      <c r="AP853" s="15">
        <f t="shared" si="525"/>
        <v>1</v>
      </c>
      <c r="AQ853" s="15">
        <f t="shared" si="526"/>
        <v>1</v>
      </c>
      <c r="AR853" s="15">
        <f t="shared" si="527"/>
        <v>1</v>
      </c>
      <c r="AS853" s="15">
        <f t="shared" si="528"/>
        <v>1</v>
      </c>
      <c r="AT853" s="15">
        <f t="shared" si="529"/>
        <v>1</v>
      </c>
      <c r="AU853" s="15">
        <f t="shared" si="530"/>
        <v>1</v>
      </c>
      <c r="AV853" s="15">
        <f t="shared" si="531"/>
        <v>1</v>
      </c>
      <c r="AW853" s="15">
        <f t="shared" si="532"/>
        <v>1</v>
      </c>
      <c r="AX853" s="15">
        <f t="shared" si="533"/>
        <v>1</v>
      </c>
      <c r="AY853" s="15">
        <f t="shared" si="534"/>
        <v>1</v>
      </c>
      <c r="AZ853" s="15">
        <f t="shared" si="535"/>
        <v>1</v>
      </c>
      <c r="BA853" s="15">
        <f t="shared" si="536"/>
        <v>1</v>
      </c>
      <c r="BB853" s="15">
        <f t="shared" si="543"/>
        <v>0</v>
      </c>
      <c r="BC853" s="15" t="str">
        <f t="shared" si="544"/>
        <v/>
      </c>
      <c r="BD853" s="15" t="str">
        <f t="shared" si="545"/>
        <v/>
      </c>
      <c r="BE853" s="11" t="e">
        <f t="shared" si="537"/>
        <v>#VALUE!</v>
      </c>
      <c r="BF853" s="11" t="e">
        <f t="shared" si="538"/>
        <v>#VALUE!</v>
      </c>
      <c r="BG853" s="11" t="e">
        <f t="shared" si="539"/>
        <v>#VALUE!</v>
      </c>
      <c r="BH853" t="str">
        <f t="shared" si="540"/>
        <v/>
      </c>
      <c r="BI853" t="str" cm="1">
        <f t="array" ref="BI853">_xlfn.IFS(
  L853&gt;0,"Critical Fail",
  M853&gt;0,"Important (Coaching)",
  TRUE,"Clean Pass"
)</f>
        <v>Clean Pass</v>
      </c>
      <c r="BJ853" t="str">
        <f t="shared" si="541"/>
        <v>NA</v>
      </c>
    </row>
    <row r="854" spans="1:62" x14ac:dyDescent="0.3">
      <c r="A854">
        <v>614003</v>
      </c>
      <c r="K854" t="str">
        <f t="shared" si="542"/>
        <v>Pass</v>
      </c>
      <c r="L854" s="15">
        <f t="shared" si="507"/>
        <v>0</v>
      </c>
      <c r="M854" s="15">
        <f t="shared" si="508"/>
        <v>0</v>
      </c>
      <c r="Z854" s="15">
        <f t="shared" si="509"/>
        <v>1</v>
      </c>
      <c r="AA854" s="15">
        <f t="shared" si="510"/>
        <v>1</v>
      </c>
      <c r="AB854" s="15">
        <f t="shared" si="511"/>
        <v>1</v>
      </c>
      <c r="AC854" s="15">
        <f t="shared" si="512"/>
        <v>1</v>
      </c>
      <c r="AD854" s="15">
        <f t="shared" si="513"/>
        <v>1</v>
      </c>
      <c r="AE854" s="15">
        <f t="shared" si="514"/>
        <v>1</v>
      </c>
      <c r="AF854" s="15">
        <f t="shared" si="515"/>
        <v>1</v>
      </c>
      <c r="AG854" s="15">
        <f t="shared" si="516"/>
        <v>1</v>
      </c>
      <c r="AH854" s="15">
        <f t="shared" si="517"/>
        <v>1</v>
      </c>
      <c r="AI854" s="15">
        <f t="shared" si="518"/>
        <v>1</v>
      </c>
      <c r="AJ854" s="15">
        <f t="shared" si="519"/>
        <v>1</v>
      </c>
      <c r="AK854" s="15">
        <f t="shared" si="520"/>
        <v>1</v>
      </c>
      <c r="AL854" s="15">
        <f t="shared" si="521"/>
        <v>1</v>
      </c>
      <c r="AM854" s="15">
        <f t="shared" si="522"/>
        <v>1</v>
      </c>
      <c r="AN854" s="15">
        <f t="shared" si="523"/>
        <v>1</v>
      </c>
      <c r="AO854" s="15">
        <f t="shared" si="524"/>
        <v>1</v>
      </c>
      <c r="AP854" s="15">
        <f t="shared" si="525"/>
        <v>1</v>
      </c>
      <c r="AQ854" s="15">
        <f t="shared" si="526"/>
        <v>1</v>
      </c>
      <c r="AR854" s="15">
        <f t="shared" si="527"/>
        <v>1</v>
      </c>
      <c r="AS854" s="15">
        <f t="shared" si="528"/>
        <v>1</v>
      </c>
      <c r="AT854" s="15">
        <f t="shared" si="529"/>
        <v>1</v>
      </c>
      <c r="AU854" s="15">
        <f t="shared" si="530"/>
        <v>1</v>
      </c>
      <c r="AV854" s="15">
        <f t="shared" si="531"/>
        <v>1</v>
      </c>
      <c r="AW854" s="15">
        <f t="shared" si="532"/>
        <v>1</v>
      </c>
      <c r="AX854" s="15">
        <f t="shared" si="533"/>
        <v>1</v>
      </c>
      <c r="AY854" s="15">
        <f t="shared" si="534"/>
        <v>1</v>
      </c>
      <c r="AZ854" s="15">
        <f t="shared" si="535"/>
        <v>1</v>
      </c>
      <c r="BA854" s="15">
        <f t="shared" si="536"/>
        <v>1</v>
      </c>
      <c r="BB854" s="15">
        <f t="shared" si="543"/>
        <v>0</v>
      </c>
      <c r="BC854" s="15" t="str">
        <f t="shared" si="544"/>
        <v/>
      </c>
      <c r="BD854" s="15" t="str">
        <f t="shared" si="545"/>
        <v/>
      </c>
      <c r="BE854" s="11" t="e">
        <f t="shared" si="537"/>
        <v>#VALUE!</v>
      </c>
      <c r="BF854" s="11" t="e">
        <f t="shared" si="538"/>
        <v>#VALUE!</v>
      </c>
      <c r="BG854" s="11" t="e">
        <f t="shared" si="539"/>
        <v>#VALUE!</v>
      </c>
      <c r="BH854" t="str">
        <f t="shared" si="540"/>
        <v/>
      </c>
      <c r="BI854" t="str" cm="1">
        <f t="array" ref="BI854">_xlfn.IFS(
  L854&gt;0,"Critical Fail",
  M854&gt;0,"Important (Coaching)",
  TRUE,"Clean Pass"
)</f>
        <v>Clean Pass</v>
      </c>
      <c r="BJ854" t="str">
        <f t="shared" si="541"/>
        <v>NA</v>
      </c>
    </row>
    <row r="855" spans="1:62" x14ac:dyDescent="0.3">
      <c r="A855">
        <v>666787</v>
      </c>
      <c r="K855" t="str">
        <f t="shared" si="542"/>
        <v>Pass</v>
      </c>
      <c r="L855" s="15">
        <f t="shared" si="507"/>
        <v>0</v>
      </c>
      <c r="M855" s="15">
        <f t="shared" si="508"/>
        <v>0</v>
      </c>
      <c r="Z855" s="15">
        <f t="shared" si="509"/>
        <v>1</v>
      </c>
      <c r="AA855" s="15">
        <f t="shared" si="510"/>
        <v>1</v>
      </c>
      <c r="AB855" s="15">
        <f t="shared" si="511"/>
        <v>1</v>
      </c>
      <c r="AC855" s="15">
        <f t="shared" si="512"/>
        <v>1</v>
      </c>
      <c r="AD855" s="15">
        <f t="shared" si="513"/>
        <v>1</v>
      </c>
      <c r="AE855" s="15">
        <f t="shared" si="514"/>
        <v>1</v>
      </c>
      <c r="AF855" s="15">
        <f t="shared" si="515"/>
        <v>1</v>
      </c>
      <c r="AG855" s="15">
        <f t="shared" si="516"/>
        <v>1</v>
      </c>
      <c r="AH855" s="15">
        <f t="shared" si="517"/>
        <v>1</v>
      </c>
      <c r="AI855" s="15">
        <f t="shared" si="518"/>
        <v>1</v>
      </c>
      <c r="AJ855" s="15">
        <f t="shared" si="519"/>
        <v>1</v>
      </c>
      <c r="AK855" s="15">
        <f t="shared" si="520"/>
        <v>1</v>
      </c>
      <c r="AL855" s="15">
        <f t="shared" si="521"/>
        <v>1</v>
      </c>
      <c r="AM855" s="15">
        <f t="shared" si="522"/>
        <v>1</v>
      </c>
      <c r="AN855" s="15">
        <f t="shared" si="523"/>
        <v>1</v>
      </c>
      <c r="AO855" s="15">
        <f t="shared" si="524"/>
        <v>1</v>
      </c>
      <c r="AP855" s="15">
        <f t="shared" si="525"/>
        <v>1</v>
      </c>
      <c r="AQ855" s="15">
        <f t="shared" si="526"/>
        <v>1</v>
      </c>
      <c r="AR855" s="15">
        <f t="shared" si="527"/>
        <v>1</v>
      </c>
      <c r="AS855" s="15">
        <f t="shared" si="528"/>
        <v>1</v>
      </c>
      <c r="AT855" s="15">
        <f t="shared" si="529"/>
        <v>1</v>
      </c>
      <c r="AU855" s="15">
        <f t="shared" si="530"/>
        <v>1</v>
      </c>
      <c r="AV855" s="15">
        <f t="shared" si="531"/>
        <v>1</v>
      </c>
      <c r="AW855" s="15">
        <f t="shared" si="532"/>
        <v>1</v>
      </c>
      <c r="AX855" s="15">
        <f t="shared" si="533"/>
        <v>1</v>
      </c>
      <c r="AY855" s="15">
        <f t="shared" si="534"/>
        <v>1</v>
      </c>
      <c r="AZ855" s="15">
        <f t="shared" si="535"/>
        <v>1</v>
      </c>
      <c r="BA855" s="15">
        <f t="shared" si="536"/>
        <v>1</v>
      </c>
      <c r="BB855" s="15">
        <f t="shared" si="543"/>
        <v>0</v>
      </c>
      <c r="BC855" s="15" t="str">
        <f t="shared" si="544"/>
        <v/>
      </c>
      <c r="BD855" s="15" t="str">
        <f t="shared" si="545"/>
        <v/>
      </c>
      <c r="BE855" s="11" t="e">
        <f t="shared" si="537"/>
        <v>#VALUE!</v>
      </c>
      <c r="BF855" s="11" t="e">
        <f t="shared" si="538"/>
        <v>#VALUE!</v>
      </c>
      <c r="BG855" s="11" t="e">
        <f t="shared" si="539"/>
        <v>#VALUE!</v>
      </c>
      <c r="BH855" t="str">
        <f t="shared" si="540"/>
        <v/>
      </c>
      <c r="BI855" t="str" cm="1">
        <f t="array" ref="BI855">_xlfn.IFS(
  L855&gt;0,"Critical Fail",
  M855&gt;0,"Important (Coaching)",
  TRUE,"Clean Pass"
)</f>
        <v>Clean Pass</v>
      </c>
      <c r="BJ855" t="str">
        <f t="shared" si="541"/>
        <v>NA</v>
      </c>
    </row>
    <row r="856" spans="1:62" x14ac:dyDescent="0.3">
      <c r="A856">
        <v>477350</v>
      </c>
      <c r="K856" t="str">
        <f t="shared" si="542"/>
        <v>Pass</v>
      </c>
      <c r="L856" s="15">
        <f t="shared" si="507"/>
        <v>0</v>
      </c>
      <c r="M856" s="15">
        <f t="shared" si="508"/>
        <v>0</v>
      </c>
      <c r="Z856" s="15">
        <f t="shared" si="509"/>
        <v>1</v>
      </c>
      <c r="AA856" s="15">
        <f t="shared" si="510"/>
        <v>1</v>
      </c>
      <c r="AB856" s="15">
        <f t="shared" si="511"/>
        <v>1</v>
      </c>
      <c r="AC856" s="15">
        <f t="shared" si="512"/>
        <v>1</v>
      </c>
      <c r="AD856" s="15">
        <f t="shared" si="513"/>
        <v>1</v>
      </c>
      <c r="AE856" s="15">
        <f t="shared" si="514"/>
        <v>1</v>
      </c>
      <c r="AF856" s="15">
        <f t="shared" si="515"/>
        <v>1</v>
      </c>
      <c r="AG856" s="15">
        <f t="shared" si="516"/>
        <v>1</v>
      </c>
      <c r="AH856" s="15">
        <f t="shared" si="517"/>
        <v>1</v>
      </c>
      <c r="AI856" s="15">
        <f t="shared" si="518"/>
        <v>1</v>
      </c>
      <c r="AJ856" s="15">
        <f t="shared" si="519"/>
        <v>1</v>
      </c>
      <c r="AK856" s="15">
        <f t="shared" si="520"/>
        <v>1</v>
      </c>
      <c r="AL856" s="15">
        <f t="shared" si="521"/>
        <v>1</v>
      </c>
      <c r="AM856" s="15">
        <f t="shared" si="522"/>
        <v>1</v>
      </c>
      <c r="AN856" s="15">
        <f t="shared" si="523"/>
        <v>1</v>
      </c>
      <c r="AO856" s="15">
        <f t="shared" si="524"/>
        <v>1</v>
      </c>
      <c r="AP856" s="15">
        <f t="shared" si="525"/>
        <v>1</v>
      </c>
      <c r="AQ856" s="15">
        <f t="shared" si="526"/>
        <v>1</v>
      </c>
      <c r="AR856" s="15">
        <f t="shared" si="527"/>
        <v>1</v>
      </c>
      <c r="AS856" s="15">
        <f t="shared" si="528"/>
        <v>1</v>
      </c>
      <c r="AT856" s="15">
        <f t="shared" si="529"/>
        <v>1</v>
      </c>
      <c r="AU856" s="15">
        <f t="shared" si="530"/>
        <v>1</v>
      </c>
      <c r="AV856" s="15">
        <f t="shared" si="531"/>
        <v>1</v>
      </c>
      <c r="AW856" s="15">
        <f t="shared" si="532"/>
        <v>1</v>
      </c>
      <c r="AX856" s="15">
        <f t="shared" si="533"/>
        <v>1</v>
      </c>
      <c r="AY856" s="15">
        <f t="shared" si="534"/>
        <v>1</v>
      </c>
      <c r="AZ856" s="15">
        <f t="shared" si="535"/>
        <v>1</v>
      </c>
      <c r="BA856" s="15">
        <f t="shared" si="536"/>
        <v>1</v>
      </c>
      <c r="BB856" s="15">
        <f t="shared" si="543"/>
        <v>0</v>
      </c>
      <c r="BC856" s="15" t="str">
        <f t="shared" si="544"/>
        <v/>
      </c>
      <c r="BD856" s="15" t="str">
        <f t="shared" si="545"/>
        <v/>
      </c>
      <c r="BE856" s="11" t="e">
        <f t="shared" si="537"/>
        <v>#VALUE!</v>
      </c>
      <c r="BF856" s="11" t="e">
        <f t="shared" si="538"/>
        <v>#VALUE!</v>
      </c>
      <c r="BG856" s="11" t="e">
        <f t="shared" si="539"/>
        <v>#VALUE!</v>
      </c>
      <c r="BH856" t="str">
        <f t="shared" si="540"/>
        <v/>
      </c>
      <c r="BI856" t="str" cm="1">
        <f t="array" ref="BI856">_xlfn.IFS(
  L856&gt;0,"Critical Fail",
  M856&gt;0,"Important (Coaching)",
  TRUE,"Clean Pass"
)</f>
        <v>Clean Pass</v>
      </c>
      <c r="BJ856" t="str">
        <f t="shared" si="541"/>
        <v>NA</v>
      </c>
    </row>
    <row r="857" spans="1:62" x14ac:dyDescent="0.3">
      <c r="A857">
        <v>836715</v>
      </c>
      <c r="K857" t="str">
        <f t="shared" si="542"/>
        <v>Pass</v>
      </c>
      <c r="L857" s="15">
        <f t="shared" si="507"/>
        <v>0</v>
      </c>
      <c r="M857" s="15">
        <f t="shared" si="508"/>
        <v>0</v>
      </c>
      <c r="Z857" s="15">
        <f t="shared" si="509"/>
        <v>1</v>
      </c>
      <c r="AA857" s="15">
        <f t="shared" si="510"/>
        <v>1</v>
      </c>
      <c r="AB857" s="15">
        <f t="shared" si="511"/>
        <v>1</v>
      </c>
      <c r="AC857" s="15">
        <f t="shared" si="512"/>
        <v>1</v>
      </c>
      <c r="AD857" s="15">
        <f t="shared" si="513"/>
        <v>1</v>
      </c>
      <c r="AE857" s="15">
        <f t="shared" si="514"/>
        <v>1</v>
      </c>
      <c r="AF857" s="15">
        <f t="shared" si="515"/>
        <v>1</v>
      </c>
      <c r="AG857" s="15">
        <f t="shared" si="516"/>
        <v>1</v>
      </c>
      <c r="AH857" s="15">
        <f t="shared" si="517"/>
        <v>1</v>
      </c>
      <c r="AI857" s="15">
        <f t="shared" si="518"/>
        <v>1</v>
      </c>
      <c r="AJ857" s="15">
        <f t="shared" si="519"/>
        <v>1</v>
      </c>
      <c r="AK857" s="15">
        <f t="shared" si="520"/>
        <v>1</v>
      </c>
      <c r="AL857" s="15">
        <f t="shared" si="521"/>
        <v>1</v>
      </c>
      <c r="AM857" s="15">
        <f t="shared" si="522"/>
        <v>1</v>
      </c>
      <c r="AN857" s="15">
        <f t="shared" si="523"/>
        <v>1</v>
      </c>
      <c r="AO857" s="15">
        <f t="shared" si="524"/>
        <v>1</v>
      </c>
      <c r="AP857" s="15">
        <f t="shared" si="525"/>
        <v>1</v>
      </c>
      <c r="AQ857" s="15">
        <f t="shared" si="526"/>
        <v>1</v>
      </c>
      <c r="AR857" s="15">
        <f t="shared" si="527"/>
        <v>1</v>
      </c>
      <c r="AS857" s="15">
        <f t="shared" si="528"/>
        <v>1</v>
      </c>
      <c r="AT857" s="15">
        <f t="shared" si="529"/>
        <v>1</v>
      </c>
      <c r="AU857" s="15">
        <f t="shared" si="530"/>
        <v>1</v>
      </c>
      <c r="AV857" s="15">
        <f t="shared" si="531"/>
        <v>1</v>
      </c>
      <c r="AW857" s="15">
        <f t="shared" si="532"/>
        <v>1</v>
      </c>
      <c r="AX857" s="15">
        <f t="shared" si="533"/>
        <v>1</v>
      </c>
      <c r="AY857" s="15">
        <f t="shared" si="534"/>
        <v>1</v>
      </c>
      <c r="AZ857" s="15">
        <f t="shared" si="535"/>
        <v>1</v>
      </c>
      <c r="BA857" s="15">
        <f t="shared" si="536"/>
        <v>1</v>
      </c>
      <c r="BB857" s="15">
        <f t="shared" si="543"/>
        <v>0</v>
      </c>
      <c r="BC857" s="15" t="str">
        <f t="shared" si="544"/>
        <v/>
      </c>
      <c r="BD857" s="15" t="str">
        <f t="shared" si="545"/>
        <v/>
      </c>
      <c r="BE857" s="11" t="e">
        <f t="shared" si="537"/>
        <v>#VALUE!</v>
      </c>
      <c r="BF857" s="11" t="e">
        <f t="shared" si="538"/>
        <v>#VALUE!</v>
      </c>
      <c r="BG857" s="11" t="e">
        <f t="shared" si="539"/>
        <v>#VALUE!</v>
      </c>
      <c r="BH857" t="str">
        <f t="shared" si="540"/>
        <v/>
      </c>
      <c r="BI857" t="str" cm="1">
        <f t="array" ref="BI857">_xlfn.IFS(
  L857&gt;0,"Critical Fail",
  M857&gt;0,"Important (Coaching)",
  TRUE,"Clean Pass"
)</f>
        <v>Clean Pass</v>
      </c>
      <c r="BJ857" t="str">
        <f t="shared" si="541"/>
        <v>NA</v>
      </c>
    </row>
    <row r="858" spans="1:62" x14ac:dyDescent="0.3">
      <c r="A858">
        <v>188358</v>
      </c>
      <c r="K858" t="str">
        <f t="shared" si="542"/>
        <v>Pass</v>
      </c>
      <c r="L858" s="15">
        <f t="shared" ref="L858:L921" si="546">COUNTA(N858,P858,R858)</f>
        <v>0</v>
      </c>
      <c r="M858" s="15">
        <f t="shared" ref="M858:M921" si="547">COUNTA(T858,V858,X858)</f>
        <v>0</v>
      </c>
      <c r="Z858" s="15">
        <f t="shared" ref="Z858:Z921" si="548">IF(AND(G858="DV",ISNUMBER(SEARCH("C1",N858&amp;P858&amp;R858&amp;T858&amp;V858&amp;X858))),0,1)</f>
        <v>1</v>
      </c>
      <c r="AA858" s="15">
        <f t="shared" ref="AA858:AA921" si="549">IF(AND(G858="DV",ISNUMBER(SEARCH("C2",N858&amp;P858&amp;R858&amp;T858&amp;V858&amp;X858))),0,1)</f>
        <v>1</v>
      </c>
      <c r="AB858" s="15">
        <f t="shared" ref="AB858:AB921" si="550">IF(AND(G858="DV",ISNUMBER(SEARCH("C3",N858&amp;P858&amp;R858&amp;T858&amp;V858&amp;X858))),0,1)</f>
        <v>1</v>
      </c>
      <c r="AC858" s="15">
        <f t="shared" ref="AC858:AC921" si="551">IF(AND(G858="DV",ISNUMBER(SEARCH("C4",N858&amp;P858&amp;R858&amp;T858&amp;V858&amp;X858))),0,1)</f>
        <v>1</v>
      </c>
      <c r="AD858" s="15">
        <f t="shared" ref="AD858:AD921" si="552">IF(AND(G858="DV",ISNUMBER(SEARCH("C5",N858&amp;P858&amp;R858&amp;T858&amp;V858&amp;X858))),0,1)</f>
        <v>1</v>
      </c>
      <c r="AE858" s="15">
        <f t="shared" ref="AE858:AE921" si="553">IF(AND(G858="DV",ISNUMBER(SEARCH("C6",N858&amp;P858&amp;R858&amp;T858&amp;V858&amp;X858))),0,1)</f>
        <v>1</v>
      </c>
      <c r="AF858" s="15">
        <f t="shared" ref="AF858:AF921" si="554">IF(AND(G858="DV",ISNUMBER(SEARCH("C7",N858&amp;P858&amp;R858&amp;T858&amp;V858&amp;X858))),0,1)</f>
        <v>1</v>
      </c>
      <c r="AG858" s="15">
        <f t="shared" ref="AG858:AG921" si="555">IF(AND(G858="DV",ISNUMBER(SEARCH("C8",N858&amp;P858&amp;R858&amp;T858&amp;V858&amp;X858))),0,1)</f>
        <v>1</v>
      </c>
      <c r="AH858" s="15">
        <f t="shared" ref="AH858:AH921" si="556">IF(AND(G858="DV",ISNUMBER(SEARCH("C9",N858&amp;P858&amp;R858&amp;T858&amp;V858&amp;X858))),0,1)</f>
        <v>1</v>
      </c>
      <c r="AI858" s="15">
        <f t="shared" ref="AI858:AI921" si="557">IF(AND(G858="DV",ISNUMBER(SEARCH("I1",N858&amp;P858&amp;R858&amp;T858&amp;V858&amp;X858))),0,1)</f>
        <v>1</v>
      </c>
      <c r="AJ858" s="15">
        <f t="shared" ref="AJ858:AJ921" si="558">IF(AND(G858="DV",ISNUMBER(SEARCH("I2",N858&amp;P858&amp;R858&amp;T858&amp;V858&amp;X858))),0,1)</f>
        <v>1</v>
      </c>
      <c r="AK858" s="15">
        <f t="shared" ref="AK858:AK921" si="559">IF(AND(G858="DV",ISNUMBER(SEARCH("I3",N858&amp;P858&amp;R858&amp;T858&amp;V858&amp;X858))),0,1)</f>
        <v>1</v>
      </c>
      <c r="AL858" s="15">
        <f t="shared" ref="AL858:AL921" si="560">IF(AND(G858="AL",ISNUMBER(SEARCH("C1",N858&amp;P858&amp;R858&amp;T858&amp;V858&amp;X858))),0,1)</f>
        <v>1</v>
      </c>
      <c r="AM858" s="15">
        <f t="shared" ref="AM858:AM921" si="561">IF(AND(G858="AL",ISNUMBER(SEARCH("C2",N858&amp;P858&amp;R858&amp;T858&amp;V858&amp;X858))),0,1)</f>
        <v>1</v>
      </c>
      <c r="AN858" s="15">
        <f t="shared" ref="AN858:AN921" si="562">IF(AND(G858="AL",ISNUMBER(SEARCH("C3",N858&amp;P858&amp;R858&amp;T858&amp;V858&amp;X858))),0,1)</f>
        <v>1</v>
      </c>
      <c r="AO858" s="15">
        <f t="shared" ref="AO858:AO921" si="563">IF(AND(G858="AL",ISNUMBER(SEARCH("C4",N858&amp;P858&amp;R858&amp;T858&amp;V858&amp;X858))),0,1)</f>
        <v>1</v>
      </c>
      <c r="AP858" s="15">
        <f t="shared" ref="AP858:AP921" si="564">IF(AND(G858="AL",ISNUMBER(SEARCH("C5",N858&amp;P858&amp;R858&amp;T858&amp;V858&amp;X858))),0,1)</f>
        <v>1</v>
      </c>
      <c r="AQ858" s="15">
        <f t="shared" ref="AQ858:AQ921" si="565">IF(AND(G858="AL",ISNUMBER(SEARCH("C6",N858&amp;P858&amp;R858&amp;T858&amp;V858&amp;X858))),0,1)</f>
        <v>1</v>
      </c>
      <c r="AR858" s="15">
        <f t="shared" ref="AR858:AR921" si="566">IF(AND(G858="AL",ISNUMBER(SEARCH("C7",N858&amp;P858&amp;R858&amp;T858&amp;V858&amp;X858))),0,1)</f>
        <v>1</v>
      </c>
      <c r="AS858" s="15">
        <f t="shared" ref="AS858:AS921" si="567">IF(AND(G858="AL",ISNUMBER(SEARCH("C8",N858&amp;P858&amp;R858&amp;T858&amp;V858&amp;X858))),0,1)</f>
        <v>1</v>
      </c>
      <c r="AT858" s="15">
        <f t="shared" ref="AT858:AT921" si="568">IF(AND(G858="AL",ISNUMBER(SEARCH("C9",N858&amp;P858&amp;R858&amp;T858&amp;V858&amp;X858))),0,1)</f>
        <v>1</v>
      </c>
      <c r="AU858" s="15">
        <f t="shared" ref="AU858:AU921" si="569">IF(AND(G858="AL",ISNUMBER(SEARCH("C10",N858&amp;P858&amp;R858&amp;T858&amp;V858&amp;X858))),0,1)</f>
        <v>1</v>
      </c>
      <c r="AV858" s="15">
        <f t="shared" ref="AV858:AV921" si="570">IF(AND(G858="AL",ISNUMBER(SEARCH("C11",N858&amp;P858&amp;R858&amp;T858&amp;V858&amp;X858))),0,1)</f>
        <v>1</v>
      </c>
      <c r="AW858" s="15">
        <f t="shared" ref="AW858:AW921" si="571">IF(AND(G858="AL",ISNUMBER(SEARCH("C12",N858&amp;P858&amp;R858&amp;T858&amp;V858&amp;X858))),0,1)</f>
        <v>1</v>
      </c>
      <c r="AX858" s="15">
        <f t="shared" ref="AX858:AX921" si="572">IF(AND(G858="AL",ISNUMBER(SEARCH("C13",N858&amp;P858&amp;R858&amp;T858&amp;V858&amp;X858))),0,1)</f>
        <v>1</v>
      </c>
      <c r="AY858" s="15">
        <f t="shared" ref="AY858:AY921" si="573">IF(AND(G858="AL",ISNUMBER(SEARCH("I1",N858&amp;P858&amp;R858&amp;T858&amp;V858&amp;X858))),0,1)</f>
        <v>1</v>
      </c>
      <c r="AZ858" s="15">
        <f t="shared" ref="AZ858:AZ921" si="574">IF(AND(G858="AL",ISNUMBER(SEARCH("I2",N858&amp;P858&amp;R858&amp;T858&amp;V858&amp;X858))),0,1)</f>
        <v>1</v>
      </c>
      <c r="BA858" s="15">
        <f t="shared" ref="BA858:BA921" si="575">IF(AND(G858="AL",ISNUMBER(SEARCH("I3",N858&amp;P858&amp;R858&amp;T858&amp;V858&amp;X858))),0,1)</f>
        <v>1</v>
      </c>
      <c r="BB858" s="15">
        <f t="shared" si="543"/>
        <v>0</v>
      </c>
      <c r="BC858" s="15" t="str">
        <f t="shared" si="544"/>
        <v/>
      </c>
      <c r="BD858" s="15" t="str">
        <f t="shared" si="545"/>
        <v/>
      </c>
      <c r="BE858" s="11" t="e">
        <f t="shared" ref="BE858:BE921" si="576">IF(BC858=0,1,(BC858-L858)/BC858)</f>
        <v>#VALUE!</v>
      </c>
      <c r="BF858" s="11" t="e">
        <f t="shared" ref="BF858:BF921" si="577">IF(BD858=0,1,(BD858-M858)/BD858)</f>
        <v>#VALUE!</v>
      </c>
      <c r="BG858" s="11" t="e">
        <f t="shared" ref="BG858:BG921" si="578">(BE858*0.7)+(BF858*0.3)</f>
        <v>#VALUE!</v>
      </c>
      <c r="BH858" t="str">
        <f t="shared" ref="BH858:BH921" si="579">_xlfn.TEXTJOIN(",",TRUE,N858,P858,R858)</f>
        <v/>
      </c>
      <c r="BI858" t="str" cm="1">
        <f t="array" ref="BI858">_xlfn.IFS(
  L858&gt;0,"Critical Fail",
  M858&gt;0,"Important (Coaching)",
  TRUE,"Clean Pass"
)</f>
        <v>Clean Pass</v>
      </c>
      <c r="BJ858" t="str">
        <f t="shared" ref="BJ858:BJ921" si="580">IF(COUNTA(N858:Y858)=0,"NA",_xlfn.TEXTJOIN(",",TRUE,N858:Y858))</f>
        <v>NA</v>
      </c>
    </row>
    <row r="859" spans="1:62" x14ac:dyDescent="0.3">
      <c r="A859">
        <v>342772</v>
      </c>
      <c r="K859" t="str">
        <f t="shared" si="542"/>
        <v>Pass</v>
      </c>
      <c r="L859" s="15">
        <f t="shared" si="546"/>
        <v>0</v>
      </c>
      <c r="M859" s="15">
        <f t="shared" si="547"/>
        <v>0</v>
      </c>
      <c r="Z859" s="15">
        <f t="shared" si="548"/>
        <v>1</v>
      </c>
      <c r="AA859" s="15">
        <f t="shared" si="549"/>
        <v>1</v>
      </c>
      <c r="AB859" s="15">
        <f t="shared" si="550"/>
        <v>1</v>
      </c>
      <c r="AC859" s="15">
        <f t="shared" si="551"/>
        <v>1</v>
      </c>
      <c r="AD859" s="15">
        <f t="shared" si="552"/>
        <v>1</v>
      </c>
      <c r="AE859" s="15">
        <f t="shared" si="553"/>
        <v>1</v>
      </c>
      <c r="AF859" s="15">
        <f t="shared" si="554"/>
        <v>1</v>
      </c>
      <c r="AG859" s="15">
        <f t="shared" si="555"/>
        <v>1</v>
      </c>
      <c r="AH859" s="15">
        <f t="shared" si="556"/>
        <v>1</v>
      </c>
      <c r="AI859" s="15">
        <f t="shared" si="557"/>
        <v>1</v>
      </c>
      <c r="AJ859" s="15">
        <f t="shared" si="558"/>
        <v>1</v>
      </c>
      <c r="AK859" s="15">
        <f t="shared" si="559"/>
        <v>1</v>
      </c>
      <c r="AL859" s="15">
        <f t="shared" si="560"/>
        <v>1</v>
      </c>
      <c r="AM859" s="15">
        <f t="shared" si="561"/>
        <v>1</v>
      </c>
      <c r="AN859" s="15">
        <f t="shared" si="562"/>
        <v>1</v>
      </c>
      <c r="AO859" s="15">
        <f t="shared" si="563"/>
        <v>1</v>
      </c>
      <c r="AP859" s="15">
        <f t="shared" si="564"/>
        <v>1</v>
      </c>
      <c r="AQ859" s="15">
        <f t="shared" si="565"/>
        <v>1</v>
      </c>
      <c r="AR859" s="15">
        <f t="shared" si="566"/>
        <v>1</v>
      </c>
      <c r="AS859" s="15">
        <f t="shared" si="567"/>
        <v>1</v>
      </c>
      <c r="AT859" s="15">
        <f t="shared" si="568"/>
        <v>1</v>
      </c>
      <c r="AU859" s="15">
        <f t="shared" si="569"/>
        <v>1</v>
      </c>
      <c r="AV859" s="15">
        <f t="shared" si="570"/>
        <v>1</v>
      </c>
      <c r="AW859" s="15">
        <f t="shared" si="571"/>
        <v>1</v>
      </c>
      <c r="AX859" s="15">
        <f t="shared" si="572"/>
        <v>1</v>
      </c>
      <c r="AY859" s="15">
        <f t="shared" si="573"/>
        <v>1</v>
      </c>
      <c r="AZ859" s="15">
        <f t="shared" si="574"/>
        <v>1</v>
      </c>
      <c r="BA859" s="15">
        <f t="shared" si="575"/>
        <v>1</v>
      </c>
      <c r="BB859" s="15">
        <f t="shared" si="543"/>
        <v>0</v>
      </c>
      <c r="BC859" s="15" t="str">
        <f t="shared" si="544"/>
        <v/>
      </c>
      <c r="BD859" s="15" t="str">
        <f t="shared" si="545"/>
        <v/>
      </c>
      <c r="BE859" s="11" t="e">
        <f t="shared" si="576"/>
        <v>#VALUE!</v>
      </c>
      <c r="BF859" s="11" t="e">
        <f t="shared" si="577"/>
        <v>#VALUE!</v>
      </c>
      <c r="BG859" s="11" t="e">
        <f t="shared" si="578"/>
        <v>#VALUE!</v>
      </c>
      <c r="BH859" t="str">
        <f t="shared" si="579"/>
        <v/>
      </c>
      <c r="BI859" t="str" cm="1">
        <f t="array" ref="BI859">_xlfn.IFS(
  L859&gt;0,"Critical Fail",
  M859&gt;0,"Important (Coaching)",
  TRUE,"Clean Pass"
)</f>
        <v>Clean Pass</v>
      </c>
      <c r="BJ859" t="str">
        <f t="shared" si="580"/>
        <v>NA</v>
      </c>
    </row>
    <row r="860" spans="1:62" x14ac:dyDescent="0.3">
      <c r="A860">
        <v>397276</v>
      </c>
      <c r="K860" t="str">
        <f t="shared" si="542"/>
        <v>Pass</v>
      </c>
      <c r="L860" s="15">
        <f t="shared" si="546"/>
        <v>0</v>
      </c>
      <c r="M860" s="15">
        <f t="shared" si="547"/>
        <v>0</v>
      </c>
      <c r="Z860" s="15">
        <f t="shared" si="548"/>
        <v>1</v>
      </c>
      <c r="AA860" s="15">
        <f t="shared" si="549"/>
        <v>1</v>
      </c>
      <c r="AB860" s="15">
        <f t="shared" si="550"/>
        <v>1</v>
      </c>
      <c r="AC860" s="15">
        <f t="shared" si="551"/>
        <v>1</v>
      </c>
      <c r="AD860" s="15">
        <f t="shared" si="552"/>
        <v>1</v>
      </c>
      <c r="AE860" s="15">
        <f t="shared" si="553"/>
        <v>1</v>
      </c>
      <c r="AF860" s="15">
        <f t="shared" si="554"/>
        <v>1</v>
      </c>
      <c r="AG860" s="15">
        <f t="shared" si="555"/>
        <v>1</v>
      </c>
      <c r="AH860" s="15">
        <f t="shared" si="556"/>
        <v>1</v>
      </c>
      <c r="AI860" s="15">
        <f t="shared" si="557"/>
        <v>1</v>
      </c>
      <c r="AJ860" s="15">
        <f t="shared" si="558"/>
        <v>1</v>
      </c>
      <c r="AK860" s="15">
        <f t="shared" si="559"/>
        <v>1</v>
      </c>
      <c r="AL860" s="15">
        <f t="shared" si="560"/>
        <v>1</v>
      </c>
      <c r="AM860" s="15">
        <f t="shared" si="561"/>
        <v>1</v>
      </c>
      <c r="AN860" s="15">
        <f t="shared" si="562"/>
        <v>1</v>
      </c>
      <c r="AO860" s="15">
        <f t="shared" si="563"/>
        <v>1</v>
      </c>
      <c r="AP860" s="15">
        <f t="shared" si="564"/>
        <v>1</v>
      </c>
      <c r="AQ860" s="15">
        <f t="shared" si="565"/>
        <v>1</v>
      </c>
      <c r="AR860" s="15">
        <f t="shared" si="566"/>
        <v>1</v>
      </c>
      <c r="AS860" s="15">
        <f t="shared" si="567"/>
        <v>1</v>
      </c>
      <c r="AT860" s="15">
        <f t="shared" si="568"/>
        <v>1</v>
      </c>
      <c r="AU860" s="15">
        <f t="shared" si="569"/>
        <v>1</v>
      </c>
      <c r="AV860" s="15">
        <f t="shared" si="570"/>
        <v>1</v>
      </c>
      <c r="AW860" s="15">
        <f t="shared" si="571"/>
        <v>1</v>
      </c>
      <c r="AX860" s="15">
        <f t="shared" si="572"/>
        <v>1</v>
      </c>
      <c r="AY860" s="15">
        <f t="shared" si="573"/>
        <v>1</v>
      </c>
      <c r="AZ860" s="15">
        <f t="shared" si="574"/>
        <v>1</v>
      </c>
      <c r="BA860" s="15">
        <f t="shared" si="575"/>
        <v>1</v>
      </c>
      <c r="BB860" s="15">
        <f t="shared" si="543"/>
        <v>0</v>
      </c>
      <c r="BC860" s="15" t="str">
        <f t="shared" si="544"/>
        <v/>
      </c>
      <c r="BD860" s="15" t="str">
        <f t="shared" si="545"/>
        <v/>
      </c>
      <c r="BE860" s="11" t="e">
        <f t="shared" si="576"/>
        <v>#VALUE!</v>
      </c>
      <c r="BF860" s="11" t="e">
        <f t="shared" si="577"/>
        <v>#VALUE!</v>
      </c>
      <c r="BG860" s="11" t="e">
        <f t="shared" si="578"/>
        <v>#VALUE!</v>
      </c>
      <c r="BH860" t="str">
        <f t="shared" si="579"/>
        <v/>
      </c>
      <c r="BI860" t="str" cm="1">
        <f t="array" ref="BI860">_xlfn.IFS(
  L860&gt;0,"Critical Fail",
  M860&gt;0,"Important (Coaching)",
  TRUE,"Clean Pass"
)</f>
        <v>Clean Pass</v>
      </c>
      <c r="BJ860" t="str">
        <f t="shared" si="580"/>
        <v>NA</v>
      </c>
    </row>
    <row r="861" spans="1:62" x14ac:dyDescent="0.3">
      <c r="A861">
        <v>958694</v>
      </c>
      <c r="K861" t="str">
        <f t="shared" si="542"/>
        <v>Pass</v>
      </c>
      <c r="L861" s="15">
        <f t="shared" si="546"/>
        <v>0</v>
      </c>
      <c r="M861" s="15">
        <f t="shared" si="547"/>
        <v>0</v>
      </c>
      <c r="Z861" s="15">
        <f t="shared" si="548"/>
        <v>1</v>
      </c>
      <c r="AA861" s="15">
        <f t="shared" si="549"/>
        <v>1</v>
      </c>
      <c r="AB861" s="15">
        <f t="shared" si="550"/>
        <v>1</v>
      </c>
      <c r="AC861" s="15">
        <f t="shared" si="551"/>
        <v>1</v>
      </c>
      <c r="AD861" s="15">
        <f t="shared" si="552"/>
        <v>1</v>
      </c>
      <c r="AE861" s="15">
        <f t="shared" si="553"/>
        <v>1</v>
      </c>
      <c r="AF861" s="15">
        <f t="shared" si="554"/>
        <v>1</v>
      </c>
      <c r="AG861" s="15">
        <f t="shared" si="555"/>
        <v>1</v>
      </c>
      <c r="AH861" s="15">
        <f t="shared" si="556"/>
        <v>1</v>
      </c>
      <c r="AI861" s="15">
        <f t="shared" si="557"/>
        <v>1</v>
      </c>
      <c r="AJ861" s="15">
        <f t="shared" si="558"/>
        <v>1</v>
      </c>
      <c r="AK861" s="15">
        <f t="shared" si="559"/>
        <v>1</v>
      </c>
      <c r="AL861" s="15">
        <f t="shared" si="560"/>
        <v>1</v>
      </c>
      <c r="AM861" s="15">
        <f t="shared" si="561"/>
        <v>1</v>
      </c>
      <c r="AN861" s="15">
        <f t="shared" si="562"/>
        <v>1</v>
      </c>
      <c r="AO861" s="15">
        <f t="shared" si="563"/>
        <v>1</v>
      </c>
      <c r="AP861" s="15">
        <f t="shared" si="564"/>
        <v>1</v>
      </c>
      <c r="AQ861" s="15">
        <f t="shared" si="565"/>
        <v>1</v>
      </c>
      <c r="AR861" s="15">
        <f t="shared" si="566"/>
        <v>1</v>
      </c>
      <c r="AS861" s="15">
        <f t="shared" si="567"/>
        <v>1</v>
      </c>
      <c r="AT861" s="15">
        <f t="shared" si="568"/>
        <v>1</v>
      </c>
      <c r="AU861" s="15">
        <f t="shared" si="569"/>
        <v>1</v>
      </c>
      <c r="AV861" s="15">
        <f t="shared" si="570"/>
        <v>1</v>
      </c>
      <c r="AW861" s="15">
        <f t="shared" si="571"/>
        <v>1</v>
      </c>
      <c r="AX861" s="15">
        <f t="shared" si="572"/>
        <v>1</v>
      </c>
      <c r="AY861" s="15">
        <f t="shared" si="573"/>
        <v>1</v>
      </c>
      <c r="AZ861" s="15">
        <f t="shared" si="574"/>
        <v>1</v>
      </c>
      <c r="BA861" s="15">
        <f t="shared" si="575"/>
        <v>1</v>
      </c>
      <c r="BB861" s="15">
        <f t="shared" si="543"/>
        <v>0</v>
      </c>
      <c r="BC861" s="15" t="str">
        <f t="shared" si="544"/>
        <v/>
      </c>
      <c r="BD861" s="15" t="str">
        <f t="shared" si="545"/>
        <v/>
      </c>
      <c r="BE861" s="11" t="e">
        <f t="shared" si="576"/>
        <v>#VALUE!</v>
      </c>
      <c r="BF861" s="11" t="e">
        <f t="shared" si="577"/>
        <v>#VALUE!</v>
      </c>
      <c r="BG861" s="11" t="e">
        <f t="shared" si="578"/>
        <v>#VALUE!</v>
      </c>
      <c r="BH861" t="str">
        <f t="shared" si="579"/>
        <v/>
      </c>
      <c r="BI861" t="str" cm="1">
        <f t="array" ref="BI861">_xlfn.IFS(
  L861&gt;0,"Critical Fail",
  M861&gt;0,"Important (Coaching)",
  TRUE,"Clean Pass"
)</f>
        <v>Clean Pass</v>
      </c>
      <c r="BJ861" t="str">
        <f t="shared" si="580"/>
        <v>NA</v>
      </c>
    </row>
    <row r="862" spans="1:62" x14ac:dyDescent="0.3">
      <c r="A862">
        <v>698232</v>
      </c>
      <c r="K862" t="str">
        <f t="shared" si="542"/>
        <v>Pass</v>
      </c>
      <c r="L862" s="15">
        <f t="shared" si="546"/>
        <v>0</v>
      </c>
      <c r="M862" s="15">
        <f t="shared" si="547"/>
        <v>0</v>
      </c>
      <c r="Z862" s="15">
        <f t="shared" si="548"/>
        <v>1</v>
      </c>
      <c r="AA862" s="15">
        <f t="shared" si="549"/>
        <v>1</v>
      </c>
      <c r="AB862" s="15">
        <f t="shared" si="550"/>
        <v>1</v>
      </c>
      <c r="AC862" s="15">
        <f t="shared" si="551"/>
        <v>1</v>
      </c>
      <c r="AD862" s="15">
        <f t="shared" si="552"/>
        <v>1</v>
      </c>
      <c r="AE862" s="15">
        <f t="shared" si="553"/>
        <v>1</v>
      </c>
      <c r="AF862" s="15">
        <f t="shared" si="554"/>
        <v>1</v>
      </c>
      <c r="AG862" s="15">
        <f t="shared" si="555"/>
        <v>1</v>
      </c>
      <c r="AH862" s="15">
        <f t="shared" si="556"/>
        <v>1</v>
      </c>
      <c r="AI862" s="15">
        <f t="shared" si="557"/>
        <v>1</v>
      </c>
      <c r="AJ862" s="15">
        <f t="shared" si="558"/>
        <v>1</v>
      </c>
      <c r="AK862" s="15">
        <f t="shared" si="559"/>
        <v>1</v>
      </c>
      <c r="AL862" s="15">
        <f t="shared" si="560"/>
        <v>1</v>
      </c>
      <c r="AM862" s="15">
        <f t="shared" si="561"/>
        <v>1</v>
      </c>
      <c r="AN862" s="15">
        <f t="shared" si="562"/>
        <v>1</v>
      </c>
      <c r="AO862" s="15">
        <f t="shared" si="563"/>
        <v>1</v>
      </c>
      <c r="AP862" s="15">
        <f t="shared" si="564"/>
        <v>1</v>
      </c>
      <c r="AQ862" s="15">
        <f t="shared" si="565"/>
        <v>1</v>
      </c>
      <c r="AR862" s="15">
        <f t="shared" si="566"/>
        <v>1</v>
      </c>
      <c r="AS862" s="15">
        <f t="shared" si="567"/>
        <v>1</v>
      </c>
      <c r="AT862" s="15">
        <f t="shared" si="568"/>
        <v>1</v>
      </c>
      <c r="AU862" s="15">
        <f t="shared" si="569"/>
        <v>1</v>
      </c>
      <c r="AV862" s="15">
        <f t="shared" si="570"/>
        <v>1</v>
      </c>
      <c r="AW862" s="15">
        <f t="shared" si="571"/>
        <v>1</v>
      </c>
      <c r="AX862" s="15">
        <f t="shared" si="572"/>
        <v>1</v>
      </c>
      <c r="AY862" s="15">
        <f t="shared" si="573"/>
        <v>1</v>
      </c>
      <c r="AZ862" s="15">
        <f t="shared" si="574"/>
        <v>1</v>
      </c>
      <c r="BA862" s="15">
        <f t="shared" si="575"/>
        <v>1</v>
      </c>
      <c r="BB862" s="15">
        <f t="shared" si="543"/>
        <v>0</v>
      </c>
      <c r="BC862" s="15" t="str">
        <f t="shared" si="544"/>
        <v/>
      </c>
      <c r="BD862" s="15" t="str">
        <f t="shared" si="545"/>
        <v/>
      </c>
      <c r="BE862" s="11" t="e">
        <f t="shared" si="576"/>
        <v>#VALUE!</v>
      </c>
      <c r="BF862" s="11" t="e">
        <f t="shared" si="577"/>
        <v>#VALUE!</v>
      </c>
      <c r="BG862" s="11" t="e">
        <f t="shared" si="578"/>
        <v>#VALUE!</v>
      </c>
      <c r="BH862" t="str">
        <f t="shared" si="579"/>
        <v/>
      </c>
      <c r="BI862" t="str" cm="1">
        <f t="array" ref="BI862">_xlfn.IFS(
  L862&gt;0,"Critical Fail",
  M862&gt;0,"Important (Coaching)",
  TRUE,"Clean Pass"
)</f>
        <v>Clean Pass</v>
      </c>
      <c r="BJ862" t="str">
        <f t="shared" si="580"/>
        <v>NA</v>
      </c>
    </row>
    <row r="863" spans="1:62" x14ac:dyDescent="0.3">
      <c r="A863">
        <v>578434</v>
      </c>
      <c r="K863" t="str">
        <f t="shared" si="542"/>
        <v>Pass</v>
      </c>
      <c r="L863" s="15">
        <f t="shared" si="546"/>
        <v>0</v>
      </c>
      <c r="M863" s="15">
        <f t="shared" si="547"/>
        <v>0</v>
      </c>
      <c r="Z863" s="15">
        <f t="shared" si="548"/>
        <v>1</v>
      </c>
      <c r="AA863" s="15">
        <f t="shared" si="549"/>
        <v>1</v>
      </c>
      <c r="AB863" s="15">
        <f t="shared" si="550"/>
        <v>1</v>
      </c>
      <c r="AC863" s="15">
        <f t="shared" si="551"/>
        <v>1</v>
      </c>
      <c r="AD863" s="15">
        <f t="shared" si="552"/>
        <v>1</v>
      </c>
      <c r="AE863" s="15">
        <f t="shared" si="553"/>
        <v>1</v>
      </c>
      <c r="AF863" s="15">
        <f t="shared" si="554"/>
        <v>1</v>
      </c>
      <c r="AG863" s="15">
        <f t="shared" si="555"/>
        <v>1</v>
      </c>
      <c r="AH863" s="15">
        <f t="shared" si="556"/>
        <v>1</v>
      </c>
      <c r="AI863" s="15">
        <f t="shared" si="557"/>
        <v>1</v>
      </c>
      <c r="AJ863" s="15">
        <f t="shared" si="558"/>
        <v>1</v>
      </c>
      <c r="AK863" s="15">
        <f t="shared" si="559"/>
        <v>1</v>
      </c>
      <c r="AL863" s="15">
        <f t="shared" si="560"/>
        <v>1</v>
      </c>
      <c r="AM863" s="15">
        <f t="shared" si="561"/>
        <v>1</v>
      </c>
      <c r="AN863" s="15">
        <f t="shared" si="562"/>
        <v>1</v>
      </c>
      <c r="AO863" s="15">
        <f t="shared" si="563"/>
        <v>1</v>
      </c>
      <c r="AP863" s="15">
        <f t="shared" si="564"/>
        <v>1</v>
      </c>
      <c r="AQ863" s="15">
        <f t="shared" si="565"/>
        <v>1</v>
      </c>
      <c r="AR863" s="15">
        <f t="shared" si="566"/>
        <v>1</v>
      </c>
      <c r="AS863" s="15">
        <f t="shared" si="567"/>
        <v>1</v>
      </c>
      <c r="AT863" s="15">
        <f t="shared" si="568"/>
        <v>1</v>
      </c>
      <c r="AU863" s="15">
        <f t="shared" si="569"/>
        <v>1</v>
      </c>
      <c r="AV863" s="15">
        <f t="shared" si="570"/>
        <v>1</v>
      </c>
      <c r="AW863" s="15">
        <f t="shared" si="571"/>
        <v>1</v>
      </c>
      <c r="AX863" s="15">
        <f t="shared" si="572"/>
        <v>1</v>
      </c>
      <c r="AY863" s="15">
        <f t="shared" si="573"/>
        <v>1</v>
      </c>
      <c r="AZ863" s="15">
        <f t="shared" si="574"/>
        <v>1</v>
      </c>
      <c r="BA863" s="15">
        <f t="shared" si="575"/>
        <v>1</v>
      </c>
      <c r="BB863" s="15">
        <f t="shared" si="543"/>
        <v>0</v>
      </c>
      <c r="BC863" s="15" t="str">
        <f t="shared" si="544"/>
        <v/>
      </c>
      <c r="BD863" s="15" t="str">
        <f t="shared" si="545"/>
        <v/>
      </c>
      <c r="BE863" s="11" t="e">
        <f t="shared" si="576"/>
        <v>#VALUE!</v>
      </c>
      <c r="BF863" s="11" t="e">
        <f t="shared" si="577"/>
        <v>#VALUE!</v>
      </c>
      <c r="BG863" s="11" t="e">
        <f t="shared" si="578"/>
        <v>#VALUE!</v>
      </c>
      <c r="BH863" t="str">
        <f t="shared" si="579"/>
        <v/>
      </c>
      <c r="BI863" t="str" cm="1">
        <f t="array" ref="BI863">_xlfn.IFS(
  L863&gt;0,"Critical Fail",
  M863&gt;0,"Important (Coaching)",
  TRUE,"Clean Pass"
)</f>
        <v>Clean Pass</v>
      </c>
      <c r="BJ863" t="str">
        <f t="shared" si="580"/>
        <v>NA</v>
      </c>
    </row>
    <row r="864" spans="1:62" x14ac:dyDescent="0.3">
      <c r="A864">
        <v>526926</v>
      </c>
      <c r="K864" t="str">
        <f t="shared" si="542"/>
        <v>Pass</v>
      </c>
      <c r="L864" s="15">
        <f t="shared" si="546"/>
        <v>0</v>
      </c>
      <c r="M864" s="15">
        <f t="shared" si="547"/>
        <v>0</v>
      </c>
      <c r="Z864" s="15">
        <f t="shared" si="548"/>
        <v>1</v>
      </c>
      <c r="AA864" s="15">
        <f t="shared" si="549"/>
        <v>1</v>
      </c>
      <c r="AB864" s="15">
        <f t="shared" si="550"/>
        <v>1</v>
      </c>
      <c r="AC864" s="15">
        <f t="shared" si="551"/>
        <v>1</v>
      </c>
      <c r="AD864" s="15">
        <f t="shared" si="552"/>
        <v>1</v>
      </c>
      <c r="AE864" s="15">
        <f t="shared" si="553"/>
        <v>1</v>
      </c>
      <c r="AF864" s="15">
        <f t="shared" si="554"/>
        <v>1</v>
      </c>
      <c r="AG864" s="15">
        <f t="shared" si="555"/>
        <v>1</v>
      </c>
      <c r="AH864" s="15">
        <f t="shared" si="556"/>
        <v>1</v>
      </c>
      <c r="AI864" s="15">
        <f t="shared" si="557"/>
        <v>1</v>
      </c>
      <c r="AJ864" s="15">
        <f t="shared" si="558"/>
        <v>1</v>
      </c>
      <c r="AK864" s="15">
        <f t="shared" si="559"/>
        <v>1</v>
      </c>
      <c r="AL864" s="15">
        <f t="shared" si="560"/>
        <v>1</v>
      </c>
      <c r="AM864" s="15">
        <f t="shared" si="561"/>
        <v>1</v>
      </c>
      <c r="AN864" s="15">
        <f t="shared" si="562"/>
        <v>1</v>
      </c>
      <c r="AO864" s="15">
        <f t="shared" si="563"/>
        <v>1</v>
      </c>
      <c r="AP864" s="15">
        <f t="shared" si="564"/>
        <v>1</v>
      </c>
      <c r="AQ864" s="15">
        <f t="shared" si="565"/>
        <v>1</v>
      </c>
      <c r="AR864" s="15">
        <f t="shared" si="566"/>
        <v>1</v>
      </c>
      <c r="AS864" s="15">
        <f t="shared" si="567"/>
        <v>1</v>
      </c>
      <c r="AT864" s="15">
        <f t="shared" si="568"/>
        <v>1</v>
      </c>
      <c r="AU864" s="15">
        <f t="shared" si="569"/>
        <v>1</v>
      </c>
      <c r="AV864" s="15">
        <f t="shared" si="570"/>
        <v>1</v>
      </c>
      <c r="AW864" s="15">
        <f t="shared" si="571"/>
        <v>1</v>
      </c>
      <c r="AX864" s="15">
        <f t="shared" si="572"/>
        <v>1</v>
      </c>
      <c r="AY864" s="15">
        <f t="shared" si="573"/>
        <v>1</v>
      </c>
      <c r="AZ864" s="15">
        <f t="shared" si="574"/>
        <v>1</v>
      </c>
      <c r="BA864" s="15">
        <f t="shared" si="575"/>
        <v>1</v>
      </c>
      <c r="BB864" s="15">
        <f t="shared" si="543"/>
        <v>0</v>
      </c>
      <c r="BC864" s="15" t="str">
        <f t="shared" si="544"/>
        <v/>
      </c>
      <c r="BD864" s="15" t="str">
        <f t="shared" si="545"/>
        <v/>
      </c>
      <c r="BE864" s="11" t="e">
        <f t="shared" si="576"/>
        <v>#VALUE!</v>
      </c>
      <c r="BF864" s="11" t="e">
        <f t="shared" si="577"/>
        <v>#VALUE!</v>
      </c>
      <c r="BG864" s="11" t="e">
        <f t="shared" si="578"/>
        <v>#VALUE!</v>
      </c>
      <c r="BH864" t="str">
        <f t="shared" si="579"/>
        <v/>
      </c>
      <c r="BI864" t="str" cm="1">
        <f t="array" ref="BI864">_xlfn.IFS(
  L864&gt;0,"Critical Fail",
  M864&gt;0,"Important (Coaching)",
  TRUE,"Clean Pass"
)</f>
        <v>Clean Pass</v>
      </c>
      <c r="BJ864" t="str">
        <f t="shared" si="580"/>
        <v>NA</v>
      </c>
    </row>
    <row r="865" spans="1:62" x14ac:dyDescent="0.3">
      <c r="A865">
        <v>479795</v>
      </c>
      <c r="K865" t="str">
        <f t="shared" si="542"/>
        <v>Pass</v>
      </c>
      <c r="L865" s="15">
        <f t="shared" si="546"/>
        <v>0</v>
      </c>
      <c r="M865" s="15">
        <f t="shared" si="547"/>
        <v>0</v>
      </c>
      <c r="Z865" s="15">
        <f t="shared" si="548"/>
        <v>1</v>
      </c>
      <c r="AA865" s="15">
        <f t="shared" si="549"/>
        <v>1</v>
      </c>
      <c r="AB865" s="15">
        <f t="shared" si="550"/>
        <v>1</v>
      </c>
      <c r="AC865" s="15">
        <f t="shared" si="551"/>
        <v>1</v>
      </c>
      <c r="AD865" s="15">
        <f t="shared" si="552"/>
        <v>1</v>
      </c>
      <c r="AE865" s="15">
        <f t="shared" si="553"/>
        <v>1</v>
      </c>
      <c r="AF865" s="15">
        <f t="shared" si="554"/>
        <v>1</v>
      </c>
      <c r="AG865" s="15">
        <f t="shared" si="555"/>
        <v>1</v>
      </c>
      <c r="AH865" s="15">
        <f t="shared" si="556"/>
        <v>1</v>
      </c>
      <c r="AI865" s="15">
        <f t="shared" si="557"/>
        <v>1</v>
      </c>
      <c r="AJ865" s="15">
        <f t="shared" si="558"/>
        <v>1</v>
      </c>
      <c r="AK865" s="15">
        <f t="shared" si="559"/>
        <v>1</v>
      </c>
      <c r="AL865" s="15">
        <f t="shared" si="560"/>
        <v>1</v>
      </c>
      <c r="AM865" s="15">
        <f t="shared" si="561"/>
        <v>1</v>
      </c>
      <c r="AN865" s="15">
        <f t="shared" si="562"/>
        <v>1</v>
      </c>
      <c r="AO865" s="15">
        <f t="shared" si="563"/>
        <v>1</v>
      </c>
      <c r="AP865" s="15">
        <f t="shared" si="564"/>
        <v>1</v>
      </c>
      <c r="AQ865" s="15">
        <f t="shared" si="565"/>
        <v>1</v>
      </c>
      <c r="AR865" s="15">
        <f t="shared" si="566"/>
        <v>1</v>
      </c>
      <c r="AS865" s="15">
        <f t="shared" si="567"/>
        <v>1</v>
      </c>
      <c r="AT865" s="15">
        <f t="shared" si="568"/>
        <v>1</v>
      </c>
      <c r="AU865" s="15">
        <f t="shared" si="569"/>
        <v>1</v>
      </c>
      <c r="AV865" s="15">
        <f t="shared" si="570"/>
        <v>1</v>
      </c>
      <c r="AW865" s="15">
        <f t="shared" si="571"/>
        <v>1</v>
      </c>
      <c r="AX865" s="15">
        <f t="shared" si="572"/>
        <v>1</v>
      </c>
      <c r="AY865" s="15">
        <f t="shared" si="573"/>
        <v>1</v>
      </c>
      <c r="AZ865" s="15">
        <f t="shared" si="574"/>
        <v>1</v>
      </c>
      <c r="BA865" s="15">
        <f t="shared" si="575"/>
        <v>1</v>
      </c>
      <c r="BB865" s="15">
        <f t="shared" si="543"/>
        <v>0</v>
      </c>
      <c r="BC865" s="15" t="str">
        <f t="shared" si="544"/>
        <v/>
      </c>
      <c r="BD865" s="15" t="str">
        <f t="shared" si="545"/>
        <v/>
      </c>
      <c r="BE865" s="11" t="e">
        <f t="shared" si="576"/>
        <v>#VALUE!</v>
      </c>
      <c r="BF865" s="11" t="e">
        <f t="shared" si="577"/>
        <v>#VALUE!</v>
      </c>
      <c r="BG865" s="11" t="e">
        <f t="shared" si="578"/>
        <v>#VALUE!</v>
      </c>
      <c r="BH865" t="str">
        <f t="shared" si="579"/>
        <v/>
      </c>
      <c r="BI865" t="str" cm="1">
        <f t="array" ref="BI865">_xlfn.IFS(
  L865&gt;0,"Critical Fail",
  M865&gt;0,"Important (Coaching)",
  TRUE,"Clean Pass"
)</f>
        <v>Clean Pass</v>
      </c>
      <c r="BJ865" t="str">
        <f t="shared" si="580"/>
        <v>NA</v>
      </c>
    </row>
    <row r="866" spans="1:62" x14ac:dyDescent="0.3">
      <c r="A866">
        <v>205464</v>
      </c>
      <c r="K866" t="str">
        <f t="shared" si="542"/>
        <v>Pass</v>
      </c>
      <c r="L866" s="15">
        <f t="shared" si="546"/>
        <v>0</v>
      </c>
      <c r="M866" s="15">
        <f t="shared" si="547"/>
        <v>0</v>
      </c>
      <c r="Z866" s="15">
        <f t="shared" si="548"/>
        <v>1</v>
      </c>
      <c r="AA866" s="15">
        <f t="shared" si="549"/>
        <v>1</v>
      </c>
      <c r="AB866" s="15">
        <f t="shared" si="550"/>
        <v>1</v>
      </c>
      <c r="AC866" s="15">
        <f t="shared" si="551"/>
        <v>1</v>
      </c>
      <c r="AD866" s="15">
        <f t="shared" si="552"/>
        <v>1</v>
      </c>
      <c r="AE866" s="15">
        <f t="shared" si="553"/>
        <v>1</v>
      </c>
      <c r="AF866" s="15">
        <f t="shared" si="554"/>
        <v>1</v>
      </c>
      <c r="AG866" s="15">
        <f t="shared" si="555"/>
        <v>1</v>
      </c>
      <c r="AH866" s="15">
        <f t="shared" si="556"/>
        <v>1</v>
      </c>
      <c r="AI866" s="15">
        <f t="shared" si="557"/>
        <v>1</v>
      </c>
      <c r="AJ866" s="15">
        <f t="shared" si="558"/>
        <v>1</v>
      </c>
      <c r="AK866" s="15">
        <f t="shared" si="559"/>
        <v>1</v>
      </c>
      <c r="AL866" s="15">
        <f t="shared" si="560"/>
        <v>1</v>
      </c>
      <c r="AM866" s="15">
        <f t="shared" si="561"/>
        <v>1</v>
      </c>
      <c r="AN866" s="15">
        <f t="shared" si="562"/>
        <v>1</v>
      </c>
      <c r="AO866" s="15">
        <f t="shared" si="563"/>
        <v>1</v>
      </c>
      <c r="AP866" s="15">
        <f t="shared" si="564"/>
        <v>1</v>
      </c>
      <c r="AQ866" s="15">
        <f t="shared" si="565"/>
        <v>1</v>
      </c>
      <c r="AR866" s="15">
        <f t="shared" si="566"/>
        <v>1</v>
      </c>
      <c r="AS866" s="15">
        <f t="shared" si="567"/>
        <v>1</v>
      </c>
      <c r="AT866" s="15">
        <f t="shared" si="568"/>
        <v>1</v>
      </c>
      <c r="AU866" s="15">
        <f t="shared" si="569"/>
        <v>1</v>
      </c>
      <c r="AV866" s="15">
        <f t="shared" si="570"/>
        <v>1</v>
      </c>
      <c r="AW866" s="15">
        <f t="shared" si="571"/>
        <v>1</v>
      </c>
      <c r="AX866" s="15">
        <f t="shared" si="572"/>
        <v>1</v>
      </c>
      <c r="AY866" s="15">
        <f t="shared" si="573"/>
        <v>1</v>
      </c>
      <c r="AZ866" s="15">
        <f t="shared" si="574"/>
        <v>1</v>
      </c>
      <c r="BA866" s="15">
        <f t="shared" si="575"/>
        <v>1</v>
      </c>
      <c r="BB866" s="15">
        <f t="shared" si="543"/>
        <v>0</v>
      </c>
      <c r="BC866" s="15" t="str">
        <f t="shared" si="544"/>
        <v/>
      </c>
      <c r="BD866" s="15" t="str">
        <f t="shared" si="545"/>
        <v/>
      </c>
      <c r="BE866" s="11" t="e">
        <f t="shared" si="576"/>
        <v>#VALUE!</v>
      </c>
      <c r="BF866" s="11" t="e">
        <f t="shared" si="577"/>
        <v>#VALUE!</v>
      </c>
      <c r="BG866" s="11" t="e">
        <f t="shared" si="578"/>
        <v>#VALUE!</v>
      </c>
      <c r="BH866" t="str">
        <f t="shared" si="579"/>
        <v/>
      </c>
      <c r="BI866" t="str" cm="1">
        <f t="array" ref="BI866">_xlfn.IFS(
  L866&gt;0,"Critical Fail",
  M866&gt;0,"Important (Coaching)",
  TRUE,"Clean Pass"
)</f>
        <v>Clean Pass</v>
      </c>
      <c r="BJ866" t="str">
        <f t="shared" si="580"/>
        <v>NA</v>
      </c>
    </row>
    <row r="867" spans="1:62" x14ac:dyDescent="0.3">
      <c r="A867">
        <v>882104</v>
      </c>
      <c r="K867" t="str">
        <f t="shared" si="542"/>
        <v>Pass</v>
      </c>
      <c r="L867" s="15">
        <f t="shared" si="546"/>
        <v>0</v>
      </c>
      <c r="M867" s="15">
        <f t="shared" si="547"/>
        <v>0</v>
      </c>
      <c r="Z867" s="15">
        <f t="shared" si="548"/>
        <v>1</v>
      </c>
      <c r="AA867" s="15">
        <f t="shared" si="549"/>
        <v>1</v>
      </c>
      <c r="AB867" s="15">
        <f t="shared" si="550"/>
        <v>1</v>
      </c>
      <c r="AC867" s="15">
        <f t="shared" si="551"/>
        <v>1</v>
      </c>
      <c r="AD867" s="15">
        <f t="shared" si="552"/>
        <v>1</v>
      </c>
      <c r="AE867" s="15">
        <f t="shared" si="553"/>
        <v>1</v>
      </c>
      <c r="AF867" s="15">
        <f t="shared" si="554"/>
        <v>1</v>
      </c>
      <c r="AG867" s="15">
        <f t="shared" si="555"/>
        <v>1</v>
      </c>
      <c r="AH867" s="15">
        <f t="shared" si="556"/>
        <v>1</v>
      </c>
      <c r="AI867" s="15">
        <f t="shared" si="557"/>
        <v>1</v>
      </c>
      <c r="AJ867" s="15">
        <f t="shared" si="558"/>
        <v>1</v>
      </c>
      <c r="AK867" s="15">
        <f t="shared" si="559"/>
        <v>1</v>
      </c>
      <c r="AL867" s="15">
        <f t="shared" si="560"/>
        <v>1</v>
      </c>
      <c r="AM867" s="15">
        <f t="shared" si="561"/>
        <v>1</v>
      </c>
      <c r="AN867" s="15">
        <f t="shared" si="562"/>
        <v>1</v>
      </c>
      <c r="AO867" s="15">
        <f t="shared" si="563"/>
        <v>1</v>
      </c>
      <c r="AP867" s="15">
        <f t="shared" si="564"/>
        <v>1</v>
      </c>
      <c r="AQ867" s="15">
        <f t="shared" si="565"/>
        <v>1</v>
      </c>
      <c r="AR867" s="15">
        <f t="shared" si="566"/>
        <v>1</v>
      </c>
      <c r="AS867" s="15">
        <f t="shared" si="567"/>
        <v>1</v>
      </c>
      <c r="AT867" s="15">
        <f t="shared" si="568"/>
        <v>1</v>
      </c>
      <c r="AU867" s="15">
        <f t="shared" si="569"/>
        <v>1</v>
      </c>
      <c r="AV867" s="15">
        <f t="shared" si="570"/>
        <v>1</v>
      </c>
      <c r="AW867" s="15">
        <f t="shared" si="571"/>
        <v>1</v>
      </c>
      <c r="AX867" s="15">
        <f t="shared" si="572"/>
        <v>1</v>
      </c>
      <c r="AY867" s="15">
        <f t="shared" si="573"/>
        <v>1</v>
      </c>
      <c r="AZ867" s="15">
        <f t="shared" si="574"/>
        <v>1</v>
      </c>
      <c r="BA867" s="15">
        <f t="shared" si="575"/>
        <v>1</v>
      </c>
      <c r="BB867" s="15">
        <f t="shared" si="543"/>
        <v>0</v>
      </c>
      <c r="BC867" s="15" t="str">
        <f t="shared" si="544"/>
        <v/>
      </c>
      <c r="BD867" s="15" t="str">
        <f t="shared" si="545"/>
        <v/>
      </c>
      <c r="BE867" s="11" t="e">
        <f t="shared" si="576"/>
        <v>#VALUE!</v>
      </c>
      <c r="BF867" s="11" t="e">
        <f t="shared" si="577"/>
        <v>#VALUE!</v>
      </c>
      <c r="BG867" s="11" t="e">
        <f t="shared" si="578"/>
        <v>#VALUE!</v>
      </c>
      <c r="BH867" t="str">
        <f t="shared" si="579"/>
        <v/>
      </c>
      <c r="BI867" t="str" cm="1">
        <f t="array" ref="BI867">_xlfn.IFS(
  L867&gt;0,"Critical Fail",
  M867&gt;0,"Important (Coaching)",
  TRUE,"Clean Pass"
)</f>
        <v>Clean Pass</v>
      </c>
      <c r="BJ867" t="str">
        <f t="shared" si="580"/>
        <v>NA</v>
      </c>
    </row>
    <row r="868" spans="1:62" x14ac:dyDescent="0.3">
      <c r="A868">
        <v>428634</v>
      </c>
      <c r="K868" t="str">
        <f t="shared" si="542"/>
        <v>Pass</v>
      </c>
      <c r="L868" s="15">
        <f t="shared" si="546"/>
        <v>0</v>
      </c>
      <c r="M868" s="15">
        <f t="shared" si="547"/>
        <v>0</v>
      </c>
      <c r="Z868" s="15">
        <f t="shared" si="548"/>
        <v>1</v>
      </c>
      <c r="AA868" s="15">
        <f t="shared" si="549"/>
        <v>1</v>
      </c>
      <c r="AB868" s="15">
        <f t="shared" si="550"/>
        <v>1</v>
      </c>
      <c r="AC868" s="15">
        <f t="shared" si="551"/>
        <v>1</v>
      </c>
      <c r="AD868" s="15">
        <f t="shared" si="552"/>
        <v>1</v>
      </c>
      <c r="AE868" s="15">
        <f t="shared" si="553"/>
        <v>1</v>
      </c>
      <c r="AF868" s="15">
        <f t="shared" si="554"/>
        <v>1</v>
      </c>
      <c r="AG868" s="15">
        <f t="shared" si="555"/>
        <v>1</v>
      </c>
      <c r="AH868" s="15">
        <f t="shared" si="556"/>
        <v>1</v>
      </c>
      <c r="AI868" s="15">
        <f t="shared" si="557"/>
        <v>1</v>
      </c>
      <c r="AJ868" s="15">
        <f t="shared" si="558"/>
        <v>1</v>
      </c>
      <c r="AK868" s="15">
        <f t="shared" si="559"/>
        <v>1</v>
      </c>
      <c r="AL868" s="15">
        <f t="shared" si="560"/>
        <v>1</v>
      </c>
      <c r="AM868" s="15">
        <f t="shared" si="561"/>
        <v>1</v>
      </c>
      <c r="AN868" s="15">
        <f t="shared" si="562"/>
        <v>1</v>
      </c>
      <c r="AO868" s="15">
        <f t="shared" si="563"/>
        <v>1</v>
      </c>
      <c r="AP868" s="15">
        <f t="shared" si="564"/>
        <v>1</v>
      </c>
      <c r="AQ868" s="15">
        <f t="shared" si="565"/>
        <v>1</v>
      </c>
      <c r="AR868" s="15">
        <f t="shared" si="566"/>
        <v>1</v>
      </c>
      <c r="AS868" s="15">
        <f t="shared" si="567"/>
        <v>1</v>
      </c>
      <c r="AT868" s="15">
        <f t="shared" si="568"/>
        <v>1</v>
      </c>
      <c r="AU868" s="15">
        <f t="shared" si="569"/>
        <v>1</v>
      </c>
      <c r="AV868" s="15">
        <f t="shared" si="570"/>
        <v>1</v>
      </c>
      <c r="AW868" s="15">
        <f t="shared" si="571"/>
        <v>1</v>
      </c>
      <c r="AX868" s="15">
        <f t="shared" si="572"/>
        <v>1</v>
      </c>
      <c r="AY868" s="15">
        <f t="shared" si="573"/>
        <v>1</v>
      </c>
      <c r="AZ868" s="15">
        <f t="shared" si="574"/>
        <v>1</v>
      </c>
      <c r="BA868" s="15">
        <f t="shared" si="575"/>
        <v>1</v>
      </c>
      <c r="BB868" s="15">
        <f t="shared" si="543"/>
        <v>0</v>
      </c>
      <c r="BC868" s="15" t="str">
        <f t="shared" si="544"/>
        <v/>
      </c>
      <c r="BD868" s="15" t="str">
        <f t="shared" si="545"/>
        <v/>
      </c>
      <c r="BE868" s="11" t="e">
        <f t="shared" si="576"/>
        <v>#VALUE!</v>
      </c>
      <c r="BF868" s="11" t="e">
        <f t="shared" si="577"/>
        <v>#VALUE!</v>
      </c>
      <c r="BG868" s="11" t="e">
        <f t="shared" si="578"/>
        <v>#VALUE!</v>
      </c>
      <c r="BH868" t="str">
        <f t="shared" si="579"/>
        <v/>
      </c>
      <c r="BI868" t="str" cm="1">
        <f t="array" ref="BI868">_xlfn.IFS(
  L868&gt;0,"Critical Fail",
  M868&gt;0,"Important (Coaching)",
  TRUE,"Clean Pass"
)</f>
        <v>Clean Pass</v>
      </c>
      <c r="BJ868" t="str">
        <f t="shared" si="580"/>
        <v>NA</v>
      </c>
    </row>
    <row r="869" spans="1:62" x14ac:dyDescent="0.3">
      <c r="A869">
        <v>558121</v>
      </c>
      <c r="K869" t="str">
        <f t="shared" si="542"/>
        <v>Pass</v>
      </c>
      <c r="L869" s="15">
        <f t="shared" si="546"/>
        <v>0</v>
      </c>
      <c r="M869" s="15">
        <f t="shared" si="547"/>
        <v>0</v>
      </c>
      <c r="Z869" s="15">
        <f t="shared" si="548"/>
        <v>1</v>
      </c>
      <c r="AA869" s="15">
        <f t="shared" si="549"/>
        <v>1</v>
      </c>
      <c r="AB869" s="15">
        <f t="shared" si="550"/>
        <v>1</v>
      </c>
      <c r="AC869" s="15">
        <f t="shared" si="551"/>
        <v>1</v>
      </c>
      <c r="AD869" s="15">
        <f t="shared" si="552"/>
        <v>1</v>
      </c>
      <c r="AE869" s="15">
        <f t="shared" si="553"/>
        <v>1</v>
      </c>
      <c r="AF869" s="15">
        <f t="shared" si="554"/>
        <v>1</v>
      </c>
      <c r="AG869" s="15">
        <f t="shared" si="555"/>
        <v>1</v>
      </c>
      <c r="AH869" s="15">
        <f t="shared" si="556"/>
        <v>1</v>
      </c>
      <c r="AI869" s="15">
        <f t="shared" si="557"/>
        <v>1</v>
      </c>
      <c r="AJ869" s="15">
        <f t="shared" si="558"/>
        <v>1</v>
      </c>
      <c r="AK869" s="15">
        <f t="shared" si="559"/>
        <v>1</v>
      </c>
      <c r="AL869" s="15">
        <f t="shared" si="560"/>
        <v>1</v>
      </c>
      <c r="AM869" s="15">
        <f t="shared" si="561"/>
        <v>1</v>
      </c>
      <c r="AN869" s="15">
        <f t="shared" si="562"/>
        <v>1</v>
      </c>
      <c r="AO869" s="15">
        <f t="shared" si="563"/>
        <v>1</v>
      </c>
      <c r="AP869" s="15">
        <f t="shared" si="564"/>
        <v>1</v>
      </c>
      <c r="AQ869" s="15">
        <f t="shared" si="565"/>
        <v>1</v>
      </c>
      <c r="AR869" s="15">
        <f t="shared" si="566"/>
        <v>1</v>
      </c>
      <c r="AS869" s="15">
        <f t="shared" si="567"/>
        <v>1</v>
      </c>
      <c r="AT869" s="15">
        <f t="shared" si="568"/>
        <v>1</v>
      </c>
      <c r="AU869" s="15">
        <f t="shared" si="569"/>
        <v>1</v>
      </c>
      <c r="AV869" s="15">
        <f t="shared" si="570"/>
        <v>1</v>
      </c>
      <c r="AW869" s="15">
        <f t="shared" si="571"/>
        <v>1</v>
      </c>
      <c r="AX869" s="15">
        <f t="shared" si="572"/>
        <v>1</v>
      </c>
      <c r="AY869" s="15">
        <f t="shared" si="573"/>
        <v>1</v>
      </c>
      <c r="AZ869" s="15">
        <f t="shared" si="574"/>
        <v>1</v>
      </c>
      <c r="BA869" s="15">
        <f t="shared" si="575"/>
        <v>1</v>
      </c>
      <c r="BB869" s="15">
        <f t="shared" si="543"/>
        <v>0</v>
      </c>
      <c r="BC869" s="15" t="str">
        <f t="shared" si="544"/>
        <v/>
      </c>
      <c r="BD869" s="15" t="str">
        <f t="shared" si="545"/>
        <v/>
      </c>
      <c r="BE869" s="11" t="e">
        <f t="shared" si="576"/>
        <v>#VALUE!</v>
      </c>
      <c r="BF869" s="11" t="e">
        <f t="shared" si="577"/>
        <v>#VALUE!</v>
      </c>
      <c r="BG869" s="11" t="e">
        <f t="shared" si="578"/>
        <v>#VALUE!</v>
      </c>
      <c r="BH869" t="str">
        <f t="shared" si="579"/>
        <v/>
      </c>
      <c r="BI869" t="str" cm="1">
        <f t="array" ref="BI869">_xlfn.IFS(
  L869&gt;0,"Critical Fail",
  M869&gt;0,"Important (Coaching)",
  TRUE,"Clean Pass"
)</f>
        <v>Clean Pass</v>
      </c>
      <c r="BJ869" t="str">
        <f t="shared" si="580"/>
        <v>NA</v>
      </c>
    </row>
    <row r="870" spans="1:62" x14ac:dyDescent="0.3">
      <c r="A870">
        <v>492512</v>
      </c>
      <c r="K870" t="str">
        <f t="shared" si="542"/>
        <v>Pass</v>
      </c>
      <c r="L870" s="15">
        <f t="shared" si="546"/>
        <v>0</v>
      </c>
      <c r="M870" s="15">
        <f t="shared" si="547"/>
        <v>0</v>
      </c>
      <c r="Z870" s="15">
        <f t="shared" si="548"/>
        <v>1</v>
      </c>
      <c r="AA870" s="15">
        <f t="shared" si="549"/>
        <v>1</v>
      </c>
      <c r="AB870" s="15">
        <f t="shared" si="550"/>
        <v>1</v>
      </c>
      <c r="AC870" s="15">
        <f t="shared" si="551"/>
        <v>1</v>
      </c>
      <c r="AD870" s="15">
        <f t="shared" si="552"/>
        <v>1</v>
      </c>
      <c r="AE870" s="15">
        <f t="shared" si="553"/>
        <v>1</v>
      </c>
      <c r="AF870" s="15">
        <f t="shared" si="554"/>
        <v>1</v>
      </c>
      <c r="AG870" s="15">
        <f t="shared" si="555"/>
        <v>1</v>
      </c>
      <c r="AH870" s="15">
        <f t="shared" si="556"/>
        <v>1</v>
      </c>
      <c r="AI870" s="15">
        <f t="shared" si="557"/>
        <v>1</v>
      </c>
      <c r="AJ870" s="15">
        <f t="shared" si="558"/>
        <v>1</v>
      </c>
      <c r="AK870" s="15">
        <f t="shared" si="559"/>
        <v>1</v>
      </c>
      <c r="AL870" s="15">
        <f t="shared" si="560"/>
        <v>1</v>
      </c>
      <c r="AM870" s="15">
        <f t="shared" si="561"/>
        <v>1</v>
      </c>
      <c r="AN870" s="15">
        <f t="shared" si="562"/>
        <v>1</v>
      </c>
      <c r="AO870" s="15">
        <f t="shared" si="563"/>
        <v>1</v>
      </c>
      <c r="AP870" s="15">
        <f t="shared" si="564"/>
        <v>1</v>
      </c>
      <c r="AQ870" s="15">
        <f t="shared" si="565"/>
        <v>1</v>
      </c>
      <c r="AR870" s="15">
        <f t="shared" si="566"/>
        <v>1</v>
      </c>
      <c r="AS870" s="15">
        <f t="shared" si="567"/>
        <v>1</v>
      </c>
      <c r="AT870" s="15">
        <f t="shared" si="568"/>
        <v>1</v>
      </c>
      <c r="AU870" s="15">
        <f t="shared" si="569"/>
        <v>1</v>
      </c>
      <c r="AV870" s="15">
        <f t="shared" si="570"/>
        <v>1</v>
      </c>
      <c r="AW870" s="15">
        <f t="shared" si="571"/>
        <v>1</v>
      </c>
      <c r="AX870" s="15">
        <f t="shared" si="572"/>
        <v>1</v>
      </c>
      <c r="AY870" s="15">
        <f t="shared" si="573"/>
        <v>1</v>
      </c>
      <c r="AZ870" s="15">
        <f t="shared" si="574"/>
        <v>1</v>
      </c>
      <c r="BA870" s="15">
        <f t="shared" si="575"/>
        <v>1</v>
      </c>
      <c r="BB870" s="15">
        <f t="shared" si="543"/>
        <v>0</v>
      </c>
      <c r="BC870" s="15" t="str">
        <f t="shared" si="544"/>
        <v/>
      </c>
      <c r="BD870" s="15" t="str">
        <f t="shared" si="545"/>
        <v/>
      </c>
      <c r="BE870" s="11" t="e">
        <f t="shared" si="576"/>
        <v>#VALUE!</v>
      </c>
      <c r="BF870" s="11" t="e">
        <f t="shared" si="577"/>
        <v>#VALUE!</v>
      </c>
      <c r="BG870" s="11" t="e">
        <f t="shared" si="578"/>
        <v>#VALUE!</v>
      </c>
      <c r="BH870" t="str">
        <f t="shared" si="579"/>
        <v/>
      </c>
      <c r="BI870" t="str" cm="1">
        <f t="array" ref="BI870">_xlfn.IFS(
  L870&gt;0,"Critical Fail",
  M870&gt;0,"Important (Coaching)",
  TRUE,"Clean Pass"
)</f>
        <v>Clean Pass</v>
      </c>
      <c r="BJ870" t="str">
        <f t="shared" si="580"/>
        <v>NA</v>
      </c>
    </row>
    <row r="871" spans="1:62" x14ac:dyDescent="0.3">
      <c r="A871">
        <v>142090</v>
      </c>
      <c r="K871" t="str">
        <f t="shared" si="542"/>
        <v>Pass</v>
      </c>
      <c r="L871" s="15">
        <f t="shared" si="546"/>
        <v>0</v>
      </c>
      <c r="M871" s="15">
        <f t="shared" si="547"/>
        <v>0</v>
      </c>
      <c r="Z871" s="15">
        <f t="shared" si="548"/>
        <v>1</v>
      </c>
      <c r="AA871" s="15">
        <f t="shared" si="549"/>
        <v>1</v>
      </c>
      <c r="AB871" s="15">
        <f t="shared" si="550"/>
        <v>1</v>
      </c>
      <c r="AC871" s="15">
        <f t="shared" si="551"/>
        <v>1</v>
      </c>
      <c r="AD871" s="15">
        <f t="shared" si="552"/>
        <v>1</v>
      </c>
      <c r="AE871" s="15">
        <f t="shared" si="553"/>
        <v>1</v>
      </c>
      <c r="AF871" s="15">
        <f t="shared" si="554"/>
        <v>1</v>
      </c>
      <c r="AG871" s="15">
        <f t="shared" si="555"/>
        <v>1</v>
      </c>
      <c r="AH871" s="15">
        <f t="shared" si="556"/>
        <v>1</v>
      </c>
      <c r="AI871" s="15">
        <f t="shared" si="557"/>
        <v>1</v>
      </c>
      <c r="AJ871" s="15">
        <f t="shared" si="558"/>
        <v>1</v>
      </c>
      <c r="AK871" s="15">
        <f t="shared" si="559"/>
        <v>1</v>
      </c>
      <c r="AL871" s="15">
        <f t="shared" si="560"/>
        <v>1</v>
      </c>
      <c r="AM871" s="15">
        <f t="shared" si="561"/>
        <v>1</v>
      </c>
      <c r="AN871" s="15">
        <f t="shared" si="562"/>
        <v>1</v>
      </c>
      <c r="AO871" s="15">
        <f t="shared" si="563"/>
        <v>1</v>
      </c>
      <c r="AP871" s="15">
        <f t="shared" si="564"/>
        <v>1</v>
      </c>
      <c r="AQ871" s="15">
        <f t="shared" si="565"/>
        <v>1</v>
      </c>
      <c r="AR871" s="15">
        <f t="shared" si="566"/>
        <v>1</v>
      </c>
      <c r="AS871" s="15">
        <f t="shared" si="567"/>
        <v>1</v>
      </c>
      <c r="AT871" s="15">
        <f t="shared" si="568"/>
        <v>1</v>
      </c>
      <c r="AU871" s="15">
        <f t="shared" si="569"/>
        <v>1</v>
      </c>
      <c r="AV871" s="15">
        <f t="shared" si="570"/>
        <v>1</v>
      </c>
      <c r="AW871" s="15">
        <f t="shared" si="571"/>
        <v>1</v>
      </c>
      <c r="AX871" s="15">
        <f t="shared" si="572"/>
        <v>1</v>
      </c>
      <c r="AY871" s="15">
        <f t="shared" si="573"/>
        <v>1</v>
      </c>
      <c r="AZ871" s="15">
        <f t="shared" si="574"/>
        <v>1</v>
      </c>
      <c r="BA871" s="15">
        <f t="shared" si="575"/>
        <v>1</v>
      </c>
      <c r="BB871" s="15">
        <f t="shared" si="543"/>
        <v>0</v>
      </c>
      <c r="BC871" s="15" t="str">
        <f t="shared" si="544"/>
        <v/>
      </c>
      <c r="BD871" s="15" t="str">
        <f t="shared" si="545"/>
        <v/>
      </c>
      <c r="BE871" s="11" t="e">
        <f t="shared" si="576"/>
        <v>#VALUE!</v>
      </c>
      <c r="BF871" s="11" t="e">
        <f t="shared" si="577"/>
        <v>#VALUE!</v>
      </c>
      <c r="BG871" s="11" t="e">
        <f t="shared" si="578"/>
        <v>#VALUE!</v>
      </c>
      <c r="BH871" t="str">
        <f t="shared" si="579"/>
        <v/>
      </c>
      <c r="BI871" t="str" cm="1">
        <f t="array" ref="BI871">_xlfn.IFS(
  L871&gt;0,"Critical Fail",
  M871&gt;0,"Important (Coaching)",
  TRUE,"Clean Pass"
)</f>
        <v>Clean Pass</v>
      </c>
      <c r="BJ871" t="str">
        <f t="shared" si="580"/>
        <v>NA</v>
      </c>
    </row>
    <row r="872" spans="1:62" x14ac:dyDescent="0.3">
      <c r="A872">
        <v>197400</v>
      </c>
      <c r="K872" t="str">
        <f t="shared" si="542"/>
        <v>Pass</v>
      </c>
      <c r="L872" s="15">
        <f t="shared" si="546"/>
        <v>0</v>
      </c>
      <c r="M872" s="15">
        <f t="shared" si="547"/>
        <v>0</v>
      </c>
      <c r="Z872" s="15">
        <f t="shared" si="548"/>
        <v>1</v>
      </c>
      <c r="AA872" s="15">
        <f t="shared" si="549"/>
        <v>1</v>
      </c>
      <c r="AB872" s="15">
        <f t="shared" si="550"/>
        <v>1</v>
      </c>
      <c r="AC872" s="15">
        <f t="shared" si="551"/>
        <v>1</v>
      </c>
      <c r="AD872" s="15">
        <f t="shared" si="552"/>
        <v>1</v>
      </c>
      <c r="AE872" s="15">
        <f t="shared" si="553"/>
        <v>1</v>
      </c>
      <c r="AF872" s="15">
        <f t="shared" si="554"/>
        <v>1</v>
      </c>
      <c r="AG872" s="15">
        <f t="shared" si="555"/>
        <v>1</v>
      </c>
      <c r="AH872" s="15">
        <f t="shared" si="556"/>
        <v>1</v>
      </c>
      <c r="AI872" s="15">
        <f t="shared" si="557"/>
        <v>1</v>
      </c>
      <c r="AJ872" s="15">
        <f t="shared" si="558"/>
        <v>1</v>
      </c>
      <c r="AK872" s="15">
        <f t="shared" si="559"/>
        <v>1</v>
      </c>
      <c r="AL872" s="15">
        <f t="shared" si="560"/>
        <v>1</v>
      </c>
      <c r="AM872" s="15">
        <f t="shared" si="561"/>
        <v>1</v>
      </c>
      <c r="AN872" s="15">
        <f t="shared" si="562"/>
        <v>1</v>
      </c>
      <c r="AO872" s="15">
        <f t="shared" si="563"/>
        <v>1</v>
      </c>
      <c r="AP872" s="15">
        <f t="shared" si="564"/>
        <v>1</v>
      </c>
      <c r="AQ872" s="15">
        <f t="shared" si="565"/>
        <v>1</v>
      </c>
      <c r="AR872" s="15">
        <f t="shared" si="566"/>
        <v>1</v>
      </c>
      <c r="AS872" s="15">
        <f t="shared" si="567"/>
        <v>1</v>
      </c>
      <c r="AT872" s="15">
        <f t="shared" si="568"/>
        <v>1</v>
      </c>
      <c r="AU872" s="15">
        <f t="shared" si="569"/>
        <v>1</v>
      </c>
      <c r="AV872" s="15">
        <f t="shared" si="570"/>
        <v>1</v>
      </c>
      <c r="AW872" s="15">
        <f t="shared" si="571"/>
        <v>1</v>
      </c>
      <c r="AX872" s="15">
        <f t="shared" si="572"/>
        <v>1</v>
      </c>
      <c r="AY872" s="15">
        <f t="shared" si="573"/>
        <v>1</v>
      </c>
      <c r="AZ872" s="15">
        <f t="shared" si="574"/>
        <v>1</v>
      </c>
      <c r="BA872" s="15">
        <f t="shared" si="575"/>
        <v>1</v>
      </c>
      <c r="BB872" s="15">
        <f t="shared" si="543"/>
        <v>0</v>
      </c>
      <c r="BC872" s="15" t="str">
        <f t="shared" si="544"/>
        <v/>
      </c>
      <c r="BD872" s="15" t="str">
        <f t="shared" si="545"/>
        <v/>
      </c>
      <c r="BE872" s="11" t="e">
        <f t="shared" si="576"/>
        <v>#VALUE!</v>
      </c>
      <c r="BF872" s="11" t="e">
        <f t="shared" si="577"/>
        <v>#VALUE!</v>
      </c>
      <c r="BG872" s="11" t="e">
        <f t="shared" si="578"/>
        <v>#VALUE!</v>
      </c>
      <c r="BH872" t="str">
        <f t="shared" si="579"/>
        <v/>
      </c>
      <c r="BI872" t="str" cm="1">
        <f t="array" ref="BI872">_xlfn.IFS(
  L872&gt;0,"Critical Fail",
  M872&gt;0,"Important (Coaching)",
  TRUE,"Clean Pass"
)</f>
        <v>Clean Pass</v>
      </c>
      <c r="BJ872" t="str">
        <f t="shared" si="580"/>
        <v>NA</v>
      </c>
    </row>
    <row r="873" spans="1:62" x14ac:dyDescent="0.3">
      <c r="A873">
        <v>941779</v>
      </c>
      <c r="K873" t="str">
        <f t="shared" si="542"/>
        <v>Pass</v>
      </c>
      <c r="L873" s="15">
        <f t="shared" si="546"/>
        <v>0</v>
      </c>
      <c r="M873" s="15">
        <f t="shared" si="547"/>
        <v>0</v>
      </c>
      <c r="Z873" s="15">
        <f t="shared" si="548"/>
        <v>1</v>
      </c>
      <c r="AA873" s="15">
        <f t="shared" si="549"/>
        <v>1</v>
      </c>
      <c r="AB873" s="15">
        <f t="shared" si="550"/>
        <v>1</v>
      </c>
      <c r="AC873" s="15">
        <f t="shared" si="551"/>
        <v>1</v>
      </c>
      <c r="AD873" s="15">
        <f t="shared" si="552"/>
        <v>1</v>
      </c>
      <c r="AE873" s="15">
        <f t="shared" si="553"/>
        <v>1</v>
      </c>
      <c r="AF873" s="15">
        <f t="shared" si="554"/>
        <v>1</v>
      </c>
      <c r="AG873" s="15">
        <f t="shared" si="555"/>
        <v>1</v>
      </c>
      <c r="AH873" s="15">
        <f t="shared" si="556"/>
        <v>1</v>
      </c>
      <c r="AI873" s="15">
        <f t="shared" si="557"/>
        <v>1</v>
      </c>
      <c r="AJ873" s="15">
        <f t="shared" si="558"/>
        <v>1</v>
      </c>
      <c r="AK873" s="15">
        <f t="shared" si="559"/>
        <v>1</v>
      </c>
      <c r="AL873" s="15">
        <f t="shared" si="560"/>
        <v>1</v>
      </c>
      <c r="AM873" s="15">
        <f t="shared" si="561"/>
        <v>1</v>
      </c>
      <c r="AN873" s="15">
        <f t="shared" si="562"/>
        <v>1</v>
      </c>
      <c r="AO873" s="15">
        <f t="shared" si="563"/>
        <v>1</v>
      </c>
      <c r="AP873" s="15">
        <f t="shared" si="564"/>
        <v>1</v>
      </c>
      <c r="AQ873" s="15">
        <f t="shared" si="565"/>
        <v>1</v>
      </c>
      <c r="AR873" s="15">
        <f t="shared" si="566"/>
        <v>1</v>
      </c>
      <c r="AS873" s="15">
        <f t="shared" si="567"/>
        <v>1</v>
      </c>
      <c r="AT873" s="15">
        <f t="shared" si="568"/>
        <v>1</v>
      </c>
      <c r="AU873" s="15">
        <f t="shared" si="569"/>
        <v>1</v>
      </c>
      <c r="AV873" s="15">
        <f t="shared" si="570"/>
        <v>1</v>
      </c>
      <c r="AW873" s="15">
        <f t="shared" si="571"/>
        <v>1</v>
      </c>
      <c r="AX873" s="15">
        <f t="shared" si="572"/>
        <v>1</v>
      </c>
      <c r="AY873" s="15">
        <f t="shared" si="573"/>
        <v>1</v>
      </c>
      <c r="AZ873" s="15">
        <f t="shared" si="574"/>
        <v>1</v>
      </c>
      <c r="BA873" s="15">
        <f t="shared" si="575"/>
        <v>1</v>
      </c>
      <c r="BB873" s="15">
        <f t="shared" si="543"/>
        <v>0</v>
      </c>
      <c r="BC873" s="15" t="str">
        <f t="shared" si="544"/>
        <v/>
      </c>
      <c r="BD873" s="15" t="str">
        <f t="shared" si="545"/>
        <v/>
      </c>
      <c r="BE873" s="11" t="e">
        <f t="shared" si="576"/>
        <v>#VALUE!</v>
      </c>
      <c r="BF873" s="11" t="e">
        <f t="shared" si="577"/>
        <v>#VALUE!</v>
      </c>
      <c r="BG873" s="11" t="e">
        <f t="shared" si="578"/>
        <v>#VALUE!</v>
      </c>
      <c r="BH873" t="str">
        <f t="shared" si="579"/>
        <v/>
      </c>
      <c r="BI873" t="str" cm="1">
        <f t="array" ref="BI873">_xlfn.IFS(
  L873&gt;0,"Critical Fail",
  M873&gt;0,"Important (Coaching)",
  TRUE,"Clean Pass"
)</f>
        <v>Clean Pass</v>
      </c>
      <c r="BJ873" t="str">
        <f t="shared" si="580"/>
        <v>NA</v>
      </c>
    </row>
    <row r="874" spans="1:62" x14ac:dyDescent="0.3">
      <c r="A874">
        <v>293559</v>
      </c>
      <c r="K874" t="str">
        <f t="shared" si="542"/>
        <v>Pass</v>
      </c>
      <c r="L874" s="15">
        <f t="shared" si="546"/>
        <v>0</v>
      </c>
      <c r="M874" s="15">
        <f t="shared" si="547"/>
        <v>0</v>
      </c>
      <c r="Z874" s="15">
        <f t="shared" si="548"/>
        <v>1</v>
      </c>
      <c r="AA874" s="15">
        <f t="shared" si="549"/>
        <v>1</v>
      </c>
      <c r="AB874" s="15">
        <f t="shared" si="550"/>
        <v>1</v>
      </c>
      <c r="AC874" s="15">
        <f t="shared" si="551"/>
        <v>1</v>
      </c>
      <c r="AD874" s="15">
        <f t="shared" si="552"/>
        <v>1</v>
      </c>
      <c r="AE874" s="15">
        <f t="shared" si="553"/>
        <v>1</v>
      </c>
      <c r="AF874" s="15">
        <f t="shared" si="554"/>
        <v>1</v>
      </c>
      <c r="AG874" s="15">
        <f t="shared" si="555"/>
        <v>1</v>
      </c>
      <c r="AH874" s="15">
        <f t="shared" si="556"/>
        <v>1</v>
      </c>
      <c r="AI874" s="15">
        <f t="shared" si="557"/>
        <v>1</v>
      </c>
      <c r="AJ874" s="15">
        <f t="shared" si="558"/>
        <v>1</v>
      </c>
      <c r="AK874" s="15">
        <f t="shared" si="559"/>
        <v>1</v>
      </c>
      <c r="AL874" s="15">
        <f t="shared" si="560"/>
        <v>1</v>
      </c>
      <c r="AM874" s="15">
        <f t="shared" si="561"/>
        <v>1</v>
      </c>
      <c r="AN874" s="15">
        <f t="shared" si="562"/>
        <v>1</v>
      </c>
      <c r="AO874" s="15">
        <f t="shared" si="563"/>
        <v>1</v>
      </c>
      <c r="AP874" s="15">
        <f t="shared" si="564"/>
        <v>1</v>
      </c>
      <c r="AQ874" s="15">
        <f t="shared" si="565"/>
        <v>1</v>
      </c>
      <c r="AR874" s="15">
        <f t="shared" si="566"/>
        <v>1</v>
      </c>
      <c r="AS874" s="15">
        <f t="shared" si="567"/>
        <v>1</v>
      </c>
      <c r="AT874" s="15">
        <f t="shared" si="568"/>
        <v>1</v>
      </c>
      <c r="AU874" s="15">
        <f t="shared" si="569"/>
        <v>1</v>
      </c>
      <c r="AV874" s="15">
        <f t="shared" si="570"/>
        <v>1</v>
      </c>
      <c r="AW874" s="15">
        <f t="shared" si="571"/>
        <v>1</v>
      </c>
      <c r="AX874" s="15">
        <f t="shared" si="572"/>
        <v>1</v>
      </c>
      <c r="AY874" s="15">
        <f t="shared" si="573"/>
        <v>1</v>
      </c>
      <c r="AZ874" s="15">
        <f t="shared" si="574"/>
        <v>1</v>
      </c>
      <c r="BA874" s="15">
        <f t="shared" si="575"/>
        <v>1</v>
      </c>
      <c r="BB874" s="15">
        <f t="shared" si="543"/>
        <v>0</v>
      </c>
      <c r="BC874" s="15" t="str">
        <f t="shared" si="544"/>
        <v/>
      </c>
      <c r="BD874" s="15" t="str">
        <f t="shared" si="545"/>
        <v/>
      </c>
      <c r="BE874" s="11" t="e">
        <f t="shared" si="576"/>
        <v>#VALUE!</v>
      </c>
      <c r="BF874" s="11" t="e">
        <f t="shared" si="577"/>
        <v>#VALUE!</v>
      </c>
      <c r="BG874" s="11" t="e">
        <f t="shared" si="578"/>
        <v>#VALUE!</v>
      </c>
      <c r="BH874" t="str">
        <f t="shared" si="579"/>
        <v/>
      </c>
      <c r="BI874" t="str" cm="1">
        <f t="array" ref="BI874">_xlfn.IFS(
  L874&gt;0,"Critical Fail",
  M874&gt;0,"Important (Coaching)",
  TRUE,"Clean Pass"
)</f>
        <v>Clean Pass</v>
      </c>
      <c r="BJ874" t="str">
        <f t="shared" si="580"/>
        <v>NA</v>
      </c>
    </row>
    <row r="875" spans="1:62" x14ac:dyDescent="0.3">
      <c r="A875">
        <v>719046</v>
      </c>
      <c r="K875" t="str">
        <f t="shared" si="542"/>
        <v>Pass</v>
      </c>
      <c r="L875" s="15">
        <f t="shared" si="546"/>
        <v>0</v>
      </c>
      <c r="M875" s="15">
        <f t="shared" si="547"/>
        <v>0</v>
      </c>
      <c r="Z875" s="15">
        <f t="shared" si="548"/>
        <v>1</v>
      </c>
      <c r="AA875" s="15">
        <f t="shared" si="549"/>
        <v>1</v>
      </c>
      <c r="AB875" s="15">
        <f t="shared" si="550"/>
        <v>1</v>
      </c>
      <c r="AC875" s="15">
        <f t="shared" si="551"/>
        <v>1</v>
      </c>
      <c r="AD875" s="15">
        <f t="shared" si="552"/>
        <v>1</v>
      </c>
      <c r="AE875" s="15">
        <f t="shared" si="553"/>
        <v>1</v>
      </c>
      <c r="AF875" s="15">
        <f t="shared" si="554"/>
        <v>1</v>
      </c>
      <c r="AG875" s="15">
        <f t="shared" si="555"/>
        <v>1</v>
      </c>
      <c r="AH875" s="15">
        <f t="shared" si="556"/>
        <v>1</v>
      </c>
      <c r="AI875" s="15">
        <f t="shared" si="557"/>
        <v>1</v>
      </c>
      <c r="AJ875" s="15">
        <f t="shared" si="558"/>
        <v>1</v>
      </c>
      <c r="AK875" s="15">
        <f t="shared" si="559"/>
        <v>1</v>
      </c>
      <c r="AL875" s="15">
        <f t="shared" si="560"/>
        <v>1</v>
      </c>
      <c r="AM875" s="15">
        <f t="shared" si="561"/>
        <v>1</v>
      </c>
      <c r="AN875" s="15">
        <f t="shared" si="562"/>
        <v>1</v>
      </c>
      <c r="AO875" s="15">
        <f t="shared" si="563"/>
        <v>1</v>
      </c>
      <c r="AP875" s="15">
        <f t="shared" si="564"/>
        <v>1</v>
      </c>
      <c r="AQ875" s="15">
        <f t="shared" si="565"/>
        <v>1</v>
      </c>
      <c r="AR875" s="15">
        <f t="shared" si="566"/>
        <v>1</v>
      </c>
      <c r="AS875" s="15">
        <f t="shared" si="567"/>
        <v>1</v>
      </c>
      <c r="AT875" s="15">
        <f t="shared" si="568"/>
        <v>1</v>
      </c>
      <c r="AU875" s="15">
        <f t="shared" si="569"/>
        <v>1</v>
      </c>
      <c r="AV875" s="15">
        <f t="shared" si="570"/>
        <v>1</v>
      </c>
      <c r="AW875" s="15">
        <f t="shared" si="571"/>
        <v>1</v>
      </c>
      <c r="AX875" s="15">
        <f t="shared" si="572"/>
        <v>1</v>
      </c>
      <c r="AY875" s="15">
        <f t="shared" si="573"/>
        <v>1</v>
      </c>
      <c r="AZ875" s="15">
        <f t="shared" si="574"/>
        <v>1</v>
      </c>
      <c r="BA875" s="15">
        <f t="shared" si="575"/>
        <v>1</v>
      </c>
      <c r="BB875" s="15">
        <f t="shared" si="543"/>
        <v>0</v>
      </c>
      <c r="BC875" s="15" t="str">
        <f t="shared" si="544"/>
        <v/>
      </c>
      <c r="BD875" s="15" t="str">
        <f t="shared" si="545"/>
        <v/>
      </c>
      <c r="BE875" s="11" t="e">
        <f t="shared" si="576"/>
        <v>#VALUE!</v>
      </c>
      <c r="BF875" s="11" t="e">
        <f t="shared" si="577"/>
        <v>#VALUE!</v>
      </c>
      <c r="BG875" s="11" t="e">
        <f t="shared" si="578"/>
        <v>#VALUE!</v>
      </c>
      <c r="BH875" t="str">
        <f t="shared" si="579"/>
        <v/>
      </c>
      <c r="BI875" t="str" cm="1">
        <f t="array" ref="BI875">_xlfn.IFS(
  L875&gt;0,"Critical Fail",
  M875&gt;0,"Important (Coaching)",
  TRUE,"Clean Pass"
)</f>
        <v>Clean Pass</v>
      </c>
      <c r="BJ875" t="str">
        <f t="shared" si="580"/>
        <v>NA</v>
      </c>
    </row>
    <row r="876" spans="1:62" x14ac:dyDescent="0.3">
      <c r="A876">
        <v>261487</v>
      </c>
      <c r="K876" t="str">
        <f t="shared" si="542"/>
        <v>Pass</v>
      </c>
      <c r="L876" s="15">
        <f t="shared" si="546"/>
        <v>0</v>
      </c>
      <c r="M876" s="15">
        <f t="shared" si="547"/>
        <v>0</v>
      </c>
      <c r="Z876" s="15">
        <f t="shared" si="548"/>
        <v>1</v>
      </c>
      <c r="AA876" s="15">
        <f t="shared" si="549"/>
        <v>1</v>
      </c>
      <c r="AB876" s="15">
        <f t="shared" si="550"/>
        <v>1</v>
      </c>
      <c r="AC876" s="15">
        <f t="shared" si="551"/>
        <v>1</v>
      </c>
      <c r="AD876" s="15">
        <f t="shared" si="552"/>
        <v>1</v>
      </c>
      <c r="AE876" s="15">
        <f t="shared" si="553"/>
        <v>1</v>
      </c>
      <c r="AF876" s="15">
        <f t="shared" si="554"/>
        <v>1</v>
      </c>
      <c r="AG876" s="15">
        <f t="shared" si="555"/>
        <v>1</v>
      </c>
      <c r="AH876" s="15">
        <f t="shared" si="556"/>
        <v>1</v>
      </c>
      <c r="AI876" s="15">
        <f t="shared" si="557"/>
        <v>1</v>
      </c>
      <c r="AJ876" s="15">
        <f t="shared" si="558"/>
        <v>1</v>
      </c>
      <c r="AK876" s="15">
        <f t="shared" si="559"/>
        <v>1</v>
      </c>
      <c r="AL876" s="15">
        <f t="shared" si="560"/>
        <v>1</v>
      </c>
      <c r="AM876" s="15">
        <f t="shared" si="561"/>
        <v>1</v>
      </c>
      <c r="AN876" s="15">
        <f t="shared" si="562"/>
        <v>1</v>
      </c>
      <c r="AO876" s="15">
        <f t="shared" si="563"/>
        <v>1</v>
      </c>
      <c r="AP876" s="15">
        <f t="shared" si="564"/>
        <v>1</v>
      </c>
      <c r="AQ876" s="15">
        <f t="shared" si="565"/>
        <v>1</v>
      </c>
      <c r="AR876" s="15">
        <f t="shared" si="566"/>
        <v>1</v>
      </c>
      <c r="AS876" s="15">
        <f t="shared" si="567"/>
        <v>1</v>
      </c>
      <c r="AT876" s="15">
        <f t="shared" si="568"/>
        <v>1</v>
      </c>
      <c r="AU876" s="15">
        <f t="shared" si="569"/>
        <v>1</v>
      </c>
      <c r="AV876" s="15">
        <f t="shared" si="570"/>
        <v>1</v>
      </c>
      <c r="AW876" s="15">
        <f t="shared" si="571"/>
        <v>1</v>
      </c>
      <c r="AX876" s="15">
        <f t="shared" si="572"/>
        <v>1</v>
      </c>
      <c r="AY876" s="15">
        <f t="shared" si="573"/>
        <v>1</v>
      </c>
      <c r="AZ876" s="15">
        <f t="shared" si="574"/>
        <v>1</v>
      </c>
      <c r="BA876" s="15">
        <f t="shared" si="575"/>
        <v>1</v>
      </c>
      <c r="BB876" s="15">
        <f t="shared" si="543"/>
        <v>0</v>
      </c>
      <c r="BC876" s="15" t="str">
        <f t="shared" si="544"/>
        <v/>
      </c>
      <c r="BD876" s="15" t="str">
        <f t="shared" si="545"/>
        <v/>
      </c>
      <c r="BE876" s="11" t="e">
        <f t="shared" si="576"/>
        <v>#VALUE!</v>
      </c>
      <c r="BF876" s="11" t="e">
        <f t="shared" si="577"/>
        <v>#VALUE!</v>
      </c>
      <c r="BG876" s="11" t="e">
        <f t="shared" si="578"/>
        <v>#VALUE!</v>
      </c>
      <c r="BH876" t="str">
        <f t="shared" si="579"/>
        <v/>
      </c>
      <c r="BI876" t="str" cm="1">
        <f t="array" ref="BI876">_xlfn.IFS(
  L876&gt;0,"Critical Fail",
  M876&gt;0,"Important (Coaching)",
  TRUE,"Clean Pass"
)</f>
        <v>Clean Pass</v>
      </c>
      <c r="BJ876" t="str">
        <f t="shared" si="580"/>
        <v>NA</v>
      </c>
    </row>
    <row r="877" spans="1:62" x14ac:dyDescent="0.3">
      <c r="A877">
        <v>934883</v>
      </c>
      <c r="K877" t="str">
        <f t="shared" si="542"/>
        <v>Pass</v>
      </c>
      <c r="L877" s="15">
        <f t="shared" si="546"/>
        <v>0</v>
      </c>
      <c r="M877" s="15">
        <f t="shared" si="547"/>
        <v>0</v>
      </c>
      <c r="Z877" s="15">
        <f t="shared" si="548"/>
        <v>1</v>
      </c>
      <c r="AA877" s="15">
        <f t="shared" si="549"/>
        <v>1</v>
      </c>
      <c r="AB877" s="15">
        <f t="shared" si="550"/>
        <v>1</v>
      </c>
      <c r="AC877" s="15">
        <f t="shared" si="551"/>
        <v>1</v>
      </c>
      <c r="AD877" s="15">
        <f t="shared" si="552"/>
        <v>1</v>
      </c>
      <c r="AE877" s="15">
        <f t="shared" si="553"/>
        <v>1</v>
      </c>
      <c r="AF877" s="15">
        <f t="shared" si="554"/>
        <v>1</v>
      </c>
      <c r="AG877" s="15">
        <f t="shared" si="555"/>
        <v>1</v>
      </c>
      <c r="AH877" s="15">
        <f t="shared" si="556"/>
        <v>1</v>
      </c>
      <c r="AI877" s="15">
        <f t="shared" si="557"/>
        <v>1</v>
      </c>
      <c r="AJ877" s="15">
        <f t="shared" si="558"/>
        <v>1</v>
      </c>
      <c r="AK877" s="15">
        <f t="shared" si="559"/>
        <v>1</v>
      </c>
      <c r="AL877" s="15">
        <f t="shared" si="560"/>
        <v>1</v>
      </c>
      <c r="AM877" s="15">
        <f t="shared" si="561"/>
        <v>1</v>
      </c>
      <c r="AN877" s="15">
        <f t="shared" si="562"/>
        <v>1</v>
      </c>
      <c r="AO877" s="15">
        <f t="shared" si="563"/>
        <v>1</v>
      </c>
      <c r="AP877" s="15">
        <f t="shared" si="564"/>
        <v>1</v>
      </c>
      <c r="AQ877" s="15">
        <f t="shared" si="565"/>
        <v>1</v>
      </c>
      <c r="AR877" s="15">
        <f t="shared" si="566"/>
        <v>1</v>
      </c>
      <c r="AS877" s="15">
        <f t="shared" si="567"/>
        <v>1</v>
      </c>
      <c r="AT877" s="15">
        <f t="shared" si="568"/>
        <v>1</v>
      </c>
      <c r="AU877" s="15">
        <f t="shared" si="569"/>
        <v>1</v>
      </c>
      <c r="AV877" s="15">
        <f t="shared" si="570"/>
        <v>1</v>
      </c>
      <c r="AW877" s="15">
        <f t="shared" si="571"/>
        <v>1</v>
      </c>
      <c r="AX877" s="15">
        <f t="shared" si="572"/>
        <v>1</v>
      </c>
      <c r="AY877" s="15">
        <f t="shared" si="573"/>
        <v>1</v>
      </c>
      <c r="AZ877" s="15">
        <f t="shared" si="574"/>
        <v>1</v>
      </c>
      <c r="BA877" s="15">
        <f t="shared" si="575"/>
        <v>1</v>
      </c>
      <c r="BB877" s="15">
        <f t="shared" si="543"/>
        <v>0</v>
      </c>
      <c r="BC877" s="15" t="str">
        <f t="shared" si="544"/>
        <v/>
      </c>
      <c r="BD877" s="15" t="str">
        <f t="shared" si="545"/>
        <v/>
      </c>
      <c r="BE877" s="11" t="e">
        <f t="shared" si="576"/>
        <v>#VALUE!</v>
      </c>
      <c r="BF877" s="11" t="e">
        <f t="shared" si="577"/>
        <v>#VALUE!</v>
      </c>
      <c r="BG877" s="11" t="e">
        <f t="shared" si="578"/>
        <v>#VALUE!</v>
      </c>
      <c r="BH877" t="str">
        <f t="shared" si="579"/>
        <v/>
      </c>
      <c r="BI877" t="str" cm="1">
        <f t="array" ref="BI877">_xlfn.IFS(
  L877&gt;0,"Critical Fail",
  M877&gt;0,"Important (Coaching)",
  TRUE,"Clean Pass"
)</f>
        <v>Clean Pass</v>
      </c>
      <c r="BJ877" t="str">
        <f t="shared" si="580"/>
        <v>NA</v>
      </c>
    </row>
    <row r="878" spans="1:62" x14ac:dyDescent="0.3">
      <c r="A878">
        <v>695117</v>
      </c>
      <c r="K878" t="str">
        <f t="shared" si="542"/>
        <v>Pass</v>
      </c>
      <c r="L878" s="15">
        <f t="shared" si="546"/>
        <v>0</v>
      </c>
      <c r="M878" s="15">
        <f t="shared" si="547"/>
        <v>0</v>
      </c>
      <c r="Z878" s="15">
        <f t="shared" si="548"/>
        <v>1</v>
      </c>
      <c r="AA878" s="15">
        <f t="shared" si="549"/>
        <v>1</v>
      </c>
      <c r="AB878" s="15">
        <f t="shared" si="550"/>
        <v>1</v>
      </c>
      <c r="AC878" s="15">
        <f t="shared" si="551"/>
        <v>1</v>
      </c>
      <c r="AD878" s="15">
        <f t="shared" si="552"/>
        <v>1</v>
      </c>
      <c r="AE878" s="15">
        <f t="shared" si="553"/>
        <v>1</v>
      </c>
      <c r="AF878" s="15">
        <f t="shared" si="554"/>
        <v>1</v>
      </c>
      <c r="AG878" s="15">
        <f t="shared" si="555"/>
        <v>1</v>
      </c>
      <c r="AH878" s="15">
        <f t="shared" si="556"/>
        <v>1</v>
      </c>
      <c r="AI878" s="15">
        <f t="shared" si="557"/>
        <v>1</v>
      </c>
      <c r="AJ878" s="15">
        <f t="shared" si="558"/>
        <v>1</v>
      </c>
      <c r="AK878" s="15">
        <f t="shared" si="559"/>
        <v>1</v>
      </c>
      <c r="AL878" s="15">
        <f t="shared" si="560"/>
        <v>1</v>
      </c>
      <c r="AM878" s="15">
        <f t="shared" si="561"/>
        <v>1</v>
      </c>
      <c r="AN878" s="15">
        <f t="shared" si="562"/>
        <v>1</v>
      </c>
      <c r="AO878" s="15">
        <f t="shared" si="563"/>
        <v>1</v>
      </c>
      <c r="AP878" s="15">
        <f t="shared" si="564"/>
        <v>1</v>
      </c>
      <c r="AQ878" s="15">
        <f t="shared" si="565"/>
        <v>1</v>
      </c>
      <c r="AR878" s="15">
        <f t="shared" si="566"/>
        <v>1</v>
      </c>
      <c r="AS878" s="15">
        <f t="shared" si="567"/>
        <v>1</v>
      </c>
      <c r="AT878" s="15">
        <f t="shared" si="568"/>
        <v>1</v>
      </c>
      <c r="AU878" s="15">
        <f t="shared" si="569"/>
        <v>1</v>
      </c>
      <c r="AV878" s="15">
        <f t="shared" si="570"/>
        <v>1</v>
      </c>
      <c r="AW878" s="15">
        <f t="shared" si="571"/>
        <v>1</v>
      </c>
      <c r="AX878" s="15">
        <f t="shared" si="572"/>
        <v>1</v>
      </c>
      <c r="AY878" s="15">
        <f t="shared" si="573"/>
        <v>1</v>
      </c>
      <c r="AZ878" s="15">
        <f t="shared" si="574"/>
        <v>1</v>
      </c>
      <c r="BA878" s="15">
        <f t="shared" si="575"/>
        <v>1</v>
      </c>
      <c r="BB878" s="15">
        <f t="shared" si="543"/>
        <v>0</v>
      </c>
      <c r="BC878" s="15" t="str">
        <f t="shared" si="544"/>
        <v/>
      </c>
      <c r="BD878" s="15" t="str">
        <f t="shared" si="545"/>
        <v/>
      </c>
      <c r="BE878" s="11" t="e">
        <f t="shared" si="576"/>
        <v>#VALUE!</v>
      </c>
      <c r="BF878" s="11" t="e">
        <f t="shared" si="577"/>
        <v>#VALUE!</v>
      </c>
      <c r="BG878" s="11" t="e">
        <f t="shared" si="578"/>
        <v>#VALUE!</v>
      </c>
      <c r="BH878" t="str">
        <f t="shared" si="579"/>
        <v/>
      </c>
      <c r="BI878" t="str" cm="1">
        <f t="array" ref="BI878">_xlfn.IFS(
  L878&gt;0,"Critical Fail",
  M878&gt;0,"Important (Coaching)",
  TRUE,"Clean Pass"
)</f>
        <v>Clean Pass</v>
      </c>
      <c r="BJ878" t="str">
        <f t="shared" si="580"/>
        <v>NA</v>
      </c>
    </row>
    <row r="879" spans="1:62" x14ac:dyDescent="0.3">
      <c r="A879">
        <v>498365</v>
      </c>
      <c r="K879" t="str">
        <f t="shared" si="542"/>
        <v>Pass</v>
      </c>
      <c r="L879" s="15">
        <f t="shared" si="546"/>
        <v>0</v>
      </c>
      <c r="M879" s="15">
        <f t="shared" si="547"/>
        <v>0</v>
      </c>
      <c r="Z879" s="15">
        <f t="shared" si="548"/>
        <v>1</v>
      </c>
      <c r="AA879" s="15">
        <f t="shared" si="549"/>
        <v>1</v>
      </c>
      <c r="AB879" s="15">
        <f t="shared" si="550"/>
        <v>1</v>
      </c>
      <c r="AC879" s="15">
        <f t="shared" si="551"/>
        <v>1</v>
      </c>
      <c r="AD879" s="15">
        <f t="shared" si="552"/>
        <v>1</v>
      </c>
      <c r="AE879" s="15">
        <f t="shared" si="553"/>
        <v>1</v>
      </c>
      <c r="AF879" s="15">
        <f t="shared" si="554"/>
        <v>1</v>
      </c>
      <c r="AG879" s="15">
        <f t="shared" si="555"/>
        <v>1</v>
      </c>
      <c r="AH879" s="15">
        <f t="shared" si="556"/>
        <v>1</v>
      </c>
      <c r="AI879" s="15">
        <f t="shared" si="557"/>
        <v>1</v>
      </c>
      <c r="AJ879" s="15">
        <f t="shared" si="558"/>
        <v>1</v>
      </c>
      <c r="AK879" s="15">
        <f t="shared" si="559"/>
        <v>1</v>
      </c>
      <c r="AL879" s="15">
        <f t="shared" si="560"/>
        <v>1</v>
      </c>
      <c r="AM879" s="15">
        <f t="shared" si="561"/>
        <v>1</v>
      </c>
      <c r="AN879" s="15">
        <f t="shared" si="562"/>
        <v>1</v>
      </c>
      <c r="AO879" s="15">
        <f t="shared" si="563"/>
        <v>1</v>
      </c>
      <c r="AP879" s="15">
        <f t="shared" si="564"/>
        <v>1</v>
      </c>
      <c r="AQ879" s="15">
        <f t="shared" si="565"/>
        <v>1</v>
      </c>
      <c r="AR879" s="15">
        <f t="shared" si="566"/>
        <v>1</v>
      </c>
      <c r="AS879" s="15">
        <f t="shared" si="567"/>
        <v>1</v>
      </c>
      <c r="AT879" s="15">
        <f t="shared" si="568"/>
        <v>1</v>
      </c>
      <c r="AU879" s="15">
        <f t="shared" si="569"/>
        <v>1</v>
      </c>
      <c r="AV879" s="15">
        <f t="shared" si="570"/>
        <v>1</v>
      </c>
      <c r="AW879" s="15">
        <f t="shared" si="571"/>
        <v>1</v>
      </c>
      <c r="AX879" s="15">
        <f t="shared" si="572"/>
        <v>1</v>
      </c>
      <c r="AY879" s="15">
        <f t="shared" si="573"/>
        <v>1</v>
      </c>
      <c r="AZ879" s="15">
        <f t="shared" si="574"/>
        <v>1</v>
      </c>
      <c r="BA879" s="15">
        <f t="shared" si="575"/>
        <v>1</v>
      </c>
      <c r="BB879" s="15">
        <f t="shared" si="543"/>
        <v>0</v>
      </c>
      <c r="BC879" s="15" t="str">
        <f t="shared" si="544"/>
        <v/>
      </c>
      <c r="BD879" s="15" t="str">
        <f t="shared" si="545"/>
        <v/>
      </c>
      <c r="BE879" s="11" t="e">
        <f t="shared" si="576"/>
        <v>#VALUE!</v>
      </c>
      <c r="BF879" s="11" t="e">
        <f t="shared" si="577"/>
        <v>#VALUE!</v>
      </c>
      <c r="BG879" s="11" t="e">
        <f t="shared" si="578"/>
        <v>#VALUE!</v>
      </c>
      <c r="BH879" t="str">
        <f t="shared" si="579"/>
        <v/>
      </c>
      <c r="BI879" t="str" cm="1">
        <f t="array" ref="BI879">_xlfn.IFS(
  L879&gt;0,"Critical Fail",
  M879&gt;0,"Important (Coaching)",
  TRUE,"Clean Pass"
)</f>
        <v>Clean Pass</v>
      </c>
      <c r="BJ879" t="str">
        <f t="shared" si="580"/>
        <v>NA</v>
      </c>
    </row>
    <row r="880" spans="1:62" x14ac:dyDescent="0.3">
      <c r="A880">
        <v>247042</v>
      </c>
      <c r="K880" t="str">
        <f t="shared" si="542"/>
        <v>Pass</v>
      </c>
      <c r="L880" s="15">
        <f t="shared" si="546"/>
        <v>0</v>
      </c>
      <c r="M880" s="15">
        <f t="shared" si="547"/>
        <v>0</v>
      </c>
      <c r="Z880" s="15">
        <f t="shared" si="548"/>
        <v>1</v>
      </c>
      <c r="AA880" s="15">
        <f t="shared" si="549"/>
        <v>1</v>
      </c>
      <c r="AB880" s="15">
        <f t="shared" si="550"/>
        <v>1</v>
      </c>
      <c r="AC880" s="15">
        <f t="shared" si="551"/>
        <v>1</v>
      </c>
      <c r="AD880" s="15">
        <f t="shared" si="552"/>
        <v>1</v>
      </c>
      <c r="AE880" s="15">
        <f t="shared" si="553"/>
        <v>1</v>
      </c>
      <c r="AF880" s="15">
        <f t="shared" si="554"/>
        <v>1</v>
      </c>
      <c r="AG880" s="15">
        <f t="shared" si="555"/>
        <v>1</v>
      </c>
      <c r="AH880" s="15">
        <f t="shared" si="556"/>
        <v>1</v>
      </c>
      <c r="AI880" s="15">
        <f t="shared" si="557"/>
        <v>1</v>
      </c>
      <c r="AJ880" s="15">
        <f t="shared" si="558"/>
        <v>1</v>
      </c>
      <c r="AK880" s="15">
        <f t="shared" si="559"/>
        <v>1</v>
      </c>
      <c r="AL880" s="15">
        <f t="shared" si="560"/>
        <v>1</v>
      </c>
      <c r="AM880" s="15">
        <f t="shared" si="561"/>
        <v>1</v>
      </c>
      <c r="AN880" s="15">
        <f t="shared" si="562"/>
        <v>1</v>
      </c>
      <c r="AO880" s="15">
        <f t="shared" si="563"/>
        <v>1</v>
      </c>
      <c r="AP880" s="15">
        <f t="shared" si="564"/>
        <v>1</v>
      </c>
      <c r="AQ880" s="15">
        <f t="shared" si="565"/>
        <v>1</v>
      </c>
      <c r="AR880" s="15">
        <f t="shared" si="566"/>
        <v>1</v>
      </c>
      <c r="AS880" s="15">
        <f t="shared" si="567"/>
        <v>1</v>
      </c>
      <c r="AT880" s="15">
        <f t="shared" si="568"/>
        <v>1</v>
      </c>
      <c r="AU880" s="15">
        <f t="shared" si="569"/>
        <v>1</v>
      </c>
      <c r="AV880" s="15">
        <f t="shared" si="570"/>
        <v>1</v>
      </c>
      <c r="AW880" s="15">
        <f t="shared" si="571"/>
        <v>1</v>
      </c>
      <c r="AX880" s="15">
        <f t="shared" si="572"/>
        <v>1</v>
      </c>
      <c r="AY880" s="15">
        <f t="shared" si="573"/>
        <v>1</v>
      </c>
      <c r="AZ880" s="15">
        <f t="shared" si="574"/>
        <v>1</v>
      </c>
      <c r="BA880" s="15">
        <f t="shared" si="575"/>
        <v>1</v>
      </c>
      <c r="BB880" s="15">
        <f t="shared" si="543"/>
        <v>0</v>
      </c>
      <c r="BC880" s="15" t="str">
        <f t="shared" si="544"/>
        <v/>
      </c>
      <c r="BD880" s="15" t="str">
        <f t="shared" si="545"/>
        <v/>
      </c>
      <c r="BE880" s="11" t="e">
        <f t="shared" si="576"/>
        <v>#VALUE!</v>
      </c>
      <c r="BF880" s="11" t="e">
        <f t="shared" si="577"/>
        <v>#VALUE!</v>
      </c>
      <c r="BG880" s="11" t="e">
        <f t="shared" si="578"/>
        <v>#VALUE!</v>
      </c>
      <c r="BH880" t="str">
        <f t="shared" si="579"/>
        <v/>
      </c>
      <c r="BI880" t="str" cm="1">
        <f t="array" ref="BI880">_xlfn.IFS(
  L880&gt;0,"Critical Fail",
  M880&gt;0,"Important (Coaching)",
  TRUE,"Clean Pass"
)</f>
        <v>Clean Pass</v>
      </c>
      <c r="BJ880" t="str">
        <f t="shared" si="580"/>
        <v>NA</v>
      </c>
    </row>
    <row r="881" spans="1:62" x14ac:dyDescent="0.3">
      <c r="A881">
        <v>583412</v>
      </c>
      <c r="K881" t="str">
        <f t="shared" si="542"/>
        <v>Pass</v>
      </c>
      <c r="L881" s="15">
        <f t="shared" si="546"/>
        <v>0</v>
      </c>
      <c r="M881" s="15">
        <f t="shared" si="547"/>
        <v>0</v>
      </c>
      <c r="Z881" s="15">
        <f t="shared" si="548"/>
        <v>1</v>
      </c>
      <c r="AA881" s="15">
        <f t="shared" si="549"/>
        <v>1</v>
      </c>
      <c r="AB881" s="15">
        <f t="shared" si="550"/>
        <v>1</v>
      </c>
      <c r="AC881" s="15">
        <f t="shared" si="551"/>
        <v>1</v>
      </c>
      <c r="AD881" s="15">
        <f t="shared" si="552"/>
        <v>1</v>
      </c>
      <c r="AE881" s="15">
        <f t="shared" si="553"/>
        <v>1</v>
      </c>
      <c r="AF881" s="15">
        <f t="shared" si="554"/>
        <v>1</v>
      </c>
      <c r="AG881" s="15">
        <f t="shared" si="555"/>
        <v>1</v>
      </c>
      <c r="AH881" s="15">
        <f t="shared" si="556"/>
        <v>1</v>
      </c>
      <c r="AI881" s="15">
        <f t="shared" si="557"/>
        <v>1</v>
      </c>
      <c r="AJ881" s="15">
        <f t="shared" si="558"/>
        <v>1</v>
      </c>
      <c r="AK881" s="15">
        <f t="shared" si="559"/>
        <v>1</v>
      </c>
      <c r="AL881" s="15">
        <f t="shared" si="560"/>
        <v>1</v>
      </c>
      <c r="AM881" s="15">
        <f t="shared" si="561"/>
        <v>1</v>
      </c>
      <c r="AN881" s="15">
        <f t="shared" si="562"/>
        <v>1</v>
      </c>
      <c r="AO881" s="15">
        <f t="shared" si="563"/>
        <v>1</v>
      </c>
      <c r="AP881" s="15">
        <f t="shared" si="564"/>
        <v>1</v>
      </c>
      <c r="AQ881" s="15">
        <f t="shared" si="565"/>
        <v>1</v>
      </c>
      <c r="AR881" s="15">
        <f t="shared" si="566"/>
        <v>1</v>
      </c>
      <c r="AS881" s="15">
        <f t="shared" si="567"/>
        <v>1</v>
      </c>
      <c r="AT881" s="15">
        <f t="shared" si="568"/>
        <v>1</v>
      </c>
      <c r="AU881" s="15">
        <f t="shared" si="569"/>
        <v>1</v>
      </c>
      <c r="AV881" s="15">
        <f t="shared" si="570"/>
        <v>1</v>
      </c>
      <c r="AW881" s="15">
        <f t="shared" si="571"/>
        <v>1</v>
      </c>
      <c r="AX881" s="15">
        <f t="shared" si="572"/>
        <v>1</v>
      </c>
      <c r="AY881" s="15">
        <f t="shared" si="573"/>
        <v>1</v>
      </c>
      <c r="AZ881" s="15">
        <f t="shared" si="574"/>
        <v>1</v>
      </c>
      <c r="BA881" s="15">
        <f t="shared" si="575"/>
        <v>1</v>
      </c>
      <c r="BB881" s="15">
        <f t="shared" si="543"/>
        <v>0</v>
      </c>
      <c r="BC881" s="15" t="str">
        <f t="shared" si="544"/>
        <v/>
      </c>
      <c r="BD881" s="15" t="str">
        <f t="shared" si="545"/>
        <v/>
      </c>
      <c r="BE881" s="11" t="e">
        <f t="shared" si="576"/>
        <v>#VALUE!</v>
      </c>
      <c r="BF881" s="11" t="e">
        <f t="shared" si="577"/>
        <v>#VALUE!</v>
      </c>
      <c r="BG881" s="11" t="e">
        <f t="shared" si="578"/>
        <v>#VALUE!</v>
      </c>
      <c r="BH881" t="str">
        <f t="shared" si="579"/>
        <v/>
      </c>
      <c r="BI881" t="str" cm="1">
        <f t="array" ref="BI881">_xlfn.IFS(
  L881&gt;0,"Critical Fail",
  M881&gt;0,"Important (Coaching)",
  TRUE,"Clean Pass"
)</f>
        <v>Clean Pass</v>
      </c>
      <c r="BJ881" t="str">
        <f t="shared" si="580"/>
        <v>NA</v>
      </c>
    </row>
    <row r="882" spans="1:62" x14ac:dyDescent="0.3">
      <c r="A882">
        <v>805087</v>
      </c>
      <c r="K882" t="str">
        <f t="shared" si="542"/>
        <v>Pass</v>
      </c>
      <c r="L882" s="15">
        <f t="shared" si="546"/>
        <v>0</v>
      </c>
      <c r="M882" s="15">
        <f t="shared" si="547"/>
        <v>0</v>
      </c>
      <c r="Z882" s="15">
        <f t="shared" si="548"/>
        <v>1</v>
      </c>
      <c r="AA882" s="15">
        <f t="shared" si="549"/>
        <v>1</v>
      </c>
      <c r="AB882" s="15">
        <f t="shared" si="550"/>
        <v>1</v>
      </c>
      <c r="AC882" s="15">
        <f t="shared" si="551"/>
        <v>1</v>
      </c>
      <c r="AD882" s="15">
        <f t="shared" si="552"/>
        <v>1</v>
      </c>
      <c r="AE882" s="15">
        <f t="shared" si="553"/>
        <v>1</v>
      </c>
      <c r="AF882" s="15">
        <f t="shared" si="554"/>
        <v>1</v>
      </c>
      <c r="AG882" s="15">
        <f t="shared" si="555"/>
        <v>1</v>
      </c>
      <c r="AH882" s="15">
        <f t="shared" si="556"/>
        <v>1</v>
      </c>
      <c r="AI882" s="15">
        <f t="shared" si="557"/>
        <v>1</v>
      </c>
      <c r="AJ882" s="15">
        <f t="shared" si="558"/>
        <v>1</v>
      </c>
      <c r="AK882" s="15">
        <f t="shared" si="559"/>
        <v>1</v>
      </c>
      <c r="AL882" s="15">
        <f t="shared" si="560"/>
        <v>1</v>
      </c>
      <c r="AM882" s="15">
        <f t="shared" si="561"/>
        <v>1</v>
      </c>
      <c r="AN882" s="15">
        <f t="shared" si="562"/>
        <v>1</v>
      </c>
      <c r="AO882" s="15">
        <f t="shared" si="563"/>
        <v>1</v>
      </c>
      <c r="AP882" s="15">
        <f t="shared" si="564"/>
        <v>1</v>
      </c>
      <c r="AQ882" s="15">
        <f t="shared" si="565"/>
        <v>1</v>
      </c>
      <c r="AR882" s="15">
        <f t="shared" si="566"/>
        <v>1</v>
      </c>
      <c r="AS882" s="15">
        <f t="shared" si="567"/>
        <v>1</v>
      </c>
      <c r="AT882" s="15">
        <f t="shared" si="568"/>
        <v>1</v>
      </c>
      <c r="AU882" s="15">
        <f t="shared" si="569"/>
        <v>1</v>
      </c>
      <c r="AV882" s="15">
        <f t="shared" si="570"/>
        <v>1</v>
      </c>
      <c r="AW882" s="15">
        <f t="shared" si="571"/>
        <v>1</v>
      </c>
      <c r="AX882" s="15">
        <f t="shared" si="572"/>
        <v>1</v>
      </c>
      <c r="AY882" s="15">
        <f t="shared" si="573"/>
        <v>1</v>
      </c>
      <c r="AZ882" s="15">
        <f t="shared" si="574"/>
        <v>1</v>
      </c>
      <c r="BA882" s="15">
        <f t="shared" si="575"/>
        <v>1</v>
      </c>
      <c r="BB882" s="15">
        <f t="shared" si="543"/>
        <v>0</v>
      </c>
      <c r="BC882" s="15" t="str">
        <f t="shared" si="544"/>
        <v/>
      </c>
      <c r="BD882" s="15" t="str">
        <f t="shared" si="545"/>
        <v/>
      </c>
      <c r="BE882" s="11" t="e">
        <f t="shared" si="576"/>
        <v>#VALUE!</v>
      </c>
      <c r="BF882" s="11" t="e">
        <f t="shared" si="577"/>
        <v>#VALUE!</v>
      </c>
      <c r="BG882" s="11" t="e">
        <f t="shared" si="578"/>
        <v>#VALUE!</v>
      </c>
      <c r="BH882" t="str">
        <f t="shared" si="579"/>
        <v/>
      </c>
      <c r="BI882" t="str" cm="1">
        <f t="array" ref="BI882">_xlfn.IFS(
  L882&gt;0,"Critical Fail",
  M882&gt;0,"Important (Coaching)",
  TRUE,"Clean Pass"
)</f>
        <v>Clean Pass</v>
      </c>
      <c r="BJ882" t="str">
        <f t="shared" si="580"/>
        <v>NA</v>
      </c>
    </row>
    <row r="883" spans="1:62" x14ac:dyDescent="0.3">
      <c r="A883">
        <v>374860</v>
      </c>
      <c r="K883" t="str">
        <f t="shared" si="542"/>
        <v>Pass</v>
      </c>
      <c r="L883" s="15">
        <f t="shared" si="546"/>
        <v>0</v>
      </c>
      <c r="M883" s="15">
        <f t="shared" si="547"/>
        <v>0</v>
      </c>
      <c r="Z883" s="15">
        <f t="shared" si="548"/>
        <v>1</v>
      </c>
      <c r="AA883" s="15">
        <f t="shared" si="549"/>
        <v>1</v>
      </c>
      <c r="AB883" s="15">
        <f t="shared" si="550"/>
        <v>1</v>
      </c>
      <c r="AC883" s="15">
        <f t="shared" si="551"/>
        <v>1</v>
      </c>
      <c r="AD883" s="15">
        <f t="shared" si="552"/>
        <v>1</v>
      </c>
      <c r="AE883" s="15">
        <f t="shared" si="553"/>
        <v>1</v>
      </c>
      <c r="AF883" s="15">
        <f t="shared" si="554"/>
        <v>1</v>
      </c>
      <c r="AG883" s="15">
        <f t="shared" si="555"/>
        <v>1</v>
      </c>
      <c r="AH883" s="15">
        <f t="shared" si="556"/>
        <v>1</v>
      </c>
      <c r="AI883" s="15">
        <f t="shared" si="557"/>
        <v>1</v>
      </c>
      <c r="AJ883" s="15">
        <f t="shared" si="558"/>
        <v>1</v>
      </c>
      <c r="AK883" s="15">
        <f t="shared" si="559"/>
        <v>1</v>
      </c>
      <c r="AL883" s="15">
        <f t="shared" si="560"/>
        <v>1</v>
      </c>
      <c r="AM883" s="15">
        <f t="shared" si="561"/>
        <v>1</v>
      </c>
      <c r="AN883" s="15">
        <f t="shared" si="562"/>
        <v>1</v>
      </c>
      <c r="AO883" s="15">
        <f t="shared" si="563"/>
        <v>1</v>
      </c>
      <c r="AP883" s="15">
        <f t="shared" si="564"/>
        <v>1</v>
      </c>
      <c r="AQ883" s="15">
        <f t="shared" si="565"/>
        <v>1</v>
      </c>
      <c r="AR883" s="15">
        <f t="shared" si="566"/>
        <v>1</v>
      </c>
      <c r="AS883" s="15">
        <f t="shared" si="567"/>
        <v>1</v>
      </c>
      <c r="AT883" s="15">
        <f t="shared" si="568"/>
        <v>1</v>
      </c>
      <c r="AU883" s="15">
        <f t="shared" si="569"/>
        <v>1</v>
      </c>
      <c r="AV883" s="15">
        <f t="shared" si="570"/>
        <v>1</v>
      </c>
      <c r="AW883" s="15">
        <f t="shared" si="571"/>
        <v>1</v>
      </c>
      <c r="AX883" s="15">
        <f t="shared" si="572"/>
        <v>1</v>
      </c>
      <c r="AY883" s="15">
        <f t="shared" si="573"/>
        <v>1</v>
      </c>
      <c r="AZ883" s="15">
        <f t="shared" si="574"/>
        <v>1</v>
      </c>
      <c r="BA883" s="15">
        <f t="shared" si="575"/>
        <v>1</v>
      </c>
      <c r="BB883" s="15">
        <f t="shared" si="543"/>
        <v>0</v>
      </c>
      <c r="BC883" s="15" t="str">
        <f t="shared" si="544"/>
        <v/>
      </c>
      <c r="BD883" s="15" t="str">
        <f t="shared" si="545"/>
        <v/>
      </c>
      <c r="BE883" s="11" t="e">
        <f t="shared" si="576"/>
        <v>#VALUE!</v>
      </c>
      <c r="BF883" s="11" t="e">
        <f t="shared" si="577"/>
        <v>#VALUE!</v>
      </c>
      <c r="BG883" s="11" t="e">
        <f t="shared" si="578"/>
        <v>#VALUE!</v>
      </c>
      <c r="BH883" t="str">
        <f t="shared" si="579"/>
        <v/>
      </c>
      <c r="BI883" t="str" cm="1">
        <f t="array" ref="BI883">_xlfn.IFS(
  L883&gt;0,"Critical Fail",
  M883&gt;0,"Important (Coaching)",
  TRUE,"Clean Pass"
)</f>
        <v>Clean Pass</v>
      </c>
      <c r="BJ883" t="str">
        <f t="shared" si="580"/>
        <v>NA</v>
      </c>
    </row>
    <row r="884" spans="1:62" x14ac:dyDescent="0.3">
      <c r="A884">
        <v>150907</v>
      </c>
      <c r="K884" t="str">
        <f t="shared" si="542"/>
        <v>Pass</v>
      </c>
      <c r="L884" s="15">
        <f t="shared" si="546"/>
        <v>0</v>
      </c>
      <c r="M884" s="15">
        <f t="shared" si="547"/>
        <v>0</v>
      </c>
      <c r="Z884" s="15">
        <f t="shared" si="548"/>
        <v>1</v>
      </c>
      <c r="AA884" s="15">
        <f t="shared" si="549"/>
        <v>1</v>
      </c>
      <c r="AB884" s="15">
        <f t="shared" si="550"/>
        <v>1</v>
      </c>
      <c r="AC884" s="15">
        <f t="shared" si="551"/>
        <v>1</v>
      </c>
      <c r="AD884" s="15">
        <f t="shared" si="552"/>
        <v>1</v>
      </c>
      <c r="AE884" s="15">
        <f t="shared" si="553"/>
        <v>1</v>
      </c>
      <c r="AF884" s="15">
        <f t="shared" si="554"/>
        <v>1</v>
      </c>
      <c r="AG884" s="15">
        <f t="shared" si="555"/>
        <v>1</v>
      </c>
      <c r="AH884" s="15">
        <f t="shared" si="556"/>
        <v>1</v>
      </c>
      <c r="AI884" s="15">
        <f t="shared" si="557"/>
        <v>1</v>
      </c>
      <c r="AJ884" s="15">
        <f t="shared" si="558"/>
        <v>1</v>
      </c>
      <c r="AK884" s="15">
        <f t="shared" si="559"/>
        <v>1</v>
      </c>
      <c r="AL884" s="15">
        <f t="shared" si="560"/>
        <v>1</v>
      </c>
      <c r="AM884" s="15">
        <f t="shared" si="561"/>
        <v>1</v>
      </c>
      <c r="AN884" s="15">
        <f t="shared" si="562"/>
        <v>1</v>
      </c>
      <c r="AO884" s="15">
        <f t="shared" si="563"/>
        <v>1</v>
      </c>
      <c r="AP884" s="15">
        <f t="shared" si="564"/>
        <v>1</v>
      </c>
      <c r="AQ884" s="15">
        <f t="shared" si="565"/>
        <v>1</v>
      </c>
      <c r="AR884" s="15">
        <f t="shared" si="566"/>
        <v>1</v>
      </c>
      <c r="AS884" s="15">
        <f t="shared" si="567"/>
        <v>1</v>
      </c>
      <c r="AT884" s="15">
        <f t="shared" si="568"/>
        <v>1</v>
      </c>
      <c r="AU884" s="15">
        <f t="shared" si="569"/>
        <v>1</v>
      </c>
      <c r="AV884" s="15">
        <f t="shared" si="570"/>
        <v>1</v>
      </c>
      <c r="AW884" s="15">
        <f t="shared" si="571"/>
        <v>1</v>
      </c>
      <c r="AX884" s="15">
        <f t="shared" si="572"/>
        <v>1</v>
      </c>
      <c r="AY884" s="15">
        <f t="shared" si="573"/>
        <v>1</v>
      </c>
      <c r="AZ884" s="15">
        <f t="shared" si="574"/>
        <v>1</v>
      </c>
      <c r="BA884" s="15">
        <f t="shared" si="575"/>
        <v>1</v>
      </c>
      <c r="BB884" s="15">
        <f t="shared" si="543"/>
        <v>0</v>
      </c>
      <c r="BC884" s="15" t="str">
        <f t="shared" si="544"/>
        <v/>
      </c>
      <c r="BD884" s="15" t="str">
        <f t="shared" si="545"/>
        <v/>
      </c>
      <c r="BE884" s="11" t="e">
        <f t="shared" si="576"/>
        <v>#VALUE!</v>
      </c>
      <c r="BF884" s="11" t="e">
        <f t="shared" si="577"/>
        <v>#VALUE!</v>
      </c>
      <c r="BG884" s="11" t="e">
        <f t="shared" si="578"/>
        <v>#VALUE!</v>
      </c>
      <c r="BH884" t="str">
        <f t="shared" si="579"/>
        <v/>
      </c>
      <c r="BI884" t="str" cm="1">
        <f t="array" ref="BI884">_xlfn.IFS(
  L884&gt;0,"Critical Fail",
  M884&gt;0,"Important (Coaching)",
  TRUE,"Clean Pass"
)</f>
        <v>Clean Pass</v>
      </c>
      <c r="BJ884" t="str">
        <f t="shared" si="580"/>
        <v>NA</v>
      </c>
    </row>
    <row r="885" spans="1:62" x14ac:dyDescent="0.3">
      <c r="A885">
        <v>491684</v>
      </c>
      <c r="K885" t="str">
        <f t="shared" si="542"/>
        <v>Pass</v>
      </c>
      <c r="L885" s="15">
        <f t="shared" si="546"/>
        <v>0</v>
      </c>
      <c r="M885" s="15">
        <f t="shared" si="547"/>
        <v>0</v>
      </c>
      <c r="Z885" s="15">
        <f t="shared" si="548"/>
        <v>1</v>
      </c>
      <c r="AA885" s="15">
        <f t="shared" si="549"/>
        <v>1</v>
      </c>
      <c r="AB885" s="15">
        <f t="shared" si="550"/>
        <v>1</v>
      </c>
      <c r="AC885" s="15">
        <f t="shared" si="551"/>
        <v>1</v>
      </c>
      <c r="AD885" s="15">
        <f t="shared" si="552"/>
        <v>1</v>
      </c>
      <c r="AE885" s="15">
        <f t="shared" si="553"/>
        <v>1</v>
      </c>
      <c r="AF885" s="15">
        <f t="shared" si="554"/>
        <v>1</v>
      </c>
      <c r="AG885" s="15">
        <f t="shared" si="555"/>
        <v>1</v>
      </c>
      <c r="AH885" s="15">
        <f t="shared" si="556"/>
        <v>1</v>
      </c>
      <c r="AI885" s="15">
        <f t="shared" si="557"/>
        <v>1</v>
      </c>
      <c r="AJ885" s="15">
        <f t="shared" si="558"/>
        <v>1</v>
      </c>
      <c r="AK885" s="15">
        <f t="shared" si="559"/>
        <v>1</v>
      </c>
      <c r="AL885" s="15">
        <f t="shared" si="560"/>
        <v>1</v>
      </c>
      <c r="AM885" s="15">
        <f t="shared" si="561"/>
        <v>1</v>
      </c>
      <c r="AN885" s="15">
        <f t="shared" si="562"/>
        <v>1</v>
      </c>
      <c r="AO885" s="15">
        <f t="shared" si="563"/>
        <v>1</v>
      </c>
      <c r="AP885" s="15">
        <f t="shared" si="564"/>
        <v>1</v>
      </c>
      <c r="AQ885" s="15">
        <f t="shared" si="565"/>
        <v>1</v>
      </c>
      <c r="AR885" s="15">
        <f t="shared" si="566"/>
        <v>1</v>
      </c>
      <c r="AS885" s="15">
        <f t="shared" si="567"/>
        <v>1</v>
      </c>
      <c r="AT885" s="15">
        <f t="shared" si="568"/>
        <v>1</v>
      </c>
      <c r="AU885" s="15">
        <f t="shared" si="569"/>
        <v>1</v>
      </c>
      <c r="AV885" s="15">
        <f t="shared" si="570"/>
        <v>1</v>
      </c>
      <c r="AW885" s="15">
        <f t="shared" si="571"/>
        <v>1</v>
      </c>
      <c r="AX885" s="15">
        <f t="shared" si="572"/>
        <v>1</v>
      </c>
      <c r="AY885" s="15">
        <f t="shared" si="573"/>
        <v>1</v>
      </c>
      <c r="AZ885" s="15">
        <f t="shared" si="574"/>
        <v>1</v>
      </c>
      <c r="BA885" s="15">
        <f t="shared" si="575"/>
        <v>1</v>
      </c>
      <c r="BB885" s="15">
        <f t="shared" si="543"/>
        <v>0</v>
      </c>
      <c r="BC885" s="15" t="str">
        <f t="shared" si="544"/>
        <v/>
      </c>
      <c r="BD885" s="15" t="str">
        <f t="shared" si="545"/>
        <v/>
      </c>
      <c r="BE885" s="11" t="e">
        <f t="shared" si="576"/>
        <v>#VALUE!</v>
      </c>
      <c r="BF885" s="11" t="e">
        <f t="shared" si="577"/>
        <v>#VALUE!</v>
      </c>
      <c r="BG885" s="11" t="e">
        <f t="shared" si="578"/>
        <v>#VALUE!</v>
      </c>
      <c r="BH885" t="str">
        <f t="shared" si="579"/>
        <v/>
      </c>
      <c r="BI885" t="str" cm="1">
        <f t="array" ref="BI885">_xlfn.IFS(
  L885&gt;0,"Critical Fail",
  M885&gt;0,"Important (Coaching)",
  TRUE,"Clean Pass"
)</f>
        <v>Clean Pass</v>
      </c>
      <c r="BJ885" t="str">
        <f t="shared" si="580"/>
        <v>NA</v>
      </c>
    </row>
    <row r="886" spans="1:62" x14ac:dyDescent="0.3">
      <c r="A886">
        <v>104582</v>
      </c>
      <c r="K886" t="str">
        <f t="shared" si="542"/>
        <v>Pass</v>
      </c>
      <c r="L886" s="15">
        <f t="shared" si="546"/>
        <v>0</v>
      </c>
      <c r="M886" s="15">
        <f t="shared" si="547"/>
        <v>0</v>
      </c>
      <c r="Z886" s="15">
        <f t="shared" si="548"/>
        <v>1</v>
      </c>
      <c r="AA886" s="15">
        <f t="shared" si="549"/>
        <v>1</v>
      </c>
      <c r="AB886" s="15">
        <f t="shared" si="550"/>
        <v>1</v>
      </c>
      <c r="AC886" s="15">
        <f t="shared" si="551"/>
        <v>1</v>
      </c>
      <c r="AD886" s="15">
        <f t="shared" si="552"/>
        <v>1</v>
      </c>
      <c r="AE886" s="15">
        <f t="shared" si="553"/>
        <v>1</v>
      </c>
      <c r="AF886" s="15">
        <f t="shared" si="554"/>
        <v>1</v>
      </c>
      <c r="AG886" s="15">
        <f t="shared" si="555"/>
        <v>1</v>
      </c>
      <c r="AH886" s="15">
        <f t="shared" si="556"/>
        <v>1</v>
      </c>
      <c r="AI886" s="15">
        <f t="shared" si="557"/>
        <v>1</v>
      </c>
      <c r="AJ886" s="15">
        <f t="shared" si="558"/>
        <v>1</v>
      </c>
      <c r="AK886" s="15">
        <f t="shared" si="559"/>
        <v>1</v>
      </c>
      <c r="AL886" s="15">
        <f t="shared" si="560"/>
        <v>1</v>
      </c>
      <c r="AM886" s="15">
        <f t="shared" si="561"/>
        <v>1</v>
      </c>
      <c r="AN886" s="15">
        <f t="shared" si="562"/>
        <v>1</v>
      </c>
      <c r="AO886" s="15">
        <f t="shared" si="563"/>
        <v>1</v>
      </c>
      <c r="AP886" s="15">
        <f t="shared" si="564"/>
        <v>1</v>
      </c>
      <c r="AQ886" s="15">
        <f t="shared" si="565"/>
        <v>1</v>
      </c>
      <c r="AR886" s="15">
        <f t="shared" si="566"/>
        <v>1</v>
      </c>
      <c r="AS886" s="15">
        <f t="shared" si="567"/>
        <v>1</v>
      </c>
      <c r="AT886" s="15">
        <f t="shared" si="568"/>
        <v>1</v>
      </c>
      <c r="AU886" s="15">
        <f t="shared" si="569"/>
        <v>1</v>
      </c>
      <c r="AV886" s="15">
        <f t="shared" si="570"/>
        <v>1</v>
      </c>
      <c r="AW886" s="15">
        <f t="shared" si="571"/>
        <v>1</v>
      </c>
      <c r="AX886" s="15">
        <f t="shared" si="572"/>
        <v>1</v>
      </c>
      <c r="AY886" s="15">
        <f t="shared" si="573"/>
        <v>1</v>
      </c>
      <c r="AZ886" s="15">
        <f t="shared" si="574"/>
        <v>1</v>
      </c>
      <c r="BA886" s="15">
        <f t="shared" si="575"/>
        <v>1</v>
      </c>
      <c r="BB886" s="15">
        <f t="shared" si="543"/>
        <v>0</v>
      </c>
      <c r="BC886" s="15" t="str">
        <f t="shared" si="544"/>
        <v/>
      </c>
      <c r="BD886" s="15" t="str">
        <f t="shared" si="545"/>
        <v/>
      </c>
      <c r="BE886" s="11" t="e">
        <f t="shared" si="576"/>
        <v>#VALUE!</v>
      </c>
      <c r="BF886" s="11" t="e">
        <f t="shared" si="577"/>
        <v>#VALUE!</v>
      </c>
      <c r="BG886" s="11" t="e">
        <f t="shared" si="578"/>
        <v>#VALUE!</v>
      </c>
      <c r="BH886" t="str">
        <f t="shared" si="579"/>
        <v/>
      </c>
      <c r="BI886" t="str" cm="1">
        <f t="array" ref="BI886">_xlfn.IFS(
  L886&gt;0,"Critical Fail",
  M886&gt;0,"Important (Coaching)",
  TRUE,"Clean Pass"
)</f>
        <v>Clean Pass</v>
      </c>
      <c r="BJ886" t="str">
        <f t="shared" si="580"/>
        <v>NA</v>
      </c>
    </row>
    <row r="887" spans="1:62" x14ac:dyDescent="0.3">
      <c r="A887">
        <v>558883</v>
      </c>
      <c r="K887" t="str">
        <f t="shared" si="542"/>
        <v>Pass</v>
      </c>
      <c r="L887" s="15">
        <f t="shared" si="546"/>
        <v>0</v>
      </c>
      <c r="M887" s="15">
        <f t="shared" si="547"/>
        <v>0</v>
      </c>
      <c r="Z887" s="15">
        <f t="shared" si="548"/>
        <v>1</v>
      </c>
      <c r="AA887" s="15">
        <f t="shared" si="549"/>
        <v>1</v>
      </c>
      <c r="AB887" s="15">
        <f t="shared" si="550"/>
        <v>1</v>
      </c>
      <c r="AC887" s="15">
        <f t="shared" si="551"/>
        <v>1</v>
      </c>
      <c r="AD887" s="15">
        <f t="shared" si="552"/>
        <v>1</v>
      </c>
      <c r="AE887" s="15">
        <f t="shared" si="553"/>
        <v>1</v>
      </c>
      <c r="AF887" s="15">
        <f t="shared" si="554"/>
        <v>1</v>
      </c>
      <c r="AG887" s="15">
        <f t="shared" si="555"/>
        <v>1</v>
      </c>
      <c r="AH887" s="15">
        <f t="shared" si="556"/>
        <v>1</v>
      </c>
      <c r="AI887" s="15">
        <f t="shared" si="557"/>
        <v>1</v>
      </c>
      <c r="AJ887" s="15">
        <f t="shared" si="558"/>
        <v>1</v>
      </c>
      <c r="AK887" s="15">
        <f t="shared" si="559"/>
        <v>1</v>
      </c>
      <c r="AL887" s="15">
        <f t="shared" si="560"/>
        <v>1</v>
      </c>
      <c r="AM887" s="15">
        <f t="shared" si="561"/>
        <v>1</v>
      </c>
      <c r="AN887" s="15">
        <f t="shared" si="562"/>
        <v>1</v>
      </c>
      <c r="AO887" s="15">
        <f t="shared" si="563"/>
        <v>1</v>
      </c>
      <c r="AP887" s="15">
        <f t="shared" si="564"/>
        <v>1</v>
      </c>
      <c r="AQ887" s="15">
        <f t="shared" si="565"/>
        <v>1</v>
      </c>
      <c r="AR887" s="15">
        <f t="shared" si="566"/>
        <v>1</v>
      </c>
      <c r="AS887" s="15">
        <f t="shared" si="567"/>
        <v>1</v>
      </c>
      <c r="AT887" s="15">
        <f t="shared" si="568"/>
        <v>1</v>
      </c>
      <c r="AU887" s="15">
        <f t="shared" si="569"/>
        <v>1</v>
      </c>
      <c r="AV887" s="15">
        <f t="shared" si="570"/>
        <v>1</v>
      </c>
      <c r="AW887" s="15">
        <f t="shared" si="571"/>
        <v>1</v>
      </c>
      <c r="AX887" s="15">
        <f t="shared" si="572"/>
        <v>1</v>
      </c>
      <c r="AY887" s="15">
        <f t="shared" si="573"/>
        <v>1</v>
      </c>
      <c r="AZ887" s="15">
        <f t="shared" si="574"/>
        <v>1</v>
      </c>
      <c r="BA887" s="15">
        <f t="shared" si="575"/>
        <v>1</v>
      </c>
      <c r="BB887" s="15">
        <f t="shared" si="543"/>
        <v>0</v>
      </c>
      <c r="BC887" s="15" t="str">
        <f t="shared" si="544"/>
        <v/>
      </c>
      <c r="BD887" s="15" t="str">
        <f t="shared" si="545"/>
        <v/>
      </c>
      <c r="BE887" s="11" t="e">
        <f t="shared" si="576"/>
        <v>#VALUE!</v>
      </c>
      <c r="BF887" s="11" t="e">
        <f t="shared" si="577"/>
        <v>#VALUE!</v>
      </c>
      <c r="BG887" s="11" t="e">
        <f t="shared" si="578"/>
        <v>#VALUE!</v>
      </c>
      <c r="BH887" t="str">
        <f t="shared" si="579"/>
        <v/>
      </c>
      <c r="BI887" t="str" cm="1">
        <f t="array" ref="BI887">_xlfn.IFS(
  L887&gt;0,"Critical Fail",
  M887&gt;0,"Important (Coaching)",
  TRUE,"Clean Pass"
)</f>
        <v>Clean Pass</v>
      </c>
      <c r="BJ887" t="str">
        <f t="shared" si="580"/>
        <v>NA</v>
      </c>
    </row>
    <row r="888" spans="1:62" x14ac:dyDescent="0.3">
      <c r="A888">
        <v>709290</v>
      </c>
      <c r="K888" t="str">
        <f t="shared" si="542"/>
        <v>Pass</v>
      </c>
      <c r="L888" s="15">
        <f t="shared" si="546"/>
        <v>0</v>
      </c>
      <c r="M888" s="15">
        <f t="shared" si="547"/>
        <v>0</v>
      </c>
      <c r="Z888" s="15">
        <f t="shared" si="548"/>
        <v>1</v>
      </c>
      <c r="AA888" s="15">
        <f t="shared" si="549"/>
        <v>1</v>
      </c>
      <c r="AB888" s="15">
        <f t="shared" si="550"/>
        <v>1</v>
      </c>
      <c r="AC888" s="15">
        <f t="shared" si="551"/>
        <v>1</v>
      </c>
      <c r="AD888" s="15">
        <f t="shared" si="552"/>
        <v>1</v>
      </c>
      <c r="AE888" s="15">
        <f t="shared" si="553"/>
        <v>1</v>
      </c>
      <c r="AF888" s="15">
        <f t="shared" si="554"/>
        <v>1</v>
      </c>
      <c r="AG888" s="15">
        <f t="shared" si="555"/>
        <v>1</v>
      </c>
      <c r="AH888" s="15">
        <f t="shared" si="556"/>
        <v>1</v>
      </c>
      <c r="AI888" s="15">
        <f t="shared" si="557"/>
        <v>1</v>
      </c>
      <c r="AJ888" s="15">
        <f t="shared" si="558"/>
        <v>1</v>
      </c>
      <c r="AK888" s="15">
        <f t="shared" si="559"/>
        <v>1</v>
      </c>
      <c r="AL888" s="15">
        <f t="shared" si="560"/>
        <v>1</v>
      </c>
      <c r="AM888" s="15">
        <f t="shared" si="561"/>
        <v>1</v>
      </c>
      <c r="AN888" s="15">
        <f t="shared" si="562"/>
        <v>1</v>
      </c>
      <c r="AO888" s="15">
        <f t="shared" si="563"/>
        <v>1</v>
      </c>
      <c r="AP888" s="15">
        <f t="shared" si="564"/>
        <v>1</v>
      </c>
      <c r="AQ888" s="15">
        <f t="shared" si="565"/>
        <v>1</v>
      </c>
      <c r="AR888" s="15">
        <f t="shared" si="566"/>
        <v>1</v>
      </c>
      <c r="AS888" s="15">
        <f t="shared" si="567"/>
        <v>1</v>
      </c>
      <c r="AT888" s="15">
        <f t="shared" si="568"/>
        <v>1</v>
      </c>
      <c r="AU888" s="15">
        <f t="shared" si="569"/>
        <v>1</v>
      </c>
      <c r="AV888" s="15">
        <f t="shared" si="570"/>
        <v>1</v>
      </c>
      <c r="AW888" s="15">
        <f t="shared" si="571"/>
        <v>1</v>
      </c>
      <c r="AX888" s="15">
        <f t="shared" si="572"/>
        <v>1</v>
      </c>
      <c r="AY888" s="15">
        <f t="shared" si="573"/>
        <v>1</v>
      </c>
      <c r="AZ888" s="15">
        <f t="shared" si="574"/>
        <v>1</v>
      </c>
      <c r="BA888" s="15">
        <f t="shared" si="575"/>
        <v>1</v>
      </c>
      <c r="BB888" s="15">
        <f t="shared" si="543"/>
        <v>0</v>
      </c>
      <c r="BC888" s="15" t="str">
        <f t="shared" si="544"/>
        <v/>
      </c>
      <c r="BD888" s="15" t="str">
        <f t="shared" si="545"/>
        <v/>
      </c>
      <c r="BE888" s="11" t="e">
        <f t="shared" si="576"/>
        <v>#VALUE!</v>
      </c>
      <c r="BF888" s="11" t="e">
        <f t="shared" si="577"/>
        <v>#VALUE!</v>
      </c>
      <c r="BG888" s="11" t="e">
        <f t="shared" si="578"/>
        <v>#VALUE!</v>
      </c>
      <c r="BH888" t="str">
        <f t="shared" si="579"/>
        <v/>
      </c>
      <c r="BI888" t="str" cm="1">
        <f t="array" ref="BI888">_xlfn.IFS(
  L888&gt;0,"Critical Fail",
  M888&gt;0,"Important (Coaching)",
  TRUE,"Clean Pass"
)</f>
        <v>Clean Pass</v>
      </c>
      <c r="BJ888" t="str">
        <f t="shared" si="580"/>
        <v>NA</v>
      </c>
    </row>
    <row r="889" spans="1:62" x14ac:dyDescent="0.3">
      <c r="A889">
        <v>313228</v>
      </c>
      <c r="K889" t="str">
        <f t="shared" si="542"/>
        <v>Pass</v>
      </c>
      <c r="L889" s="15">
        <f t="shared" si="546"/>
        <v>0</v>
      </c>
      <c r="M889" s="15">
        <f t="shared" si="547"/>
        <v>0</v>
      </c>
      <c r="Z889" s="15">
        <f t="shared" si="548"/>
        <v>1</v>
      </c>
      <c r="AA889" s="15">
        <f t="shared" si="549"/>
        <v>1</v>
      </c>
      <c r="AB889" s="15">
        <f t="shared" si="550"/>
        <v>1</v>
      </c>
      <c r="AC889" s="15">
        <f t="shared" si="551"/>
        <v>1</v>
      </c>
      <c r="AD889" s="15">
        <f t="shared" si="552"/>
        <v>1</v>
      </c>
      <c r="AE889" s="15">
        <f t="shared" si="553"/>
        <v>1</v>
      </c>
      <c r="AF889" s="15">
        <f t="shared" si="554"/>
        <v>1</v>
      </c>
      <c r="AG889" s="15">
        <f t="shared" si="555"/>
        <v>1</v>
      </c>
      <c r="AH889" s="15">
        <f t="shared" si="556"/>
        <v>1</v>
      </c>
      <c r="AI889" s="15">
        <f t="shared" si="557"/>
        <v>1</v>
      </c>
      <c r="AJ889" s="15">
        <f t="shared" si="558"/>
        <v>1</v>
      </c>
      <c r="AK889" s="15">
        <f t="shared" si="559"/>
        <v>1</v>
      </c>
      <c r="AL889" s="15">
        <f t="shared" si="560"/>
        <v>1</v>
      </c>
      <c r="AM889" s="15">
        <f t="shared" si="561"/>
        <v>1</v>
      </c>
      <c r="AN889" s="15">
        <f t="shared" si="562"/>
        <v>1</v>
      </c>
      <c r="AO889" s="15">
        <f t="shared" si="563"/>
        <v>1</v>
      </c>
      <c r="AP889" s="15">
        <f t="shared" si="564"/>
        <v>1</v>
      </c>
      <c r="AQ889" s="15">
        <f t="shared" si="565"/>
        <v>1</v>
      </c>
      <c r="AR889" s="15">
        <f t="shared" si="566"/>
        <v>1</v>
      </c>
      <c r="AS889" s="15">
        <f t="shared" si="567"/>
        <v>1</v>
      </c>
      <c r="AT889" s="15">
        <f t="shared" si="568"/>
        <v>1</v>
      </c>
      <c r="AU889" s="15">
        <f t="shared" si="569"/>
        <v>1</v>
      </c>
      <c r="AV889" s="15">
        <f t="shared" si="570"/>
        <v>1</v>
      </c>
      <c r="AW889" s="15">
        <f t="shared" si="571"/>
        <v>1</v>
      </c>
      <c r="AX889" s="15">
        <f t="shared" si="572"/>
        <v>1</v>
      </c>
      <c r="AY889" s="15">
        <f t="shared" si="573"/>
        <v>1</v>
      </c>
      <c r="AZ889" s="15">
        <f t="shared" si="574"/>
        <v>1</v>
      </c>
      <c r="BA889" s="15">
        <f t="shared" si="575"/>
        <v>1</v>
      </c>
      <c r="BB889" s="15">
        <f t="shared" si="543"/>
        <v>0</v>
      </c>
      <c r="BC889" s="15" t="str">
        <f t="shared" si="544"/>
        <v/>
      </c>
      <c r="BD889" s="15" t="str">
        <f t="shared" si="545"/>
        <v/>
      </c>
      <c r="BE889" s="11" t="e">
        <f t="shared" si="576"/>
        <v>#VALUE!</v>
      </c>
      <c r="BF889" s="11" t="e">
        <f t="shared" si="577"/>
        <v>#VALUE!</v>
      </c>
      <c r="BG889" s="11" t="e">
        <f t="shared" si="578"/>
        <v>#VALUE!</v>
      </c>
      <c r="BH889" t="str">
        <f t="shared" si="579"/>
        <v/>
      </c>
      <c r="BI889" t="str" cm="1">
        <f t="array" ref="BI889">_xlfn.IFS(
  L889&gt;0,"Critical Fail",
  M889&gt;0,"Important (Coaching)",
  TRUE,"Clean Pass"
)</f>
        <v>Clean Pass</v>
      </c>
      <c r="BJ889" t="str">
        <f t="shared" si="580"/>
        <v>NA</v>
      </c>
    </row>
    <row r="890" spans="1:62" x14ac:dyDescent="0.3">
      <c r="A890">
        <v>492595</v>
      </c>
      <c r="K890" t="str">
        <f t="shared" si="542"/>
        <v>Pass</v>
      </c>
      <c r="L890" s="15">
        <f t="shared" si="546"/>
        <v>0</v>
      </c>
      <c r="M890" s="15">
        <f t="shared" si="547"/>
        <v>0</v>
      </c>
      <c r="Z890" s="15">
        <f t="shared" si="548"/>
        <v>1</v>
      </c>
      <c r="AA890" s="15">
        <f t="shared" si="549"/>
        <v>1</v>
      </c>
      <c r="AB890" s="15">
        <f t="shared" si="550"/>
        <v>1</v>
      </c>
      <c r="AC890" s="15">
        <f t="shared" si="551"/>
        <v>1</v>
      </c>
      <c r="AD890" s="15">
        <f t="shared" si="552"/>
        <v>1</v>
      </c>
      <c r="AE890" s="15">
        <f t="shared" si="553"/>
        <v>1</v>
      </c>
      <c r="AF890" s="15">
        <f t="shared" si="554"/>
        <v>1</v>
      </c>
      <c r="AG890" s="15">
        <f t="shared" si="555"/>
        <v>1</v>
      </c>
      <c r="AH890" s="15">
        <f t="shared" si="556"/>
        <v>1</v>
      </c>
      <c r="AI890" s="15">
        <f t="shared" si="557"/>
        <v>1</v>
      </c>
      <c r="AJ890" s="15">
        <f t="shared" si="558"/>
        <v>1</v>
      </c>
      <c r="AK890" s="15">
        <f t="shared" si="559"/>
        <v>1</v>
      </c>
      <c r="AL890" s="15">
        <f t="shared" si="560"/>
        <v>1</v>
      </c>
      <c r="AM890" s="15">
        <f t="shared" si="561"/>
        <v>1</v>
      </c>
      <c r="AN890" s="15">
        <f t="shared" si="562"/>
        <v>1</v>
      </c>
      <c r="AO890" s="15">
        <f t="shared" si="563"/>
        <v>1</v>
      </c>
      <c r="AP890" s="15">
        <f t="shared" si="564"/>
        <v>1</v>
      </c>
      <c r="AQ890" s="15">
        <f t="shared" si="565"/>
        <v>1</v>
      </c>
      <c r="AR890" s="15">
        <f t="shared" si="566"/>
        <v>1</v>
      </c>
      <c r="AS890" s="15">
        <f t="shared" si="567"/>
        <v>1</v>
      </c>
      <c r="AT890" s="15">
        <f t="shared" si="568"/>
        <v>1</v>
      </c>
      <c r="AU890" s="15">
        <f t="shared" si="569"/>
        <v>1</v>
      </c>
      <c r="AV890" s="15">
        <f t="shared" si="570"/>
        <v>1</v>
      </c>
      <c r="AW890" s="15">
        <f t="shared" si="571"/>
        <v>1</v>
      </c>
      <c r="AX890" s="15">
        <f t="shared" si="572"/>
        <v>1</v>
      </c>
      <c r="AY890" s="15">
        <f t="shared" si="573"/>
        <v>1</v>
      </c>
      <c r="AZ890" s="15">
        <f t="shared" si="574"/>
        <v>1</v>
      </c>
      <c r="BA890" s="15">
        <f t="shared" si="575"/>
        <v>1</v>
      </c>
      <c r="BB890" s="15">
        <f t="shared" si="543"/>
        <v>0</v>
      </c>
      <c r="BC890" s="15" t="str">
        <f t="shared" si="544"/>
        <v/>
      </c>
      <c r="BD890" s="15" t="str">
        <f t="shared" si="545"/>
        <v/>
      </c>
      <c r="BE890" s="11" t="e">
        <f t="shared" si="576"/>
        <v>#VALUE!</v>
      </c>
      <c r="BF890" s="11" t="e">
        <f t="shared" si="577"/>
        <v>#VALUE!</v>
      </c>
      <c r="BG890" s="11" t="e">
        <f t="shared" si="578"/>
        <v>#VALUE!</v>
      </c>
      <c r="BH890" t="str">
        <f t="shared" si="579"/>
        <v/>
      </c>
      <c r="BI890" t="str" cm="1">
        <f t="array" ref="BI890">_xlfn.IFS(
  L890&gt;0,"Critical Fail",
  M890&gt;0,"Important (Coaching)",
  TRUE,"Clean Pass"
)</f>
        <v>Clean Pass</v>
      </c>
      <c r="BJ890" t="str">
        <f t="shared" si="580"/>
        <v>NA</v>
      </c>
    </row>
    <row r="891" spans="1:62" x14ac:dyDescent="0.3">
      <c r="A891">
        <v>313669</v>
      </c>
      <c r="K891" t="str">
        <f t="shared" si="542"/>
        <v>Pass</v>
      </c>
      <c r="L891" s="15">
        <f t="shared" si="546"/>
        <v>0</v>
      </c>
      <c r="M891" s="15">
        <f t="shared" si="547"/>
        <v>0</v>
      </c>
      <c r="Z891" s="15">
        <f t="shared" si="548"/>
        <v>1</v>
      </c>
      <c r="AA891" s="15">
        <f t="shared" si="549"/>
        <v>1</v>
      </c>
      <c r="AB891" s="15">
        <f t="shared" si="550"/>
        <v>1</v>
      </c>
      <c r="AC891" s="15">
        <f t="shared" si="551"/>
        <v>1</v>
      </c>
      <c r="AD891" s="15">
        <f t="shared" si="552"/>
        <v>1</v>
      </c>
      <c r="AE891" s="15">
        <f t="shared" si="553"/>
        <v>1</v>
      </c>
      <c r="AF891" s="15">
        <f t="shared" si="554"/>
        <v>1</v>
      </c>
      <c r="AG891" s="15">
        <f t="shared" si="555"/>
        <v>1</v>
      </c>
      <c r="AH891" s="15">
        <f t="shared" si="556"/>
        <v>1</v>
      </c>
      <c r="AI891" s="15">
        <f t="shared" si="557"/>
        <v>1</v>
      </c>
      <c r="AJ891" s="15">
        <f t="shared" si="558"/>
        <v>1</v>
      </c>
      <c r="AK891" s="15">
        <f t="shared" si="559"/>
        <v>1</v>
      </c>
      <c r="AL891" s="15">
        <f t="shared" si="560"/>
        <v>1</v>
      </c>
      <c r="AM891" s="15">
        <f t="shared" si="561"/>
        <v>1</v>
      </c>
      <c r="AN891" s="15">
        <f t="shared" si="562"/>
        <v>1</v>
      </c>
      <c r="AO891" s="15">
        <f t="shared" si="563"/>
        <v>1</v>
      </c>
      <c r="AP891" s="15">
        <f t="shared" si="564"/>
        <v>1</v>
      </c>
      <c r="AQ891" s="15">
        <f t="shared" si="565"/>
        <v>1</v>
      </c>
      <c r="AR891" s="15">
        <f t="shared" si="566"/>
        <v>1</v>
      </c>
      <c r="AS891" s="15">
        <f t="shared" si="567"/>
        <v>1</v>
      </c>
      <c r="AT891" s="15">
        <f t="shared" si="568"/>
        <v>1</v>
      </c>
      <c r="AU891" s="15">
        <f t="shared" si="569"/>
        <v>1</v>
      </c>
      <c r="AV891" s="15">
        <f t="shared" si="570"/>
        <v>1</v>
      </c>
      <c r="AW891" s="15">
        <f t="shared" si="571"/>
        <v>1</v>
      </c>
      <c r="AX891" s="15">
        <f t="shared" si="572"/>
        <v>1</v>
      </c>
      <c r="AY891" s="15">
        <f t="shared" si="573"/>
        <v>1</v>
      </c>
      <c r="AZ891" s="15">
        <f t="shared" si="574"/>
        <v>1</v>
      </c>
      <c r="BA891" s="15">
        <f t="shared" si="575"/>
        <v>1</v>
      </c>
      <c r="BB891" s="15">
        <f t="shared" si="543"/>
        <v>0</v>
      </c>
      <c r="BC891" s="15" t="str">
        <f t="shared" si="544"/>
        <v/>
      </c>
      <c r="BD891" s="15" t="str">
        <f t="shared" si="545"/>
        <v/>
      </c>
      <c r="BE891" s="11" t="e">
        <f t="shared" si="576"/>
        <v>#VALUE!</v>
      </c>
      <c r="BF891" s="11" t="e">
        <f t="shared" si="577"/>
        <v>#VALUE!</v>
      </c>
      <c r="BG891" s="11" t="e">
        <f t="shared" si="578"/>
        <v>#VALUE!</v>
      </c>
      <c r="BH891" t="str">
        <f t="shared" si="579"/>
        <v/>
      </c>
      <c r="BI891" t="str" cm="1">
        <f t="array" ref="BI891">_xlfn.IFS(
  L891&gt;0,"Critical Fail",
  M891&gt;0,"Important (Coaching)",
  TRUE,"Clean Pass"
)</f>
        <v>Clean Pass</v>
      </c>
      <c r="BJ891" t="str">
        <f t="shared" si="580"/>
        <v>NA</v>
      </c>
    </row>
    <row r="892" spans="1:62" x14ac:dyDescent="0.3">
      <c r="A892">
        <v>443860</v>
      </c>
      <c r="K892" t="str">
        <f t="shared" si="542"/>
        <v>Pass</v>
      </c>
      <c r="L892" s="15">
        <f t="shared" si="546"/>
        <v>0</v>
      </c>
      <c r="M892" s="15">
        <f t="shared" si="547"/>
        <v>0</v>
      </c>
      <c r="Z892" s="15">
        <f t="shared" si="548"/>
        <v>1</v>
      </c>
      <c r="AA892" s="15">
        <f t="shared" si="549"/>
        <v>1</v>
      </c>
      <c r="AB892" s="15">
        <f t="shared" si="550"/>
        <v>1</v>
      </c>
      <c r="AC892" s="15">
        <f t="shared" si="551"/>
        <v>1</v>
      </c>
      <c r="AD892" s="15">
        <f t="shared" si="552"/>
        <v>1</v>
      </c>
      <c r="AE892" s="15">
        <f t="shared" si="553"/>
        <v>1</v>
      </c>
      <c r="AF892" s="15">
        <f t="shared" si="554"/>
        <v>1</v>
      </c>
      <c r="AG892" s="15">
        <f t="shared" si="555"/>
        <v>1</v>
      </c>
      <c r="AH892" s="15">
        <f t="shared" si="556"/>
        <v>1</v>
      </c>
      <c r="AI892" s="15">
        <f t="shared" si="557"/>
        <v>1</v>
      </c>
      <c r="AJ892" s="15">
        <f t="shared" si="558"/>
        <v>1</v>
      </c>
      <c r="AK892" s="15">
        <f t="shared" si="559"/>
        <v>1</v>
      </c>
      <c r="AL892" s="15">
        <f t="shared" si="560"/>
        <v>1</v>
      </c>
      <c r="AM892" s="15">
        <f t="shared" si="561"/>
        <v>1</v>
      </c>
      <c r="AN892" s="15">
        <f t="shared" si="562"/>
        <v>1</v>
      </c>
      <c r="AO892" s="15">
        <f t="shared" si="563"/>
        <v>1</v>
      </c>
      <c r="AP892" s="15">
        <f t="shared" si="564"/>
        <v>1</v>
      </c>
      <c r="AQ892" s="15">
        <f t="shared" si="565"/>
        <v>1</v>
      </c>
      <c r="AR892" s="15">
        <f t="shared" si="566"/>
        <v>1</v>
      </c>
      <c r="AS892" s="15">
        <f t="shared" si="567"/>
        <v>1</v>
      </c>
      <c r="AT892" s="15">
        <f t="shared" si="568"/>
        <v>1</v>
      </c>
      <c r="AU892" s="15">
        <f t="shared" si="569"/>
        <v>1</v>
      </c>
      <c r="AV892" s="15">
        <f t="shared" si="570"/>
        <v>1</v>
      </c>
      <c r="AW892" s="15">
        <f t="shared" si="571"/>
        <v>1</v>
      </c>
      <c r="AX892" s="15">
        <f t="shared" si="572"/>
        <v>1</v>
      </c>
      <c r="AY892" s="15">
        <f t="shared" si="573"/>
        <v>1</v>
      </c>
      <c r="AZ892" s="15">
        <f t="shared" si="574"/>
        <v>1</v>
      </c>
      <c r="BA892" s="15">
        <f t="shared" si="575"/>
        <v>1</v>
      </c>
      <c r="BB892" s="15">
        <f t="shared" si="543"/>
        <v>0</v>
      </c>
      <c r="BC892" s="15" t="str">
        <f t="shared" si="544"/>
        <v/>
      </c>
      <c r="BD892" s="15" t="str">
        <f t="shared" si="545"/>
        <v/>
      </c>
      <c r="BE892" s="11" t="e">
        <f t="shared" si="576"/>
        <v>#VALUE!</v>
      </c>
      <c r="BF892" s="11" t="e">
        <f t="shared" si="577"/>
        <v>#VALUE!</v>
      </c>
      <c r="BG892" s="11" t="e">
        <f t="shared" si="578"/>
        <v>#VALUE!</v>
      </c>
      <c r="BH892" t="str">
        <f t="shared" si="579"/>
        <v/>
      </c>
      <c r="BI892" t="str" cm="1">
        <f t="array" ref="BI892">_xlfn.IFS(
  L892&gt;0,"Critical Fail",
  M892&gt;0,"Important (Coaching)",
  TRUE,"Clean Pass"
)</f>
        <v>Clean Pass</v>
      </c>
      <c r="BJ892" t="str">
        <f t="shared" si="580"/>
        <v>NA</v>
      </c>
    </row>
    <row r="893" spans="1:62" x14ac:dyDescent="0.3">
      <c r="A893">
        <v>368901</v>
      </c>
      <c r="K893" t="str">
        <f t="shared" si="542"/>
        <v>Pass</v>
      </c>
      <c r="L893" s="15">
        <f t="shared" si="546"/>
        <v>0</v>
      </c>
      <c r="M893" s="15">
        <f t="shared" si="547"/>
        <v>0</v>
      </c>
      <c r="Z893" s="15">
        <f t="shared" si="548"/>
        <v>1</v>
      </c>
      <c r="AA893" s="15">
        <f t="shared" si="549"/>
        <v>1</v>
      </c>
      <c r="AB893" s="15">
        <f t="shared" si="550"/>
        <v>1</v>
      </c>
      <c r="AC893" s="15">
        <f t="shared" si="551"/>
        <v>1</v>
      </c>
      <c r="AD893" s="15">
        <f t="shared" si="552"/>
        <v>1</v>
      </c>
      <c r="AE893" s="15">
        <f t="shared" si="553"/>
        <v>1</v>
      </c>
      <c r="AF893" s="15">
        <f t="shared" si="554"/>
        <v>1</v>
      </c>
      <c r="AG893" s="15">
        <f t="shared" si="555"/>
        <v>1</v>
      </c>
      <c r="AH893" s="15">
        <f t="shared" si="556"/>
        <v>1</v>
      </c>
      <c r="AI893" s="15">
        <f t="shared" si="557"/>
        <v>1</v>
      </c>
      <c r="AJ893" s="15">
        <f t="shared" si="558"/>
        <v>1</v>
      </c>
      <c r="AK893" s="15">
        <f t="shared" si="559"/>
        <v>1</v>
      </c>
      <c r="AL893" s="15">
        <f t="shared" si="560"/>
        <v>1</v>
      </c>
      <c r="AM893" s="15">
        <f t="shared" si="561"/>
        <v>1</v>
      </c>
      <c r="AN893" s="15">
        <f t="shared" si="562"/>
        <v>1</v>
      </c>
      <c r="AO893" s="15">
        <f t="shared" si="563"/>
        <v>1</v>
      </c>
      <c r="AP893" s="15">
        <f t="shared" si="564"/>
        <v>1</v>
      </c>
      <c r="AQ893" s="15">
        <f t="shared" si="565"/>
        <v>1</v>
      </c>
      <c r="AR893" s="15">
        <f t="shared" si="566"/>
        <v>1</v>
      </c>
      <c r="AS893" s="15">
        <f t="shared" si="567"/>
        <v>1</v>
      </c>
      <c r="AT893" s="15">
        <f t="shared" si="568"/>
        <v>1</v>
      </c>
      <c r="AU893" s="15">
        <f t="shared" si="569"/>
        <v>1</v>
      </c>
      <c r="AV893" s="15">
        <f t="shared" si="570"/>
        <v>1</v>
      </c>
      <c r="AW893" s="15">
        <f t="shared" si="571"/>
        <v>1</v>
      </c>
      <c r="AX893" s="15">
        <f t="shared" si="572"/>
        <v>1</v>
      </c>
      <c r="AY893" s="15">
        <f t="shared" si="573"/>
        <v>1</v>
      </c>
      <c r="AZ893" s="15">
        <f t="shared" si="574"/>
        <v>1</v>
      </c>
      <c r="BA893" s="15">
        <f t="shared" si="575"/>
        <v>1</v>
      </c>
      <c r="BB893" s="15">
        <f t="shared" si="543"/>
        <v>0</v>
      </c>
      <c r="BC893" s="15" t="str">
        <f t="shared" si="544"/>
        <v/>
      </c>
      <c r="BD893" s="15" t="str">
        <f t="shared" si="545"/>
        <v/>
      </c>
      <c r="BE893" s="11" t="e">
        <f t="shared" si="576"/>
        <v>#VALUE!</v>
      </c>
      <c r="BF893" s="11" t="e">
        <f t="shared" si="577"/>
        <v>#VALUE!</v>
      </c>
      <c r="BG893" s="11" t="e">
        <f t="shared" si="578"/>
        <v>#VALUE!</v>
      </c>
      <c r="BH893" t="str">
        <f t="shared" si="579"/>
        <v/>
      </c>
      <c r="BI893" t="str" cm="1">
        <f t="array" ref="BI893">_xlfn.IFS(
  L893&gt;0,"Critical Fail",
  M893&gt;0,"Important (Coaching)",
  TRUE,"Clean Pass"
)</f>
        <v>Clean Pass</v>
      </c>
      <c r="BJ893" t="str">
        <f t="shared" si="580"/>
        <v>NA</v>
      </c>
    </row>
    <row r="894" spans="1:62" x14ac:dyDescent="0.3">
      <c r="A894">
        <v>521741</v>
      </c>
      <c r="K894" t="str">
        <f t="shared" si="542"/>
        <v>Pass</v>
      </c>
      <c r="L894" s="15">
        <f t="shared" si="546"/>
        <v>0</v>
      </c>
      <c r="M894" s="15">
        <f t="shared" si="547"/>
        <v>0</v>
      </c>
      <c r="Z894" s="15">
        <f t="shared" si="548"/>
        <v>1</v>
      </c>
      <c r="AA894" s="15">
        <f t="shared" si="549"/>
        <v>1</v>
      </c>
      <c r="AB894" s="15">
        <f t="shared" si="550"/>
        <v>1</v>
      </c>
      <c r="AC894" s="15">
        <f t="shared" si="551"/>
        <v>1</v>
      </c>
      <c r="AD894" s="15">
        <f t="shared" si="552"/>
        <v>1</v>
      </c>
      <c r="AE894" s="15">
        <f t="shared" si="553"/>
        <v>1</v>
      </c>
      <c r="AF894" s="15">
        <f t="shared" si="554"/>
        <v>1</v>
      </c>
      <c r="AG894" s="15">
        <f t="shared" si="555"/>
        <v>1</v>
      </c>
      <c r="AH894" s="15">
        <f t="shared" si="556"/>
        <v>1</v>
      </c>
      <c r="AI894" s="15">
        <f t="shared" si="557"/>
        <v>1</v>
      </c>
      <c r="AJ894" s="15">
        <f t="shared" si="558"/>
        <v>1</v>
      </c>
      <c r="AK894" s="15">
        <f t="shared" si="559"/>
        <v>1</v>
      </c>
      <c r="AL894" s="15">
        <f t="shared" si="560"/>
        <v>1</v>
      </c>
      <c r="AM894" s="15">
        <f t="shared" si="561"/>
        <v>1</v>
      </c>
      <c r="AN894" s="15">
        <f t="shared" si="562"/>
        <v>1</v>
      </c>
      <c r="AO894" s="15">
        <f t="shared" si="563"/>
        <v>1</v>
      </c>
      <c r="AP894" s="15">
        <f t="shared" si="564"/>
        <v>1</v>
      </c>
      <c r="AQ894" s="15">
        <f t="shared" si="565"/>
        <v>1</v>
      </c>
      <c r="AR894" s="15">
        <f t="shared" si="566"/>
        <v>1</v>
      </c>
      <c r="AS894" s="15">
        <f t="shared" si="567"/>
        <v>1</v>
      </c>
      <c r="AT894" s="15">
        <f t="shared" si="568"/>
        <v>1</v>
      </c>
      <c r="AU894" s="15">
        <f t="shared" si="569"/>
        <v>1</v>
      </c>
      <c r="AV894" s="15">
        <f t="shared" si="570"/>
        <v>1</v>
      </c>
      <c r="AW894" s="15">
        <f t="shared" si="571"/>
        <v>1</v>
      </c>
      <c r="AX894" s="15">
        <f t="shared" si="572"/>
        <v>1</v>
      </c>
      <c r="AY894" s="15">
        <f t="shared" si="573"/>
        <v>1</v>
      </c>
      <c r="AZ894" s="15">
        <f t="shared" si="574"/>
        <v>1</v>
      </c>
      <c r="BA894" s="15">
        <f t="shared" si="575"/>
        <v>1</v>
      </c>
      <c r="BB894" s="15">
        <f t="shared" si="543"/>
        <v>0</v>
      </c>
      <c r="BC894" s="15" t="str">
        <f t="shared" si="544"/>
        <v/>
      </c>
      <c r="BD894" s="15" t="str">
        <f t="shared" si="545"/>
        <v/>
      </c>
      <c r="BE894" s="11" t="e">
        <f t="shared" si="576"/>
        <v>#VALUE!</v>
      </c>
      <c r="BF894" s="11" t="e">
        <f t="shared" si="577"/>
        <v>#VALUE!</v>
      </c>
      <c r="BG894" s="11" t="e">
        <f t="shared" si="578"/>
        <v>#VALUE!</v>
      </c>
      <c r="BH894" t="str">
        <f t="shared" si="579"/>
        <v/>
      </c>
      <c r="BI894" t="str" cm="1">
        <f t="array" ref="BI894">_xlfn.IFS(
  L894&gt;0,"Critical Fail",
  M894&gt;0,"Important (Coaching)",
  TRUE,"Clean Pass"
)</f>
        <v>Clean Pass</v>
      </c>
      <c r="BJ894" t="str">
        <f t="shared" si="580"/>
        <v>NA</v>
      </c>
    </row>
    <row r="895" spans="1:62" x14ac:dyDescent="0.3">
      <c r="A895">
        <v>803836</v>
      </c>
      <c r="K895" t="str">
        <f t="shared" si="542"/>
        <v>Pass</v>
      </c>
      <c r="L895" s="15">
        <f t="shared" si="546"/>
        <v>0</v>
      </c>
      <c r="M895" s="15">
        <f t="shared" si="547"/>
        <v>0</v>
      </c>
      <c r="Z895" s="15">
        <f t="shared" si="548"/>
        <v>1</v>
      </c>
      <c r="AA895" s="15">
        <f t="shared" si="549"/>
        <v>1</v>
      </c>
      <c r="AB895" s="15">
        <f t="shared" si="550"/>
        <v>1</v>
      </c>
      <c r="AC895" s="15">
        <f t="shared" si="551"/>
        <v>1</v>
      </c>
      <c r="AD895" s="15">
        <f t="shared" si="552"/>
        <v>1</v>
      </c>
      <c r="AE895" s="15">
        <f t="shared" si="553"/>
        <v>1</v>
      </c>
      <c r="AF895" s="15">
        <f t="shared" si="554"/>
        <v>1</v>
      </c>
      <c r="AG895" s="15">
        <f t="shared" si="555"/>
        <v>1</v>
      </c>
      <c r="AH895" s="15">
        <f t="shared" si="556"/>
        <v>1</v>
      </c>
      <c r="AI895" s="15">
        <f t="shared" si="557"/>
        <v>1</v>
      </c>
      <c r="AJ895" s="15">
        <f t="shared" si="558"/>
        <v>1</v>
      </c>
      <c r="AK895" s="15">
        <f t="shared" si="559"/>
        <v>1</v>
      </c>
      <c r="AL895" s="15">
        <f t="shared" si="560"/>
        <v>1</v>
      </c>
      <c r="AM895" s="15">
        <f t="shared" si="561"/>
        <v>1</v>
      </c>
      <c r="AN895" s="15">
        <f t="shared" si="562"/>
        <v>1</v>
      </c>
      <c r="AO895" s="15">
        <f t="shared" si="563"/>
        <v>1</v>
      </c>
      <c r="AP895" s="15">
        <f t="shared" si="564"/>
        <v>1</v>
      </c>
      <c r="AQ895" s="15">
        <f t="shared" si="565"/>
        <v>1</v>
      </c>
      <c r="AR895" s="15">
        <f t="shared" si="566"/>
        <v>1</v>
      </c>
      <c r="AS895" s="15">
        <f t="shared" si="567"/>
        <v>1</v>
      </c>
      <c r="AT895" s="15">
        <f t="shared" si="568"/>
        <v>1</v>
      </c>
      <c r="AU895" s="15">
        <f t="shared" si="569"/>
        <v>1</v>
      </c>
      <c r="AV895" s="15">
        <f t="shared" si="570"/>
        <v>1</v>
      </c>
      <c r="AW895" s="15">
        <f t="shared" si="571"/>
        <v>1</v>
      </c>
      <c r="AX895" s="15">
        <f t="shared" si="572"/>
        <v>1</v>
      </c>
      <c r="AY895" s="15">
        <f t="shared" si="573"/>
        <v>1</v>
      </c>
      <c r="AZ895" s="15">
        <f t="shared" si="574"/>
        <v>1</v>
      </c>
      <c r="BA895" s="15">
        <f t="shared" si="575"/>
        <v>1</v>
      </c>
      <c r="BB895" s="15">
        <f t="shared" si="543"/>
        <v>0</v>
      </c>
      <c r="BC895" s="15" t="str">
        <f t="shared" si="544"/>
        <v/>
      </c>
      <c r="BD895" s="15" t="str">
        <f t="shared" si="545"/>
        <v/>
      </c>
      <c r="BE895" s="11" t="e">
        <f t="shared" si="576"/>
        <v>#VALUE!</v>
      </c>
      <c r="BF895" s="11" t="e">
        <f t="shared" si="577"/>
        <v>#VALUE!</v>
      </c>
      <c r="BG895" s="11" t="e">
        <f t="shared" si="578"/>
        <v>#VALUE!</v>
      </c>
      <c r="BH895" t="str">
        <f t="shared" si="579"/>
        <v/>
      </c>
      <c r="BI895" t="str" cm="1">
        <f t="array" ref="BI895">_xlfn.IFS(
  L895&gt;0,"Critical Fail",
  M895&gt;0,"Important (Coaching)",
  TRUE,"Clean Pass"
)</f>
        <v>Clean Pass</v>
      </c>
      <c r="BJ895" t="str">
        <f t="shared" si="580"/>
        <v>NA</v>
      </c>
    </row>
    <row r="896" spans="1:62" x14ac:dyDescent="0.3">
      <c r="A896">
        <v>354272</v>
      </c>
      <c r="K896" t="str">
        <f t="shared" si="542"/>
        <v>Pass</v>
      </c>
      <c r="L896" s="15">
        <f t="shared" si="546"/>
        <v>0</v>
      </c>
      <c r="M896" s="15">
        <f t="shared" si="547"/>
        <v>0</v>
      </c>
      <c r="Z896" s="15">
        <f t="shared" si="548"/>
        <v>1</v>
      </c>
      <c r="AA896" s="15">
        <f t="shared" si="549"/>
        <v>1</v>
      </c>
      <c r="AB896" s="15">
        <f t="shared" si="550"/>
        <v>1</v>
      </c>
      <c r="AC896" s="15">
        <f t="shared" si="551"/>
        <v>1</v>
      </c>
      <c r="AD896" s="15">
        <f t="shared" si="552"/>
        <v>1</v>
      </c>
      <c r="AE896" s="15">
        <f t="shared" si="553"/>
        <v>1</v>
      </c>
      <c r="AF896" s="15">
        <f t="shared" si="554"/>
        <v>1</v>
      </c>
      <c r="AG896" s="15">
        <f t="shared" si="555"/>
        <v>1</v>
      </c>
      <c r="AH896" s="15">
        <f t="shared" si="556"/>
        <v>1</v>
      </c>
      <c r="AI896" s="15">
        <f t="shared" si="557"/>
        <v>1</v>
      </c>
      <c r="AJ896" s="15">
        <f t="shared" si="558"/>
        <v>1</v>
      </c>
      <c r="AK896" s="15">
        <f t="shared" si="559"/>
        <v>1</v>
      </c>
      <c r="AL896" s="15">
        <f t="shared" si="560"/>
        <v>1</v>
      </c>
      <c r="AM896" s="15">
        <f t="shared" si="561"/>
        <v>1</v>
      </c>
      <c r="AN896" s="15">
        <f t="shared" si="562"/>
        <v>1</v>
      </c>
      <c r="AO896" s="15">
        <f t="shared" si="563"/>
        <v>1</v>
      </c>
      <c r="AP896" s="15">
        <f t="shared" si="564"/>
        <v>1</v>
      </c>
      <c r="AQ896" s="15">
        <f t="shared" si="565"/>
        <v>1</v>
      </c>
      <c r="AR896" s="15">
        <f t="shared" si="566"/>
        <v>1</v>
      </c>
      <c r="AS896" s="15">
        <f t="shared" si="567"/>
        <v>1</v>
      </c>
      <c r="AT896" s="15">
        <f t="shared" si="568"/>
        <v>1</v>
      </c>
      <c r="AU896" s="15">
        <f t="shared" si="569"/>
        <v>1</v>
      </c>
      <c r="AV896" s="15">
        <f t="shared" si="570"/>
        <v>1</v>
      </c>
      <c r="AW896" s="15">
        <f t="shared" si="571"/>
        <v>1</v>
      </c>
      <c r="AX896" s="15">
        <f t="shared" si="572"/>
        <v>1</v>
      </c>
      <c r="AY896" s="15">
        <f t="shared" si="573"/>
        <v>1</v>
      </c>
      <c r="AZ896" s="15">
        <f t="shared" si="574"/>
        <v>1</v>
      </c>
      <c r="BA896" s="15">
        <f t="shared" si="575"/>
        <v>1</v>
      </c>
      <c r="BB896" s="15">
        <f t="shared" si="543"/>
        <v>0</v>
      </c>
      <c r="BC896" s="15" t="str">
        <f t="shared" si="544"/>
        <v/>
      </c>
      <c r="BD896" s="15" t="str">
        <f t="shared" si="545"/>
        <v/>
      </c>
      <c r="BE896" s="11" t="e">
        <f t="shared" si="576"/>
        <v>#VALUE!</v>
      </c>
      <c r="BF896" s="11" t="e">
        <f t="shared" si="577"/>
        <v>#VALUE!</v>
      </c>
      <c r="BG896" s="11" t="e">
        <f t="shared" si="578"/>
        <v>#VALUE!</v>
      </c>
      <c r="BH896" t="str">
        <f t="shared" si="579"/>
        <v/>
      </c>
      <c r="BI896" t="str" cm="1">
        <f t="array" ref="BI896">_xlfn.IFS(
  L896&gt;0,"Critical Fail",
  M896&gt;0,"Important (Coaching)",
  TRUE,"Clean Pass"
)</f>
        <v>Clean Pass</v>
      </c>
      <c r="BJ896" t="str">
        <f t="shared" si="580"/>
        <v>NA</v>
      </c>
    </row>
    <row r="897" spans="1:62" x14ac:dyDescent="0.3">
      <c r="A897">
        <v>644790</v>
      </c>
      <c r="K897" t="str">
        <f t="shared" si="542"/>
        <v>Pass</v>
      </c>
      <c r="L897" s="15">
        <f t="shared" si="546"/>
        <v>0</v>
      </c>
      <c r="M897" s="15">
        <f t="shared" si="547"/>
        <v>0</v>
      </c>
      <c r="Z897" s="15">
        <f t="shared" si="548"/>
        <v>1</v>
      </c>
      <c r="AA897" s="15">
        <f t="shared" si="549"/>
        <v>1</v>
      </c>
      <c r="AB897" s="15">
        <f t="shared" si="550"/>
        <v>1</v>
      </c>
      <c r="AC897" s="15">
        <f t="shared" si="551"/>
        <v>1</v>
      </c>
      <c r="AD897" s="15">
        <f t="shared" si="552"/>
        <v>1</v>
      </c>
      <c r="AE897" s="15">
        <f t="shared" si="553"/>
        <v>1</v>
      </c>
      <c r="AF897" s="15">
        <f t="shared" si="554"/>
        <v>1</v>
      </c>
      <c r="AG897" s="15">
        <f t="shared" si="555"/>
        <v>1</v>
      </c>
      <c r="AH897" s="15">
        <f t="shared" si="556"/>
        <v>1</v>
      </c>
      <c r="AI897" s="15">
        <f t="shared" si="557"/>
        <v>1</v>
      </c>
      <c r="AJ897" s="15">
        <f t="shared" si="558"/>
        <v>1</v>
      </c>
      <c r="AK897" s="15">
        <f t="shared" si="559"/>
        <v>1</v>
      </c>
      <c r="AL897" s="15">
        <f t="shared" si="560"/>
        <v>1</v>
      </c>
      <c r="AM897" s="15">
        <f t="shared" si="561"/>
        <v>1</v>
      </c>
      <c r="AN897" s="15">
        <f t="shared" si="562"/>
        <v>1</v>
      </c>
      <c r="AO897" s="15">
        <f t="shared" si="563"/>
        <v>1</v>
      </c>
      <c r="AP897" s="15">
        <f t="shared" si="564"/>
        <v>1</v>
      </c>
      <c r="AQ897" s="15">
        <f t="shared" si="565"/>
        <v>1</v>
      </c>
      <c r="AR897" s="15">
        <f t="shared" si="566"/>
        <v>1</v>
      </c>
      <c r="AS897" s="15">
        <f t="shared" si="567"/>
        <v>1</v>
      </c>
      <c r="AT897" s="15">
        <f t="shared" si="568"/>
        <v>1</v>
      </c>
      <c r="AU897" s="15">
        <f t="shared" si="569"/>
        <v>1</v>
      </c>
      <c r="AV897" s="15">
        <f t="shared" si="570"/>
        <v>1</v>
      </c>
      <c r="AW897" s="15">
        <f t="shared" si="571"/>
        <v>1</v>
      </c>
      <c r="AX897" s="15">
        <f t="shared" si="572"/>
        <v>1</v>
      </c>
      <c r="AY897" s="15">
        <f t="shared" si="573"/>
        <v>1</v>
      </c>
      <c r="AZ897" s="15">
        <f t="shared" si="574"/>
        <v>1</v>
      </c>
      <c r="BA897" s="15">
        <f t="shared" si="575"/>
        <v>1</v>
      </c>
      <c r="BB897" s="15">
        <f t="shared" si="543"/>
        <v>0</v>
      </c>
      <c r="BC897" s="15" t="str">
        <f t="shared" si="544"/>
        <v/>
      </c>
      <c r="BD897" s="15" t="str">
        <f t="shared" si="545"/>
        <v/>
      </c>
      <c r="BE897" s="11" t="e">
        <f t="shared" si="576"/>
        <v>#VALUE!</v>
      </c>
      <c r="BF897" s="11" t="e">
        <f t="shared" si="577"/>
        <v>#VALUE!</v>
      </c>
      <c r="BG897" s="11" t="e">
        <f t="shared" si="578"/>
        <v>#VALUE!</v>
      </c>
      <c r="BH897" t="str">
        <f t="shared" si="579"/>
        <v/>
      </c>
      <c r="BI897" t="str" cm="1">
        <f t="array" ref="BI897">_xlfn.IFS(
  L897&gt;0,"Critical Fail",
  M897&gt;0,"Important (Coaching)",
  TRUE,"Clean Pass"
)</f>
        <v>Clean Pass</v>
      </c>
      <c r="BJ897" t="str">
        <f t="shared" si="580"/>
        <v>NA</v>
      </c>
    </row>
    <row r="898" spans="1:62" x14ac:dyDescent="0.3">
      <c r="A898">
        <v>661674</v>
      </c>
      <c r="K898" t="str">
        <f t="shared" ref="K898:K961" si="581">IF(L898="","",IF(L898&gt;0,"Fail","Pass"))</f>
        <v>Pass</v>
      </c>
      <c r="L898" s="15">
        <f t="shared" si="546"/>
        <v>0</v>
      </c>
      <c r="M898" s="15">
        <f t="shared" si="547"/>
        <v>0</v>
      </c>
      <c r="Z898" s="15">
        <f t="shared" si="548"/>
        <v>1</v>
      </c>
      <c r="AA898" s="15">
        <f t="shared" si="549"/>
        <v>1</v>
      </c>
      <c r="AB898" s="15">
        <f t="shared" si="550"/>
        <v>1</v>
      </c>
      <c r="AC898" s="15">
        <f t="shared" si="551"/>
        <v>1</v>
      </c>
      <c r="AD898" s="15">
        <f t="shared" si="552"/>
        <v>1</v>
      </c>
      <c r="AE898" s="15">
        <f t="shared" si="553"/>
        <v>1</v>
      </c>
      <c r="AF898" s="15">
        <f t="shared" si="554"/>
        <v>1</v>
      </c>
      <c r="AG898" s="15">
        <f t="shared" si="555"/>
        <v>1</v>
      </c>
      <c r="AH898" s="15">
        <f t="shared" si="556"/>
        <v>1</v>
      </c>
      <c r="AI898" s="15">
        <f t="shared" si="557"/>
        <v>1</v>
      </c>
      <c r="AJ898" s="15">
        <f t="shared" si="558"/>
        <v>1</v>
      </c>
      <c r="AK898" s="15">
        <f t="shared" si="559"/>
        <v>1</v>
      </c>
      <c r="AL898" s="15">
        <f t="shared" si="560"/>
        <v>1</v>
      </c>
      <c r="AM898" s="15">
        <f t="shared" si="561"/>
        <v>1</v>
      </c>
      <c r="AN898" s="15">
        <f t="shared" si="562"/>
        <v>1</v>
      </c>
      <c r="AO898" s="15">
        <f t="shared" si="563"/>
        <v>1</v>
      </c>
      <c r="AP898" s="15">
        <f t="shared" si="564"/>
        <v>1</v>
      </c>
      <c r="AQ898" s="15">
        <f t="shared" si="565"/>
        <v>1</v>
      </c>
      <c r="AR898" s="15">
        <f t="shared" si="566"/>
        <v>1</v>
      </c>
      <c r="AS898" s="15">
        <f t="shared" si="567"/>
        <v>1</v>
      </c>
      <c r="AT898" s="15">
        <f t="shared" si="568"/>
        <v>1</v>
      </c>
      <c r="AU898" s="15">
        <f t="shared" si="569"/>
        <v>1</v>
      </c>
      <c r="AV898" s="15">
        <f t="shared" si="570"/>
        <v>1</v>
      </c>
      <c r="AW898" s="15">
        <f t="shared" si="571"/>
        <v>1</v>
      </c>
      <c r="AX898" s="15">
        <f t="shared" si="572"/>
        <v>1</v>
      </c>
      <c r="AY898" s="15">
        <f t="shared" si="573"/>
        <v>1</v>
      </c>
      <c r="AZ898" s="15">
        <f t="shared" si="574"/>
        <v>1</v>
      </c>
      <c r="BA898" s="15">
        <f t="shared" si="575"/>
        <v>1</v>
      </c>
      <c r="BB898" s="15">
        <f t="shared" ref="BB898:BB961" si="582">IF(L898&gt;0,1,0)</f>
        <v>0</v>
      </c>
      <c r="BC898" s="15" t="str">
        <f t="shared" ref="BC898:BC961" si="583">IF(G898="DV",9,IF(G898="AL",13,""))</f>
        <v/>
      </c>
      <c r="BD898" s="15" t="str">
        <f t="shared" ref="BD898:BD961" si="584">IF(G898="DV",3,IF(G898="AL",3,""))</f>
        <v/>
      </c>
      <c r="BE898" s="11" t="e">
        <f t="shared" si="576"/>
        <v>#VALUE!</v>
      </c>
      <c r="BF898" s="11" t="e">
        <f t="shared" si="577"/>
        <v>#VALUE!</v>
      </c>
      <c r="BG898" s="11" t="e">
        <f t="shared" si="578"/>
        <v>#VALUE!</v>
      </c>
      <c r="BH898" t="str">
        <f t="shared" si="579"/>
        <v/>
      </c>
      <c r="BI898" t="str" cm="1">
        <f t="array" ref="BI898">_xlfn.IFS(
  L898&gt;0,"Critical Fail",
  M898&gt;0,"Important (Coaching)",
  TRUE,"Clean Pass"
)</f>
        <v>Clean Pass</v>
      </c>
      <c r="BJ898" t="str">
        <f t="shared" si="580"/>
        <v>NA</v>
      </c>
    </row>
    <row r="899" spans="1:62" x14ac:dyDescent="0.3">
      <c r="A899">
        <v>828305</v>
      </c>
      <c r="K899" t="str">
        <f t="shared" si="581"/>
        <v>Pass</v>
      </c>
      <c r="L899" s="15">
        <f t="shared" si="546"/>
        <v>0</v>
      </c>
      <c r="M899" s="15">
        <f t="shared" si="547"/>
        <v>0</v>
      </c>
      <c r="Z899" s="15">
        <f t="shared" si="548"/>
        <v>1</v>
      </c>
      <c r="AA899" s="15">
        <f t="shared" si="549"/>
        <v>1</v>
      </c>
      <c r="AB899" s="15">
        <f t="shared" si="550"/>
        <v>1</v>
      </c>
      <c r="AC899" s="15">
        <f t="shared" si="551"/>
        <v>1</v>
      </c>
      <c r="AD899" s="15">
        <f t="shared" si="552"/>
        <v>1</v>
      </c>
      <c r="AE899" s="15">
        <f t="shared" si="553"/>
        <v>1</v>
      </c>
      <c r="AF899" s="15">
        <f t="shared" si="554"/>
        <v>1</v>
      </c>
      <c r="AG899" s="15">
        <f t="shared" si="555"/>
        <v>1</v>
      </c>
      <c r="AH899" s="15">
        <f t="shared" si="556"/>
        <v>1</v>
      </c>
      <c r="AI899" s="15">
        <f t="shared" si="557"/>
        <v>1</v>
      </c>
      <c r="AJ899" s="15">
        <f t="shared" si="558"/>
        <v>1</v>
      </c>
      <c r="AK899" s="15">
        <f t="shared" si="559"/>
        <v>1</v>
      </c>
      <c r="AL899" s="15">
        <f t="shared" si="560"/>
        <v>1</v>
      </c>
      <c r="AM899" s="15">
        <f t="shared" si="561"/>
        <v>1</v>
      </c>
      <c r="AN899" s="15">
        <f t="shared" si="562"/>
        <v>1</v>
      </c>
      <c r="AO899" s="15">
        <f t="shared" si="563"/>
        <v>1</v>
      </c>
      <c r="AP899" s="15">
        <f t="shared" si="564"/>
        <v>1</v>
      </c>
      <c r="AQ899" s="15">
        <f t="shared" si="565"/>
        <v>1</v>
      </c>
      <c r="AR899" s="15">
        <f t="shared" si="566"/>
        <v>1</v>
      </c>
      <c r="AS899" s="15">
        <f t="shared" si="567"/>
        <v>1</v>
      </c>
      <c r="AT899" s="15">
        <f t="shared" si="568"/>
        <v>1</v>
      </c>
      <c r="AU899" s="15">
        <f t="shared" si="569"/>
        <v>1</v>
      </c>
      <c r="AV899" s="15">
        <f t="shared" si="570"/>
        <v>1</v>
      </c>
      <c r="AW899" s="15">
        <f t="shared" si="571"/>
        <v>1</v>
      </c>
      <c r="AX899" s="15">
        <f t="shared" si="572"/>
        <v>1</v>
      </c>
      <c r="AY899" s="15">
        <f t="shared" si="573"/>
        <v>1</v>
      </c>
      <c r="AZ899" s="15">
        <f t="shared" si="574"/>
        <v>1</v>
      </c>
      <c r="BA899" s="15">
        <f t="shared" si="575"/>
        <v>1</v>
      </c>
      <c r="BB899" s="15">
        <f t="shared" si="582"/>
        <v>0</v>
      </c>
      <c r="BC899" s="15" t="str">
        <f t="shared" si="583"/>
        <v/>
      </c>
      <c r="BD899" s="15" t="str">
        <f t="shared" si="584"/>
        <v/>
      </c>
      <c r="BE899" s="11" t="e">
        <f t="shared" si="576"/>
        <v>#VALUE!</v>
      </c>
      <c r="BF899" s="11" t="e">
        <f t="shared" si="577"/>
        <v>#VALUE!</v>
      </c>
      <c r="BG899" s="11" t="e">
        <f t="shared" si="578"/>
        <v>#VALUE!</v>
      </c>
      <c r="BH899" t="str">
        <f t="shared" si="579"/>
        <v/>
      </c>
      <c r="BI899" t="str" cm="1">
        <f t="array" ref="BI899">_xlfn.IFS(
  L899&gt;0,"Critical Fail",
  M899&gt;0,"Important (Coaching)",
  TRUE,"Clean Pass"
)</f>
        <v>Clean Pass</v>
      </c>
      <c r="BJ899" t="str">
        <f t="shared" si="580"/>
        <v>NA</v>
      </c>
    </row>
    <row r="900" spans="1:62" x14ac:dyDescent="0.3">
      <c r="A900">
        <v>964996</v>
      </c>
      <c r="K900" t="str">
        <f t="shared" si="581"/>
        <v>Pass</v>
      </c>
      <c r="L900" s="15">
        <f t="shared" si="546"/>
        <v>0</v>
      </c>
      <c r="M900" s="15">
        <f t="shared" si="547"/>
        <v>0</v>
      </c>
      <c r="Z900" s="15">
        <f t="shared" si="548"/>
        <v>1</v>
      </c>
      <c r="AA900" s="15">
        <f t="shared" si="549"/>
        <v>1</v>
      </c>
      <c r="AB900" s="15">
        <f t="shared" si="550"/>
        <v>1</v>
      </c>
      <c r="AC900" s="15">
        <f t="shared" si="551"/>
        <v>1</v>
      </c>
      <c r="AD900" s="15">
        <f t="shared" si="552"/>
        <v>1</v>
      </c>
      <c r="AE900" s="15">
        <f t="shared" si="553"/>
        <v>1</v>
      </c>
      <c r="AF900" s="15">
        <f t="shared" si="554"/>
        <v>1</v>
      </c>
      <c r="AG900" s="15">
        <f t="shared" si="555"/>
        <v>1</v>
      </c>
      <c r="AH900" s="15">
        <f t="shared" si="556"/>
        <v>1</v>
      </c>
      <c r="AI900" s="15">
        <f t="shared" si="557"/>
        <v>1</v>
      </c>
      <c r="AJ900" s="15">
        <f t="shared" si="558"/>
        <v>1</v>
      </c>
      <c r="AK900" s="15">
        <f t="shared" si="559"/>
        <v>1</v>
      </c>
      <c r="AL900" s="15">
        <f t="shared" si="560"/>
        <v>1</v>
      </c>
      <c r="AM900" s="15">
        <f t="shared" si="561"/>
        <v>1</v>
      </c>
      <c r="AN900" s="15">
        <f t="shared" si="562"/>
        <v>1</v>
      </c>
      <c r="AO900" s="15">
        <f t="shared" si="563"/>
        <v>1</v>
      </c>
      <c r="AP900" s="15">
        <f t="shared" si="564"/>
        <v>1</v>
      </c>
      <c r="AQ900" s="15">
        <f t="shared" si="565"/>
        <v>1</v>
      </c>
      <c r="AR900" s="15">
        <f t="shared" si="566"/>
        <v>1</v>
      </c>
      <c r="AS900" s="15">
        <f t="shared" si="567"/>
        <v>1</v>
      </c>
      <c r="AT900" s="15">
        <f t="shared" si="568"/>
        <v>1</v>
      </c>
      <c r="AU900" s="15">
        <f t="shared" si="569"/>
        <v>1</v>
      </c>
      <c r="AV900" s="15">
        <f t="shared" si="570"/>
        <v>1</v>
      </c>
      <c r="AW900" s="15">
        <f t="shared" si="571"/>
        <v>1</v>
      </c>
      <c r="AX900" s="15">
        <f t="shared" si="572"/>
        <v>1</v>
      </c>
      <c r="AY900" s="15">
        <f t="shared" si="573"/>
        <v>1</v>
      </c>
      <c r="AZ900" s="15">
        <f t="shared" si="574"/>
        <v>1</v>
      </c>
      <c r="BA900" s="15">
        <f t="shared" si="575"/>
        <v>1</v>
      </c>
      <c r="BB900" s="15">
        <f t="shared" si="582"/>
        <v>0</v>
      </c>
      <c r="BC900" s="15" t="str">
        <f t="shared" si="583"/>
        <v/>
      </c>
      <c r="BD900" s="15" t="str">
        <f t="shared" si="584"/>
        <v/>
      </c>
      <c r="BE900" s="11" t="e">
        <f t="shared" si="576"/>
        <v>#VALUE!</v>
      </c>
      <c r="BF900" s="11" t="e">
        <f t="shared" si="577"/>
        <v>#VALUE!</v>
      </c>
      <c r="BG900" s="11" t="e">
        <f t="shared" si="578"/>
        <v>#VALUE!</v>
      </c>
      <c r="BH900" t="str">
        <f t="shared" si="579"/>
        <v/>
      </c>
      <c r="BI900" t="str" cm="1">
        <f t="array" ref="BI900">_xlfn.IFS(
  L900&gt;0,"Critical Fail",
  M900&gt;0,"Important (Coaching)",
  TRUE,"Clean Pass"
)</f>
        <v>Clean Pass</v>
      </c>
      <c r="BJ900" t="str">
        <f t="shared" si="580"/>
        <v>NA</v>
      </c>
    </row>
    <row r="901" spans="1:62" x14ac:dyDescent="0.3">
      <c r="A901">
        <v>194368</v>
      </c>
      <c r="K901" t="str">
        <f t="shared" si="581"/>
        <v>Pass</v>
      </c>
      <c r="L901" s="15">
        <f t="shared" si="546"/>
        <v>0</v>
      </c>
      <c r="M901" s="15">
        <f t="shared" si="547"/>
        <v>0</v>
      </c>
      <c r="Z901" s="15">
        <f t="shared" si="548"/>
        <v>1</v>
      </c>
      <c r="AA901" s="15">
        <f t="shared" si="549"/>
        <v>1</v>
      </c>
      <c r="AB901" s="15">
        <f t="shared" si="550"/>
        <v>1</v>
      </c>
      <c r="AC901" s="15">
        <f t="shared" si="551"/>
        <v>1</v>
      </c>
      <c r="AD901" s="15">
        <f t="shared" si="552"/>
        <v>1</v>
      </c>
      <c r="AE901" s="15">
        <f t="shared" si="553"/>
        <v>1</v>
      </c>
      <c r="AF901" s="15">
        <f t="shared" si="554"/>
        <v>1</v>
      </c>
      <c r="AG901" s="15">
        <f t="shared" si="555"/>
        <v>1</v>
      </c>
      <c r="AH901" s="15">
        <f t="shared" si="556"/>
        <v>1</v>
      </c>
      <c r="AI901" s="15">
        <f t="shared" si="557"/>
        <v>1</v>
      </c>
      <c r="AJ901" s="15">
        <f t="shared" si="558"/>
        <v>1</v>
      </c>
      <c r="AK901" s="15">
        <f t="shared" si="559"/>
        <v>1</v>
      </c>
      <c r="AL901" s="15">
        <f t="shared" si="560"/>
        <v>1</v>
      </c>
      <c r="AM901" s="15">
        <f t="shared" si="561"/>
        <v>1</v>
      </c>
      <c r="AN901" s="15">
        <f t="shared" si="562"/>
        <v>1</v>
      </c>
      <c r="AO901" s="15">
        <f t="shared" si="563"/>
        <v>1</v>
      </c>
      <c r="AP901" s="15">
        <f t="shared" si="564"/>
        <v>1</v>
      </c>
      <c r="AQ901" s="15">
        <f t="shared" si="565"/>
        <v>1</v>
      </c>
      <c r="AR901" s="15">
        <f t="shared" si="566"/>
        <v>1</v>
      </c>
      <c r="AS901" s="15">
        <f t="shared" si="567"/>
        <v>1</v>
      </c>
      <c r="AT901" s="15">
        <f t="shared" si="568"/>
        <v>1</v>
      </c>
      <c r="AU901" s="15">
        <f t="shared" si="569"/>
        <v>1</v>
      </c>
      <c r="AV901" s="15">
        <f t="shared" si="570"/>
        <v>1</v>
      </c>
      <c r="AW901" s="15">
        <f t="shared" si="571"/>
        <v>1</v>
      </c>
      <c r="AX901" s="15">
        <f t="shared" si="572"/>
        <v>1</v>
      </c>
      <c r="AY901" s="15">
        <f t="shared" si="573"/>
        <v>1</v>
      </c>
      <c r="AZ901" s="15">
        <f t="shared" si="574"/>
        <v>1</v>
      </c>
      <c r="BA901" s="15">
        <f t="shared" si="575"/>
        <v>1</v>
      </c>
      <c r="BB901" s="15">
        <f t="shared" si="582"/>
        <v>0</v>
      </c>
      <c r="BC901" s="15" t="str">
        <f t="shared" si="583"/>
        <v/>
      </c>
      <c r="BD901" s="15" t="str">
        <f t="shared" si="584"/>
        <v/>
      </c>
      <c r="BE901" s="11" t="e">
        <f t="shared" si="576"/>
        <v>#VALUE!</v>
      </c>
      <c r="BF901" s="11" t="e">
        <f t="shared" si="577"/>
        <v>#VALUE!</v>
      </c>
      <c r="BG901" s="11" t="e">
        <f t="shared" si="578"/>
        <v>#VALUE!</v>
      </c>
      <c r="BH901" t="str">
        <f t="shared" si="579"/>
        <v/>
      </c>
      <c r="BI901" t="str" cm="1">
        <f t="array" ref="BI901">_xlfn.IFS(
  L901&gt;0,"Critical Fail",
  M901&gt;0,"Important (Coaching)",
  TRUE,"Clean Pass"
)</f>
        <v>Clean Pass</v>
      </c>
      <c r="BJ901" t="str">
        <f t="shared" si="580"/>
        <v>NA</v>
      </c>
    </row>
    <row r="902" spans="1:62" x14ac:dyDescent="0.3">
      <c r="A902">
        <v>163245</v>
      </c>
      <c r="K902" t="str">
        <f t="shared" si="581"/>
        <v>Pass</v>
      </c>
      <c r="L902" s="15">
        <f t="shared" si="546"/>
        <v>0</v>
      </c>
      <c r="M902" s="15">
        <f t="shared" si="547"/>
        <v>0</v>
      </c>
      <c r="Z902" s="15">
        <f t="shared" si="548"/>
        <v>1</v>
      </c>
      <c r="AA902" s="15">
        <f t="shared" si="549"/>
        <v>1</v>
      </c>
      <c r="AB902" s="15">
        <f t="shared" si="550"/>
        <v>1</v>
      </c>
      <c r="AC902" s="15">
        <f t="shared" si="551"/>
        <v>1</v>
      </c>
      <c r="AD902" s="15">
        <f t="shared" si="552"/>
        <v>1</v>
      </c>
      <c r="AE902" s="15">
        <f t="shared" si="553"/>
        <v>1</v>
      </c>
      <c r="AF902" s="15">
        <f t="shared" si="554"/>
        <v>1</v>
      </c>
      <c r="AG902" s="15">
        <f t="shared" si="555"/>
        <v>1</v>
      </c>
      <c r="AH902" s="15">
        <f t="shared" si="556"/>
        <v>1</v>
      </c>
      <c r="AI902" s="15">
        <f t="shared" si="557"/>
        <v>1</v>
      </c>
      <c r="AJ902" s="15">
        <f t="shared" si="558"/>
        <v>1</v>
      </c>
      <c r="AK902" s="15">
        <f t="shared" si="559"/>
        <v>1</v>
      </c>
      <c r="AL902" s="15">
        <f t="shared" si="560"/>
        <v>1</v>
      </c>
      <c r="AM902" s="15">
        <f t="shared" si="561"/>
        <v>1</v>
      </c>
      <c r="AN902" s="15">
        <f t="shared" si="562"/>
        <v>1</v>
      </c>
      <c r="AO902" s="15">
        <f t="shared" si="563"/>
        <v>1</v>
      </c>
      <c r="AP902" s="15">
        <f t="shared" si="564"/>
        <v>1</v>
      </c>
      <c r="AQ902" s="15">
        <f t="shared" si="565"/>
        <v>1</v>
      </c>
      <c r="AR902" s="15">
        <f t="shared" si="566"/>
        <v>1</v>
      </c>
      <c r="AS902" s="15">
        <f t="shared" si="567"/>
        <v>1</v>
      </c>
      <c r="AT902" s="15">
        <f t="shared" si="568"/>
        <v>1</v>
      </c>
      <c r="AU902" s="15">
        <f t="shared" si="569"/>
        <v>1</v>
      </c>
      <c r="AV902" s="15">
        <f t="shared" si="570"/>
        <v>1</v>
      </c>
      <c r="AW902" s="15">
        <f t="shared" si="571"/>
        <v>1</v>
      </c>
      <c r="AX902" s="15">
        <f t="shared" si="572"/>
        <v>1</v>
      </c>
      <c r="AY902" s="15">
        <f t="shared" si="573"/>
        <v>1</v>
      </c>
      <c r="AZ902" s="15">
        <f t="shared" si="574"/>
        <v>1</v>
      </c>
      <c r="BA902" s="15">
        <f t="shared" si="575"/>
        <v>1</v>
      </c>
      <c r="BB902" s="15">
        <f t="shared" si="582"/>
        <v>0</v>
      </c>
      <c r="BC902" s="15" t="str">
        <f t="shared" si="583"/>
        <v/>
      </c>
      <c r="BD902" s="15" t="str">
        <f t="shared" si="584"/>
        <v/>
      </c>
      <c r="BE902" s="11" t="e">
        <f t="shared" si="576"/>
        <v>#VALUE!</v>
      </c>
      <c r="BF902" s="11" t="e">
        <f t="shared" si="577"/>
        <v>#VALUE!</v>
      </c>
      <c r="BG902" s="11" t="e">
        <f t="shared" si="578"/>
        <v>#VALUE!</v>
      </c>
      <c r="BH902" t="str">
        <f t="shared" si="579"/>
        <v/>
      </c>
      <c r="BI902" t="str" cm="1">
        <f t="array" ref="BI902">_xlfn.IFS(
  L902&gt;0,"Critical Fail",
  M902&gt;0,"Important (Coaching)",
  TRUE,"Clean Pass"
)</f>
        <v>Clean Pass</v>
      </c>
      <c r="BJ902" t="str">
        <f t="shared" si="580"/>
        <v>NA</v>
      </c>
    </row>
    <row r="903" spans="1:62" x14ac:dyDescent="0.3">
      <c r="A903">
        <v>245760</v>
      </c>
      <c r="K903" t="str">
        <f t="shared" si="581"/>
        <v>Pass</v>
      </c>
      <c r="L903" s="15">
        <f t="shared" si="546"/>
        <v>0</v>
      </c>
      <c r="M903" s="15">
        <f t="shared" si="547"/>
        <v>0</v>
      </c>
      <c r="Z903" s="15">
        <f t="shared" si="548"/>
        <v>1</v>
      </c>
      <c r="AA903" s="15">
        <f t="shared" si="549"/>
        <v>1</v>
      </c>
      <c r="AB903" s="15">
        <f t="shared" si="550"/>
        <v>1</v>
      </c>
      <c r="AC903" s="15">
        <f t="shared" si="551"/>
        <v>1</v>
      </c>
      <c r="AD903" s="15">
        <f t="shared" si="552"/>
        <v>1</v>
      </c>
      <c r="AE903" s="15">
        <f t="shared" si="553"/>
        <v>1</v>
      </c>
      <c r="AF903" s="15">
        <f t="shared" si="554"/>
        <v>1</v>
      </c>
      <c r="AG903" s="15">
        <f t="shared" si="555"/>
        <v>1</v>
      </c>
      <c r="AH903" s="15">
        <f t="shared" si="556"/>
        <v>1</v>
      </c>
      <c r="AI903" s="15">
        <f t="shared" si="557"/>
        <v>1</v>
      </c>
      <c r="AJ903" s="15">
        <f t="shared" si="558"/>
        <v>1</v>
      </c>
      <c r="AK903" s="15">
        <f t="shared" si="559"/>
        <v>1</v>
      </c>
      <c r="AL903" s="15">
        <f t="shared" si="560"/>
        <v>1</v>
      </c>
      <c r="AM903" s="15">
        <f t="shared" si="561"/>
        <v>1</v>
      </c>
      <c r="AN903" s="15">
        <f t="shared" si="562"/>
        <v>1</v>
      </c>
      <c r="AO903" s="15">
        <f t="shared" si="563"/>
        <v>1</v>
      </c>
      <c r="AP903" s="15">
        <f t="shared" si="564"/>
        <v>1</v>
      </c>
      <c r="AQ903" s="15">
        <f t="shared" si="565"/>
        <v>1</v>
      </c>
      <c r="AR903" s="15">
        <f t="shared" si="566"/>
        <v>1</v>
      </c>
      <c r="AS903" s="15">
        <f t="shared" si="567"/>
        <v>1</v>
      </c>
      <c r="AT903" s="15">
        <f t="shared" si="568"/>
        <v>1</v>
      </c>
      <c r="AU903" s="15">
        <f t="shared" si="569"/>
        <v>1</v>
      </c>
      <c r="AV903" s="15">
        <f t="shared" si="570"/>
        <v>1</v>
      </c>
      <c r="AW903" s="15">
        <f t="shared" si="571"/>
        <v>1</v>
      </c>
      <c r="AX903" s="15">
        <f t="shared" si="572"/>
        <v>1</v>
      </c>
      <c r="AY903" s="15">
        <f t="shared" si="573"/>
        <v>1</v>
      </c>
      <c r="AZ903" s="15">
        <f t="shared" si="574"/>
        <v>1</v>
      </c>
      <c r="BA903" s="15">
        <f t="shared" si="575"/>
        <v>1</v>
      </c>
      <c r="BB903" s="15">
        <f t="shared" si="582"/>
        <v>0</v>
      </c>
      <c r="BC903" s="15" t="str">
        <f t="shared" si="583"/>
        <v/>
      </c>
      <c r="BD903" s="15" t="str">
        <f t="shared" si="584"/>
        <v/>
      </c>
      <c r="BE903" s="11" t="e">
        <f t="shared" si="576"/>
        <v>#VALUE!</v>
      </c>
      <c r="BF903" s="11" t="e">
        <f t="shared" si="577"/>
        <v>#VALUE!</v>
      </c>
      <c r="BG903" s="11" t="e">
        <f t="shared" si="578"/>
        <v>#VALUE!</v>
      </c>
      <c r="BH903" t="str">
        <f t="shared" si="579"/>
        <v/>
      </c>
      <c r="BI903" t="str" cm="1">
        <f t="array" ref="BI903">_xlfn.IFS(
  L903&gt;0,"Critical Fail",
  M903&gt;0,"Important (Coaching)",
  TRUE,"Clean Pass"
)</f>
        <v>Clean Pass</v>
      </c>
      <c r="BJ903" t="str">
        <f t="shared" si="580"/>
        <v>NA</v>
      </c>
    </row>
    <row r="904" spans="1:62" x14ac:dyDescent="0.3">
      <c r="A904">
        <v>715602</v>
      </c>
      <c r="K904" t="str">
        <f t="shared" si="581"/>
        <v>Pass</v>
      </c>
      <c r="L904" s="15">
        <f t="shared" si="546"/>
        <v>0</v>
      </c>
      <c r="M904" s="15">
        <f t="shared" si="547"/>
        <v>0</v>
      </c>
      <c r="Z904" s="15">
        <f t="shared" si="548"/>
        <v>1</v>
      </c>
      <c r="AA904" s="15">
        <f t="shared" si="549"/>
        <v>1</v>
      </c>
      <c r="AB904" s="15">
        <f t="shared" si="550"/>
        <v>1</v>
      </c>
      <c r="AC904" s="15">
        <f t="shared" si="551"/>
        <v>1</v>
      </c>
      <c r="AD904" s="15">
        <f t="shared" si="552"/>
        <v>1</v>
      </c>
      <c r="AE904" s="15">
        <f t="shared" si="553"/>
        <v>1</v>
      </c>
      <c r="AF904" s="15">
        <f t="shared" si="554"/>
        <v>1</v>
      </c>
      <c r="AG904" s="15">
        <f t="shared" si="555"/>
        <v>1</v>
      </c>
      <c r="AH904" s="15">
        <f t="shared" si="556"/>
        <v>1</v>
      </c>
      <c r="AI904" s="15">
        <f t="shared" si="557"/>
        <v>1</v>
      </c>
      <c r="AJ904" s="15">
        <f t="shared" si="558"/>
        <v>1</v>
      </c>
      <c r="AK904" s="15">
        <f t="shared" si="559"/>
        <v>1</v>
      </c>
      <c r="AL904" s="15">
        <f t="shared" si="560"/>
        <v>1</v>
      </c>
      <c r="AM904" s="15">
        <f t="shared" si="561"/>
        <v>1</v>
      </c>
      <c r="AN904" s="15">
        <f t="shared" si="562"/>
        <v>1</v>
      </c>
      <c r="AO904" s="15">
        <f t="shared" si="563"/>
        <v>1</v>
      </c>
      <c r="AP904" s="15">
        <f t="shared" si="564"/>
        <v>1</v>
      </c>
      <c r="AQ904" s="15">
        <f t="shared" si="565"/>
        <v>1</v>
      </c>
      <c r="AR904" s="15">
        <f t="shared" si="566"/>
        <v>1</v>
      </c>
      <c r="AS904" s="15">
        <f t="shared" si="567"/>
        <v>1</v>
      </c>
      <c r="AT904" s="15">
        <f t="shared" si="568"/>
        <v>1</v>
      </c>
      <c r="AU904" s="15">
        <f t="shared" si="569"/>
        <v>1</v>
      </c>
      <c r="AV904" s="15">
        <f t="shared" si="570"/>
        <v>1</v>
      </c>
      <c r="AW904" s="15">
        <f t="shared" si="571"/>
        <v>1</v>
      </c>
      <c r="AX904" s="15">
        <f t="shared" si="572"/>
        <v>1</v>
      </c>
      <c r="AY904" s="15">
        <f t="shared" si="573"/>
        <v>1</v>
      </c>
      <c r="AZ904" s="15">
        <f t="shared" si="574"/>
        <v>1</v>
      </c>
      <c r="BA904" s="15">
        <f t="shared" si="575"/>
        <v>1</v>
      </c>
      <c r="BB904" s="15">
        <f t="shared" si="582"/>
        <v>0</v>
      </c>
      <c r="BC904" s="15" t="str">
        <f t="shared" si="583"/>
        <v/>
      </c>
      <c r="BD904" s="15" t="str">
        <f t="shared" si="584"/>
        <v/>
      </c>
      <c r="BE904" s="11" t="e">
        <f t="shared" si="576"/>
        <v>#VALUE!</v>
      </c>
      <c r="BF904" s="11" t="e">
        <f t="shared" si="577"/>
        <v>#VALUE!</v>
      </c>
      <c r="BG904" s="11" t="e">
        <f t="shared" si="578"/>
        <v>#VALUE!</v>
      </c>
      <c r="BH904" t="str">
        <f t="shared" si="579"/>
        <v/>
      </c>
      <c r="BI904" t="str" cm="1">
        <f t="array" ref="BI904">_xlfn.IFS(
  L904&gt;0,"Critical Fail",
  M904&gt;0,"Important (Coaching)",
  TRUE,"Clean Pass"
)</f>
        <v>Clean Pass</v>
      </c>
      <c r="BJ904" t="str">
        <f t="shared" si="580"/>
        <v>NA</v>
      </c>
    </row>
    <row r="905" spans="1:62" x14ac:dyDescent="0.3">
      <c r="A905">
        <v>815098</v>
      </c>
      <c r="K905" t="str">
        <f t="shared" si="581"/>
        <v>Pass</v>
      </c>
      <c r="L905" s="15">
        <f t="shared" si="546"/>
        <v>0</v>
      </c>
      <c r="M905" s="15">
        <f t="shared" si="547"/>
        <v>0</v>
      </c>
      <c r="Z905" s="15">
        <f t="shared" si="548"/>
        <v>1</v>
      </c>
      <c r="AA905" s="15">
        <f t="shared" si="549"/>
        <v>1</v>
      </c>
      <c r="AB905" s="15">
        <f t="shared" si="550"/>
        <v>1</v>
      </c>
      <c r="AC905" s="15">
        <f t="shared" si="551"/>
        <v>1</v>
      </c>
      <c r="AD905" s="15">
        <f t="shared" si="552"/>
        <v>1</v>
      </c>
      <c r="AE905" s="15">
        <f t="shared" si="553"/>
        <v>1</v>
      </c>
      <c r="AF905" s="15">
        <f t="shared" si="554"/>
        <v>1</v>
      </c>
      <c r="AG905" s="15">
        <f t="shared" si="555"/>
        <v>1</v>
      </c>
      <c r="AH905" s="15">
        <f t="shared" si="556"/>
        <v>1</v>
      </c>
      <c r="AI905" s="15">
        <f t="shared" si="557"/>
        <v>1</v>
      </c>
      <c r="AJ905" s="15">
        <f t="shared" si="558"/>
        <v>1</v>
      </c>
      <c r="AK905" s="15">
        <f t="shared" si="559"/>
        <v>1</v>
      </c>
      <c r="AL905" s="15">
        <f t="shared" si="560"/>
        <v>1</v>
      </c>
      <c r="AM905" s="15">
        <f t="shared" si="561"/>
        <v>1</v>
      </c>
      <c r="AN905" s="15">
        <f t="shared" si="562"/>
        <v>1</v>
      </c>
      <c r="AO905" s="15">
        <f t="shared" si="563"/>
        <v>1</v>
      </c>
      <c r="AP905" s="15">
        <f t="shared" si="564"/>
        <v>1</v>
      </c>
      <c r="AQ905" s="15">
        <f t="shared" si="565"/>
        <v>1</v>
      </c>
      <c r="AR905" s="15">
        <f t="shared" si="566"/>
        <v>1</v>
      </c>
      <c r="AS905" s="15">
        <f t="shared" si="567"/>
        <v>1</v>
      </c>
      <c r="AT905" s="15">
        <f t="shared" si="568"/>
        <v>1</v>
      </c>
      <c r="AU905" s="15">
        <f t="shared" si="569"/>
        <v>1</v>
      </c>
      <c r="AV905" s="15">
        <f t="shared" si="570"/>
        <v>1</v>
      </c>
      <c r="AW905" s="15">
        <f t="shared" si="571"/>
        <v>1</v>
      </c>
      <c r="AX905" s="15">
        <f t="shared" si="572"/>
        <v>1</v>
      </c>
      <c r="AY905" s="15">
        <f t="shared" si="573"/>
        <v>1</v>
      </c>
      <c r="AZ905" s="15">
        <f t="shared" si="574"/>
        <v>1</v>
      </c>
      <c r="BA905" s="15">
        <f t="shared" si="575"/>
        <v>1</v>
      </c>
      <c r="BB905" s="15">
        <f t="shared" si="582"/>
        <v>0</v>
      </c>
      <c r="BC905" s="15" t="str">
        <f t="shared" si="583"/>
        <v/>
      </c>
      <c r="BD905" s="15" t="str">
        <f t="shared" si="584"/>
        <v/>
      </c>
      <c r="BE905" s="11" t="e">
        <f t="shared" si="576"/>
        <v>#VALUE!</v>
      </c>
      <c r="BF905" s="11" t="e">
        <f t="shared" si="577"/>
        <v>#VALUE!</v>
      </c>
      <c r="BG905" s="11" t="e">
        <f t="shared" si="578"/>
        <v>#VALUE!</v>
      </c>
      <c r="BH905" t="str">
        <f t="shared" si="579"/>
        <v/>
      </c>
      <c r="BI905" t="str" cm="1">
        <f t="array" ref="BI905">_xlfn.IFS(
  L905&gt;0,"Critical Fail",
  M905&gt;0,"Important (Coaching)",
  TRUE,"Clean Pass"
)</f>
        <v>Clean Pass</v>
      </c>
      <c r="BJ905" t="str">
        <f t="shared" si="580"/>
        <v>NA</v>
      </c>
    </row>
    <row r="906" spans="1:62" x14ac:dyDescent="0.3">
      <c r="A906">
        <v>808631</v>
      </c>
      <c r="K906" t="str">
        <f t="shared" si="581"/>
        <v>Pass</v>
      </c>
      <c r="L906" s="15">
        <f t="shared" si="546"/>
        <v>0</v>
      </c>
      <c r="M906" s="15">
        <f t="shared" si="547"/>
        <v>0</v>
      </c>
      <c r="Z906" s="15">
        <f t="shared" si="548"/>
        <v>1</v>
      </c>
      <c r="AA906" s="15">
        <f t="shared" si="549"/>
        <v>1</v>
      </c>
      <c r="AB906" s="15">
        <f t="shared" si="550"/>
        <v>1</v>
      </c>
      <c r="AC906" s="15">
        <f t="shared" si="551"/>
        <v>1</v>
      </c>
      <c r="AD906" s="15">
        <f t="shared" si="552"/>
        <v>1</v>
      </c>
      <c r="AE906" s="15">
        <f t="shared" si="553"/>
        <v>1</v>
      </c>
      <c r="AF906" s="15">
        <f t="shared" si="554"/>
        <v>1</v>
      </c>
      <c r="AG906" s="15">
        <f t="shared" si="555"/>
        <v>1</v>
      </c>
      <c r="AH906" s="15">
        <f t="shared" si="556"/>
        <v>1</v>
      </c>
      <c r="AI906" s="15">
        <f t="shared" si="557"/>
        <v>1</v>
      </c>
      <c r="AJ906" s="15">
        <f t="shared" si="558"/>
        <v>1</v>
      </c>
      <c r="AK906" s="15">
        <f t="shared" si="559"/>
        <v>1</v>
      </c>
      <c r="AL906" s="15">
        <f t="shared" si="560"/>
        <v>1</v>
      </c>
      <c r="AM906" s="15">
        <f t="shared" si="561"/>
        <v>1</v>
      </c>
      <c r="AN906" s="15">
        <f t="shared" si="562"/>
        <v>1</v>
      </c>
      <c r="AO906" s="15">
        <f t="shared" si="563"/>
        <v>1</v>
      </c>
      <c r="AP906" s="15">
        <f t="shared" si="564"/>
        <v>1</v>
      </c>
      <c r="AQ906" s="15">
        <f t="shared" si="565"/>
        <v>1</v>
      </c>
      <c r="AR906" s="15">
        <f t="shared" si="566"/>
        <v>1</v>
      </c>
      <c r="AS906" s="15">
        <f t="shared" si="567"/>
        <v>1</v>
      </c>
      <c r="AT906" s="15">
        <f t="shared" si="568"/>
        <v>1</v>
      </c>
      <c r="AU906" s="15">
        <f t="shared" si="569"/>
        <v>1</v>
      </c>
      <c r="AV906" s="15">
        <f t="shared" si="570"/>
        <v>1</v>
      </c>
      <c r="AW906" s="15">
        <f t="shared" si="571"/>
        <v>1</v>
      </c>
      <c r="AX906" s="15">
        <f t="shared" si="572"/>
        <v>1</v>
      </c>
      <c r="AY906" s="15">
        <f t="shared" si="573"/>
        <v>1</v>
      </c>
      <c r="AZ906" s="15">
        <f t="shared" si="574"/>
        <v>1</v>
      </c>
      <c r="BA906" s="15">
        <f t="shared" si="575"/>
        <v>1</v>
      </c>
      <c r="BB906" s="15">
        <f t="shared" si="582"/>
        <v>0</v>
      </c>
      <c r="BC906" s="15" t="str">
        <f t="shared" si="583"/>
        <v/>
      </c>
      <c r="BD906" s="15" t="str">
        <f t="shared" si="584"/>
        <v/>
      </c>
      <c r="BE906" s="11" t="e">
        <f t="shared" si="576"/>
        <v>#VALUE!</v>
      </c>
      <c r="BF906" s="11" t="e">
        <f t="shared" si="577"/>
        <v>#VALUE!</v>
      </c>
      <c r="BG906" s="11" t="e">
        <f t="shared" si="578"/>
        <v>#VALUE!</v>
      </c>
      <c r="BH906" t="str">
        <f t="shared" si="579"/>
        <v/>
      </c>
      <c r="BI906" t="str" cm="1">
        <f t="array" ref="BI906">_xlfn.IFS(
  L906&gt;0,"Critical Fail",
  M906&gt;0,"Important (Coaching)",
  TRUE,"Clean Pass"
)</f>
        <v>Clean Pass</v>
      </c>
      <c r="BJ906" t="str">
        <f t="shared" si="580"/>
        <v>NA</v>
      </c>
    </row>
    <row r="907" spans="1:62" x14ac:dyDescent="0.3">
      <c r="A907">
        <v>225797</v>
      </c>
      <c r="K907" t="str">
        <f t="shared" si="581"/>
        <v>Pass</v>
      </c>
      <c r="L907" s="15">
        <f t="shared" si="546"/>
        <v>0</v>
      </c>
      <c r="M907" s="15">
        <f t="shared" si="547"/>
        <v>0</v>
      </c>
      <c r="Z907" s="15">
        <f t="shared" si="548"/>
        <v>1</v>
      </c>
      <c r="AA907" s="15">
        <f t="shared" si="549"/>
        <v>1</v>
      </c>
      <c r="AB907" s="15">
        <f t="shared" si="550"/>
        <v>1</v>
      </c>
      <c r="AC907" s="15">
        <f t="shared" si="551"/>
        <v>1</v>
      </c>
      <c r="AD907" s="15">
        <f t="shared" si="552"/>
        <v>1</v>
      </c>
      <c r="AE907" s="15">
        <f t="shared" si="553"/>
        <v>1</v>
      </c>
      <c r="AF907" s="15">
        <f t="shared" si="554"/>
        <v>1</v>
      </c>
      <c r="AG907" s="15">
        <f t="shared" si="555"/>
        <v>1</v>
      </c>
      <c r="AH907" s="15">
        <f t="shared" si="556"/>
        <v>1</v>
      </c>
      <c r="AI907" s="15">
        <f t="shared" si="557"/>
        <v>1</v>
      </c>
      <c r="AJ907" s="15">
        <f t="shared" si="558"/>
        <v>1</v>
      </c>
      <c r="AK907" s="15">
        <f t="shared" si="559"/>
        <v>1</v>
      </c>
      <c r="AL907" s="15">
        <f t="shared" si="560"/>
        <v>1</v>
      </c>
      <c r="AM907" s="15">
        <f t="shared" si="561"/>
        <v>1</v>
      </c>
      <c r="AN907" s="15">
        <f t="shared" si="562"/>
        <v>1</v>
      </c>
      <c r="AO907" s="15">
        <f t="shared" si="563"/>
        <v>1</v>
      </c>
      <c r="AP907" s="15">
        <f t="shared" si="564"/>
        <v>1</v>
      </c>
      <c r="AQ907" s="15">
        <f t="shared" si="565"/>
        <v>1</v>
      </c>
      <c r="AR907" s="15">
        <f t="shared" si="566"/>
        <v>1</v>
      </c>
      <c r="AS907" s="15">
        <f t="shared" si="567"/>
        <v>1</v>
      </c>
      <c r="AT907" s="15">
        <f t="shared" si="568"/>
        <v>1</v>
      </c>
      <c r="AU907" s="15">
        <f t="shared" si="569"/>
        <v>1</v>
      </c>
      <c r="AV907" s="15">
        <f t="shared" si="570"/>
        <v>1</v>
      </c>
      <c r="AW907" s="15">
        <f t="shared" si="571"/>
        <v>1</v>
      </c>
      <c r="AX907" s="15">
        <f t="shared" si="572"/>
        <v>1</v>
      </c>
      <c r="AY907" s="15">
        <f t="shared" si="573"/>
        <v>1</v>
      </c>
      <c r="AZ907" s="15">
        <f t="shared" si="574"/>
        <v>1</v>
      </c>
      <c r="BA907" s="15">
        <f t="shared" si="575"/>
        <v>1</v>
      </c>
      <c r="BB907" s="15">
        <f t="shared" si="582"/>
        <v>0</v>
      </c>
      <c r="BC907" s="15" t="str">
        <f t="shared" si="583"/>
        <v/>
      </c>
      <c r="BD907" s="15" t="str">
        <f t="shared" si="584"/>
        <v/>
      </c>
      <c r="BE907" s="11" t="e">
        <f t="shared" si="576"/>
        <v>#VALUE!</v>
      </c>
      <c r="BF907" s="11" t="e">
        <f t="shared" si="577"/>
        <v>#VALUE!</v>
      </c>
      <c r="BG907" s="11" t="e">
        <f t="shared" si="578"/>
        <v>#VALUE!</v>
      </c>
      <c r="BH907" t="str">
        <f t="shared" si="579"/>
        <v/>
      </c>
      <c r="BI907" t="str" cm="1">
        <f t="array" ref="BI907">_xlfn.IFS(
  L907&gt;0,"Critical Fail",
  M907&gt;0,"Important (Coaching)",
  TRUE,"Clean Pass"
)</f>
        <v>Clean Pass</v>
      </c>
      <c r="BJ907" t="str">
        <f t="shared" si="580"/>
        <v>NA</v>
      </c>
    </row>
    <row r="908" spans="1:62" x14ac:dyDescent="0.3">
      <c r="A908">
        <v>537518</v>
      </c>
      <c r="K908" t="str">
        <f t="shared" si="581"/>
        <v>Pass</v>
      </c>
      <c r="L908" s="15">
        <f t="shared" si="546"/>
        <v>0</v>
      </c>
      <c r="M908" s="15">
        <f t="shared" si="547"/>
        <v>0</v>
      </c>
      <c r="Z908" s="15">
        <f t="shared" si="548"/>
        <v>1</v>
      </c>
      <c r="AA908" s="15">
        <f t="shared" si="549"/>
        <v>1</v>
      </c>
      <c r="AB908" s="15">
        <f t="shared" si="550"/>
        <v>1</v>
      </c>
      <c r="AC908" s="15">
        <f t="shared" si="551"/>
        <v>1</v>
      </c>
      <c r="AD908" s="15">
        <f t="shared" si="552"/>
        <v>1</v>
      </c>
      <c r="AE908" s="15">
        <f t="shared" si="553"/>
        <v>1</v>
      </c>
      <c r="AF908" s="15">
        <f t="shared" si="554"/>
        <v>1</v>
      </c>
      <c r="AG908" s="15">
        <f t="shared" si="555"/>
        <v>1</v>
      </c>
      <c r="AH908" s="15">
        <f t="shared" si="556"/>
        <v>1</v>
      </c>
      <c r="AI908" s="15">
        <f t="shared" si="557"/>
        <v>1</v>
      </c>
      <c r="AJ908" s="15">
        <f t="shared" si="558"/>
        <v>1</v>
      </c>
      <c r="AK908" s="15">
        <f t="shared" si="559"/>
        <v>1</v>
      </c>
      <c r="AL908" s="15">
        <f t="shared" si="560"/>
        <v>1</v>
      </c>
      <c r="AM908" s="15">
        <f t="shared" si="561"/>
        <v>1</v>
      </c>
      <c r="AN908" s="15">
        <f t="shared" si="562"/>
        <v>1</v>
      </c>
      <c r="AO908" s="15">
        <f t="shared" si="563"/>
        <v>1</v>
      </c>
      <c r="AP908" s="15">
        <f t="shared" si="564"/>
        <v>1</v>
      </c>
      <c r="AQ908" s="15">
        <f t="shared" si="565"/>
        <v>1</v>
      </c>
      <c r="AR908" s="15">
        <f t="shared" si="566"/>
        <v>1</v>
      </c>
      <c r="AS908" s="15">
        <f t="shared" si="567"/>
        <v>1</v>
      </c>
      <c r="AT908" s="15">
        <f t="shared" si="568"/>
        <v>1</v>
      </c>
      <c r="AU908" s="15">
        <f t="shared" si="569"/>
        <v>1</v>
      </c>
      <c r="AV908" s="15">
        <f t="shared" si="570"/>
        <v>1</v>
      </c>
      <c r="AW908" s="15">
        <f t="shared" si="571"/>
        <v>1</v>
      </c>
      <c r="AX908" s="15">
        <f t="shared" si="572"/>
        <v>1</v>
      </c>
      <c r="AY908" s="15">
        <f t="shared" si="573"/>
        <v>1</v>
      </c>
      <c r="AZ908" s="15">
        <f t="shared" si="574"/>
        <v>1</v>
      </c>
      <c r="BA908" s="15">
        <f t="shared" si="575"/>
        <v>1</v>
      </c>
      <c r="BB908" s="15">
        <f t="shared" si="582"/>
        <v>0</v>
      </c>
      <c r="BC908" s="15" t="str">
        <f t="shared" si="583"/>
        <v/>
      </c>
      <c r="BD908" s="15" t="str">
        <f t="shared" si="584"/>
        <v/>
      </c>
      <c r="BE908" s="11" t="e">
        <f t="shared" si="576"/>
        <v>#VALUE!</v>
      </c>
      <c r="BF908" s="11" t="e">
        <f t="shared" si="577"/>
        <v>#VALUE!</v>
      </c>
      <c r="BG908" s="11" t="e">
        <f t="shared" si="578"/>
        <v>#VALUE!</v>
      </c>
      <c r="BH908" t="str">
        <f t="shared" si="579"/>
        <v/>
      </c>
      <c r="BI908" t="str" cm="1">
        <f t="array" ref="BI908">_xlfn.IFS(
  L908&gt;0,"Critical Fail",
  M908&gt;0,"Important (Coaching)",
  TRUE,"Clean Pass"
)</f>
        <v>Clean Pass</v>
      </c>
      <c r="BJ908" t="str">
        <f t="shared" si="580"/>
        <v>NA</v>
      </c>
    </row>
    <row r="909" spans="1:62" x14ac:dyDescent="0.3">
      <c r="A909">
        <v>385724</v>
      </c>
      <c r="K909" t="str">
        <f t="shared" si="581"/>
        <v>Pass</v>
      </c>
      <c r="L909" s="15">
        <f t="shared" si="546"/>
        <v>0</v>
      </c>
      <c r="M909" s="15">
        <f t="shared" si="547"/>
        <v>0</v>
      </c>
      <c r="Z909" s="15">
        <f t="shared" si="548"/>
        <v>1</v>
      </c>
      <c r="AA909" s="15">
        <f t="shared" si="549"/>
        <v>1</v>
      </c>
      <c r="AB909" s="15">
        <f t="shared" si="550"/>
        <v>1</v>
      </c>
      <c r="AC909" s="15">
        <f t="shared" si="551"/>
        <v>1</v>
      </c>
      <c r="AD909" s="15">
        <f t="shared" si="552"/>
        <v>1</v>
      </c>
      <c r="AE909" s="15">
        <f t="shared" si="553"/>
        <v>1</v>
      </c>
      <c r="AF909" s="15">
        <f t="shared" si="554"/>
        <v>1</v>
      </c>
      <c r="AG909" s="15">
        <f t="shared" si="555"/>
        <v>1</v>
      </c>
      <c r="AH909" s="15">
        <f t="shared" si="556"/>
        <v>1</v>
      </c>
      <c r="AI909" s="15">
        <f t="shared" si="557"/>
        <v>1</v>
      </c>
      <c r="AJ909" s="15">
        <f t="shared" si="558"/>
        <v>1</v>
      </c>
      <c r="AK909" s="15">
        <f t="shared" si="559"/>
        <v>1</v>
      </c>
      <c r="AL909" s="15">
        <f t="shared" si="560"/>
        <v>1</v>
      </c>
      <c r="AM909" s="15">
        <f t="shared" si="561"/>
        <v>1</v>
      </c>
      <c r="AN909" s="15">
        <f t="shared" si="562"/>
        <v>1</v>
      </c>
      <c r="AO909" s="15">
        <f t="shared" si="563"/>
        <v>1</v>
      </c>
      <c r="AP909" s="15">
        <f t="shared" si="564"/>
        <v>1</v>
      </c>
      <c r="AQ909" s="15">
        <f t="shared" si="565"/>
        <v>1</v>
      </c>
      <c r="AR909" s="15">
        <f t="shared" si="566"/>
        <v>1</v>
      </c>
      <c r="AS909" s="15">
        <f t="shared" si="567"/>
        <v>1</v>
      </c>
      <c r="AT909" s="15">
        <f t="shared" si="568"/>
        <v>1</v>
      </c>
      <c r="AU909" s="15">
        <f t="shared" si="569"/>
        <v>1</v>
      </c>
      <c r="AV909" s="15">
        <f t="shared" si="570"/>
        <v>1</v>
      </c>
      <c r="AW909" s="15">
        <f t="shared" si="571"/>
        <v>1</v>
      </c>
      <c r="AX909" s="15">
        <f t="shared" si="572"/>
        <v>1</v>
      </c>
      <c r="AY909" s="15">
        <f t="shared" si="573"/>
        <v>1</v>
      </c>
      <c r="AZ909" s="15">
        <f t="shared" si="574"/>
        <v>1</v>
      </c>
      <c r="BA909" s="15">
        <f t="shared" si="575"/>
        <v>1</v>
      </c>
      <c r="BB909" s="15">
        <f t="shared" si="582"/>
        <v>0</v>
      </c>
      <c r="BC909" s="15" t="str">
        <f t="shared" si="583"/>
        <v/>
      </c>
      <c r="BD909" s="15" t="str">
        <f t="shared" si="584"/>
        <v/>
      </c>
      <c r="BE909" s="11" t="e">
        <f t="shared" si="576"/>
        <v>#VALUE!</v>
      </c>
      <c r="BF909" s="11" t="e">
        <f t="shared" si="577"/>
        <v>#VALUE!</v>
      </c>
      <c r="BG909" s="11" t="e">
        <f t="shared" si="578"/>
        <v>#VALUE!</v>
      </c>
      <c r="BH909" t="str">
        <f t="shared" si="579"/>
        <v/>
      </c>
      <c r="BI909" t="str" cm="1">
        <f t="array" ref="BI909">_xlfn.IFS(
  L909&gt;0,"Critical Fail",
  M909&gt;0,"Important (Coaching)",
  TRUE,"Clean Pass"
)</f>
        <v>Clean Pass</v>
      </c>
      <c r="BJ909" t="str">
        <f t="shared" si="580"/>
        <v>NA</v>
      </c>
    </row>
    <row r="910" spans="1:62" x14ac:dyDescent="0.3">
      <c r="A910">
        <v>451403</v>
      </c>
      <c r="K910" t="str">
        <f t="shared" si="581"/>
        <v>Pass</v>
      </c>
      <c r="L910" s="15">
        <f t="shared" si="546"/>
        <v>0</v>
      </c>
      <c r="M910" s="15">
        <f t="shared" si="547"/>
        <v>0</v>
      </c>
      <c r="Z910" s="15">
        <f t="shared" si="548"/>
        <v>1</v>
      </c>
      <c r="AA910" s="15">
        <f t="shared" si="549"/>
        <v>1</v>
      </c>
      <c r="AB910" s="15">
        <f t="shared" si="550"/>
        <v>1</v>
      </c>
      <c r="AC910" s="15">
        <f t="shared" si="551"/>
        <v>1</v>
      </c>
      <c r="AD910" s="15">
        <f t="shared" si="552"/>
        <v>1</v>
      </c>
      <c r="AE910" s="15">
        <f t="shared" si="553"/>
        <v>1</v>
      </c>
      <c r="AF910" s="15">
        <f t="shared" si="554"/>
        <v>1</v>
      </c>
      <c r="AG910" s="15">
        <f t="shared" si="555"/>
        <v>1</v>
      </c>
      <c r="AH910" s="15">
        <f t="shared" si="556"/>
        <v>1</v>
      </c>
      <c r="AI910" s="15">
        <f t="shared" si="557"/>
        <v>1</v>
      </c>
      <c r="AJ910" s="15">
        <f t="shared" si="558"/>
        <v>1</v>
      </c>
      <c r="AK910" s="15">
        <f t="shared" si="559"/>
        <v>1</v>
      </c>
      <c r="AL910" s="15">
        <f t="shared" si="560"/>
        <v>1</v>
      </c>
      <c r="AM910" s="15">
        <f t="shared" si="561"/>
        <v>1</v>
      </c>
      <c r="AN910" s="15">
        <f t="shared" si="562"/>
        <v>1</v>
      </c>
      <c r="AO910" s="15">
        <f t="shared" si="563"/>
        <v>1</v>
      </c>
      <c r="AP910" s="15">
        <f t="shared" si="564"/>
        <v>1</v>
      </c>
      <c r="AQ910" s="15">
        <f t="shared" si="565"/>
        <v>1</v>
      </c>
      <c r="AR910" s="15">
        <f t="shared" si="566"/>
        <v>1</v>
      </c>
      <c r="AS910" s="15">
        <f t="shared" si="567"/>
        <v>1</v>
      </c>
      <c r="AT910" s="15">
        <f t="shared" si="568"/>
        <v>1</v>
      </c>
      <c r="AU910" s="15">
        <f t="shared" si="569"/>
        <v>1</v>
      </c>
      <c r="AV910" s="15">
        <f t="shared" si="570"/>
        <v>1</v>
      </c>
      <c r="AW910" s="15">
        <f t="shared" si="571"/>
        <v>1</v>
      </c>
      <c r="AX910" s="15">
        <f t="shared" si="572"/>
        <v>1</v>
      </c>
      <c r="AY910" s="15">
        <f t="shared" si="573"/>
        <v>1</v>
      </c>
      <c r="AZ910" s="15">
        <f t="shared" si="574"/>
        <v>1</v>
      </c>
      <c r="BA910" s="15">
        <f t="shared" si="575"/>
        <v>1</v>
      </c>
      <c r="BB910" s="15">
        <f t="shared" si="582"/>
        <v>0</v>
      </c>
      <c r="BC910" s="15" t="str">
        <f t="shared" si="583"/>
        <v/>
      </c>
      <c r="BD910" s="15" t="str">
        <f t="shared" si="584"/>
        <v/>
      </c>
      <c r="BE910" s="11" t="e">
        <f t="shared" si="576"/>
        <v>#VALUE!</v>
      </c>
      <c r="BF910" s="11" t="e">
        <f t="shared" si="577"/>
        <v>#VALUE!</v>
      </c>
      <c r="BG910" s="11" t="e">
        <f t="shared" si="578"/>
        <v>#VALUE!</v>
      </c>
      <c r="BH910" t="str">
        <f t="shared" si="579"/>
        <v/>
      </c>
      <c r="BI910" t="str" cm="1">
        <f t="array" ref="BI910">_xlfn.IFS(
  L910&gt;0,"Critical Fail",
  M910&gt;0,"Important (Coaching)",
  TRUE,"Clean Pass"
)</f>
        <v>Clean Pass</v>
      </c>
      <c r="BJ910" t="str">
        <f t="shared" si="580"/>
        <v>NA</v>
      </c>
    </row>
    <row r="911" spans="1:62" x14ac:dyDescent="0.3">
      <c r="A911">
        <v>996385</v>
      </c>
      <c r="K911" t="str">
        <f t="shared" si="581"/>
        <v>Pass</v>
      </c>
      <c r="L911" s="15">
        <f t="shared" si="546"/>
        <v>0</v>
      </c>
      <c r="M911" s="15">
        <f t="shared" si="547"/>
        <v>0</v>
      </c>
      <c r="Z911" s="15">
        <f t="shared" si="548"/>
        <v>1</v>
      </c>
      <c r="AA911" s="15">
        <f t="shared" si="549"/>
        <v>1</v>
      </c>
      <c r="AB911" s="15">
        <f t="shared" si="550"/>
        <v>1</v>
      </c>
      <c r="AC911" s="15">
        <f t="shared" si="551"/>
        <v>1</v>
      </c>
      <c r="AD911" s="15">
        <f t="shared" si="552"/>
        <v>1</v>
      </c>
      <c r="AE911" s="15">
        <f t="shared" si="553"/>
        <v>1</v>
      </c>
      <c r="AF911" s="15">
        <f t="shared" si="554"/>
        <v>1</v>
      </c>
      <c r="AG911" s="15">
        <f t="shared" si="555"/>
        <v>1</v>
      </c>
      <c r="AH911" s="15">
        <f t="shared" si="556"/>
        <v>1</v>
      </c>
      <c r="AI911" s="15">
        <f t="shared" si="557"/>
        <v>1</v>
      </c>
      <c r="AJ911" s="15">
        <f t="shared" si="558"/>
        <v>1</v>
      </c>
      <c r="AK911" s="15">
        <f t="shared" si="559"/>
        <v>1</v>
      </c>
      <c r="AL911" s="15">
        <f t="shared" si="560"/>
        <v>1</v>
      </c>
      <c r="AM911" s="15">
        <f t="shared" si="561"/>
        <v>1</v>
      </c>
      <c r="AN911" s="15">
        <f t="shared" si="562"/>
        <v>1</v>
      </c>
      <c r="AO911" s="15">
        <f t="shared" si="563"/>
        <v>1</v>
      </c>
      <c r="AP911" s="15">
        <f t="shared" si="564"/>
        <v>1</v>
      </c>
      <c r="AQ911" s="15">
        <f t="shared" si="565"/>
        <v>1</v>
      </c>
      <c r="AR911" s="15">
        <f t="shared" si="566"/>
        <v>1</v>
      </c>
      <c r="AS911" s="15">
        <f t="shared" si="567"/>
        <v>1</v>
      </c>
      <c r="AT911" s="15">
        <f t="shared" si="568"/>
        <v>1</v>
      </c>
      <c r="AU911" s="15">
        <f t="shared" si="569"/>
        <v>1</v>
      </c>
      <c r="AV911" s="15">
        <f t="shared" si="570"/>
        <v>1</v>
      </c>
      <c r="AW911" s="15">
        <f t="shared" si="571"/>
        <v>1</v>
      </c>
      <c r="AX911" s="15">
        <f t="shared" si="572"/>
        <v>1</v>
      </c>
      <c r="AY911" s="15">
        <f t="shared" si="573"/>
        <v>1</v>
      </c>
      <c r="AZ911" s="15">
        <f t="shared" si="574"/>
        <v>1</v>
      </c>
      <c r="BA911" s="15">
        <f t="shared" si="575"/>
        <v>1</v>
      </c>
      <c r="BB911" s="15">
        <f t="shared" si="582"/>
        <v>0</v>
      </c>
      <c r="BC911" s="15" t="str">
        <f t="shared" si="583"/>
        <v/>
      </c>
      <c r="BD911" s="15" t="str">
        <f t="shared" si="584"/>
        <v/>
      </c>
      <c r="BE911" s="11" t="e">
        <f t="shared" si="576"/>
        <v>#VALUE!</v>
      </c>
      <c r="BF911" s="11" t="e">
        <f t="shared" si="577"/>
        <v>#VALUE!</v>
      </c>
      <c r="BG911" s="11" t="e">
        <f t="shared" si="578"/>
        <v>#VALUE!</v>
      </c>
      <c r="BH911" t="str">
        <f t="shared" si="579"/>
        <v/>
      </c>
      <c r="BI911" t="str" cm="1">
        <f t="array" ref="BI911">_xlfn.IFS(
  L911&gt;0,"Critical Fail",
  M911&gt;0,"Important (Coaching)",
  TRUE,"Clean Pass"
)</f>
        <v>Clean Pass</v>
      </c>
      <c r="BJ911" t="str">
        <f t="shared" si="580"/>
        <v>NA</v>
      </c>
    </row>
    <row r="912" spans="1:62" x14ac:dyDescent="0.3">
      <c r="A912">
        <v>653180</v>
      </c>
      <c r="K912" t="str">
        <f t="shared" si="581"/>
        <v>Pass</v>
      </c>
      <c r="L912" s="15">
        <f t="shared" si="546"/>
        <v>0</v>
      </c>
      <c r="M912" s="15">
        <f t="shared" si="547"/>
        <v>0</v>
      </c>
      <c r="Z912" s="15">
        <f t="shared" si="548"/>
        <v>1</v>
      </c>
      <c r="AA912" s="15">
        <f t="shared" si="549"/>
        <v>1</v>
      </c>
      <c r="AB912" s="15">
        <f t="shared" si="550"/>
        <v>1</v>
      </c>
      <c r="AC912" s="15">
        <f t="shared" si="551"/>
        <v>1</v>
      </c>
      <c r="AD912" s="15">
        <f t="shared" si="552"/>
        <v>1</v>
      </c>
      <c r="AE912" s="15">
        <f t="shared" si="553"/>
        <v>1</v>
      </c>
      <c r="AF912" s="15">
        <f t="shared" si="554"/>
        <v>1</v>
      </c>
      <c r="AG912" s="15">
        <f t="shared" si="555"/>
        <v>1</v>
      </c>
      <c r="AH912" s="15">
        <f t="shared" si="556"/>
        <v>1</v>
      </c>
      <c r="AI912" s="15">
        <f t="shared" si="557"/>
        <v>1</v>
      </c>
      <c r="AJ912" s="15">
        <f t="shared" si="558"/>
        <v>1</v>
      </c>
      <c r="AK912" s="15">
        <f t="shared" si="559"/>
        <v>1</v>
      </c>
      <c r="AL912" s="15">
        <f t="shared" si="560"/>
        <v>1</v>
      </c>
      <c r="AM912" s="15">
        <f t="shared" si="561"/>
        <v>1</v>
      </c>
      <c r="AN912" s="15">
        <f t="shared" si="562"/>
        <v>1</v>
      </c>
      <c r="AO912" s="15">
        <f t="shared" si="563"/>
        <v>1</v>
      </c>
      <c r="AP912" s="15">
        <f t="shared" si="564"/>
        <v>1</v>
      </c>
      <c r="AQ912" s="15">
        <f t="shared" si="565"/>
        <v>1</v>
      </c>
      <c r="AR912" s="15">
        <f t="shared" si="566"/>
        <v>1</v>
      </c>
      <c r="AS912" s="15">
        <f t="shared" si="567"/>
        <v>1</v>
      </c>
      <c r="AT912" s="15">
        <f t="shared" si="568"/>
        <v>1</v>
      </c>
      <c r="AU912" s="15">
        <f t="shared" si="569"/>
        <v>1</v>
      </c>
      <c r="AV912" s="15">
        <f t="shared" si="570"/>
        <v>1</v>
      </c>
      <c r="AW912" s="15">
        <f t="shared" si="571"/>
        <v>1</v>
      </c>
      <c r="AX912" s="15">
        <f t="shared" si="572"/>
        <v>1</v>
      </c>
      <c r="AY912" s="15">
        <f t="shared" si="573"/>
        <v>1</v>
      </c>
      <c r="AZ912" s="15">
        <f t="shared" si="574"/>
        <v>1</v>
      </c>
      <c r="BA912" s="15">
        <f t="shared" si="575"/>
        <v>1</v>
      </c>
      <c r="BB912" s="15">
        <f t="shared" si="582"/>
        <v>0</v>
      </c>
      <c r="BC912" s="15" t="str">
        <f t="shared" si="583"/>
        <v/>
      </c>
      <c r="BD912" s="15" t="str">
        <f t="shared" si="584"/>
        <v/>
      </c>
      <c r="BE912" s="11" t="e">
        <f t="shared" si="576"/>
        <v>#VALUE!</v>
      </c>
      <c r="BF912" s="11" t="e">
        <f t="shared" si="577"/>
        <v>#VALUE!</v>
      </c>
      <c r="BG912" s="11" t="e">
        <f t="shared" si="578"/>
        <v>#VALUE!</v>
      </c>
      <c r="BH912" t="str">
        <f t="shared" si="579"/>
        <v/>
      </c>
      <c r="BI912" t="str" cm="1">
        <f t="array" ref="BI912">_xlfn.IFS(
  L912&gt;0,"Critical Fail",
  M912&gt;0,"Important (Coaching)",
  TRUE,"Clean Pass"
)</f>
        <v>Clean Pass</v>
      </c>
      <c r="BJ912" t="str">
        <f t="shared" si="580"/>
        <v>NA</v>
      </c>
    </row>
    <row r="913" spans="1:62" x14ac:dyDescent="0.3">
      <c r="A913">
        <v>206637</v>
      </c>
      <c r="K913" t="str">
        <f t="shared" si="581"/>
        <v>Pass</v>
      </c>
      <c r="L913" s="15">
        <f t="shared" si="546"/>
        <v>0</v>
      </c>
      <c r="M913" s="15">
        <f t="shared" si="547"/>
        <v>0</v>
      </c>
      <c r="Z913" s="15">
        <f t="shared" si="548"/>
        <v>1</v>
      </c>
      <c r="AA913" s="15">
        <f t="shared" si="549"/>
        <v>1</v>
      </c>
      <c r="AB913" s="15">
        <f t="shared" si="550"/>
        <v>1</v>
      </c>
      <c r="AC913" s="15">
        <f t="shared" si="551"/>
        <v>1</v>
      </c>
      <c r="AD913" s="15">
        <f t="shared" si="552"/>
        <v>1</v>
      </c>
      <c r="AE913" s="15">
        <f t="shared" si="553"/>
        <v>1</v>
      </c>
      <c r="AF913" s="15">
        <f t="shared" si="554"/>
        <v>1</v>
      </c>
      <c r="AG913" s="15">
        <f t="shared" si="555"/>
        <v>1</v>
      </c>
      <c r="AH913" s="15">
        <f t="shared" si="556"/>
        <v>1</v>
      </c>
      <c r="AI913" s="15">
        <f t="shared" si="557"/>
        <v>1</v>
      </c>
      <c r="AJ913" s="15">
        <f t="shared" si="558"/>
        <v>1</v>
      </c>
      <c r="AK913" s="15">
        <f t="shared" si="559"/>
        <v>1</v>
      </c>
      <c r="AL913" s="15">
        <f t="shared" si="560"/>
        <v>1</v>
      </c>
      <c r="AM913" s="15">
        <f t="shared" si="561"/>
        <v>1</v>
      </c>
      <c r="AN913" s="15">
        <f t="shared" si="562"/>
        <v>1</v>
      </c>
      <c r="AO913" s="15">
        <f t="shared" si="563"/>
        <v>1</v>
      </c>
      <c r="AP913" s="15">
        <f t="shared" si="564"/>
        <v>1</v>
      </c>
      <c r="AQ913" s="15">
        <f t="shared" si="565"/>
        <v>1</v>
      </c>
      <c r="AR913" s="15">
        <f t="shared" si="566"/>
        <v>1</v>
      </c>
      <c r="AS913" s="15">
        <f t="shared" si="567"/>
        <v>1</v>
      </c>
      <c r="AT913" s="15">
        <f t="shared" si="568"/>
        <v>1</v>
      </c>
      <c r="AU913" s="15">
        <f t="shared" si="569"/>
        <v>1</v>
      </c>
      <c r="AV913" s="15">
        <f t="shared" si="570"/>
        <v>1</v>
      </c>
      <c r="AW913" s="15">
        <f t="shared" si="571"/>
        <v>1</v>
      </c>
      <c r="AX913" s="15">
        <f t="shared" si="572"/>
        <v>1</v>
      </c>
      <c r="AY913" s="15">
        <f t="shared" si="573"/>
        <v>1</v>
      </c>
      <c r="AZ913" s="15">
        <f t="shared" si="574"/>
        <v>1</v>
      </c>
      <c r="BA913" s="15">
        <f t="shared" si="575"/>
        <v>1</v>
      </c>
      <c r="BB913" s="15">
        <f t="shared" si="582"/>
        <v>0</v>
      </c>
      <c r="BC913" s="15" t="str">
        <f t="shared" si="583"/>
        <v/>
      </c>
      <c r="BD913" s="15" t="str">
        <f t="shared" si="584"/>
        <v/>
      </c>
      <c r="BE913" s="11" t="e">
        <f t="shared" si="576"/>
        <v>#VALUE!</v>
      </c>
      <c r="BF913" s="11" t="e">
        <f t="shared" si="577"/>
        <v>#VALUE!</v>
      </c>
      <c r="BG913" s="11" t="e">
        <f t="shared" si="578"/>
        <v>#VALUE!</v>
      </c>
      <c r="BH913" t="str">
        <f t="shared" si="579"/>
        <v/>
      </c>
      <c r="BI913" t="str" cm="1">
        <f t="array" ref="BI913">_xlfn.IFS(
  L913&gt;0,"Critical Fail",
  M913&gt;0,"Important (Coaching)",
  TRUE,"Clean Pass"
)</f>
        <v>Clean Pass</v>
      </c>
      <c r="BJ913" t="str">
        <f t="shared" si="580"/>
        <v>NA</v>
      </c>
    </row>
    <row r="914" spans="1:62" x14ac:dyDescent="0.3">
      <c r="A914">
        <v>637563</v>
      </c>
      <c r="K914" t="str">
        <f t="shared" si="581"/>
        <v>Pass</v>
      </c>
      <c r="L914" s="15">
        <f t="shared" si="546"/>
        <v>0</v>
      </c>
      <c r="M914" s="15">
        <f t="shared" si="547"/>
        <v>0</v>
      </c>
      <c r="Z914" s="15">
        <f t="shared" si="548"/>
        <v>1</v>
      </c>
      <c r="AA914" s="15">
        <f t="shared" si="549"/>
        <v>1</v>
      </c>
      <c r="AB914" s="15">
        <f t="shared" si="550"/>
        <v>1</v>
      </c>
      <c r="AC914" s="15">
        <f t="shared" si="551"/>
        <v>1</v>
      </c>
      <c r="AD914" s="15">
        <f t="shared" si="552"/>
        <v>1</v>
      </c>
      <c r="AE914" s="15">
        <f t="shared" si="553"/>
        <v>1</v>
      </c>
      <c r="AF914" s="15">
        <f t="shared" si="554"/>
        <v>1</v>
      </c>
      <c r="AG914" s="15">
        <f t="shared" si="555"/>
        <v>1</v>
      </c>
      <c r="AH914" s="15">
        <f t="shared" si="556"/>
        <v>1</v>
      </c>
      <c r="AI914" s="15">
        <f t="shared" si="557"/>
        <v>1</v>
      </c>
      <c r="AJ914" s="15">
        <f t="shared" si="558"/>
        <v>1</v>
      </c>
      <c r="AK914" s="15">
        <f t="shared" si="559"/>
        <v>1</v>
      </c>
      <c r="AL914" s="15">
        <f t="shared" si="560"/>
        <v>1</v>
      </c>
      <c r="AM914" s="15">
        <f t="shared" si="561"/>
        <v>1</v>
      </c>
      <c r="AN914" s="15">
        <f t="shared" si="562"/>
        <v>1</v>
      </c>
      <c r="AO914" s="15">
        <f t="shared" si="563"/>
        <v>1</v>
      </c>
      <c r="AP914" s="15">
        <f t="shared" si="564"/>
        <v>1</v>
      </c>
      <c r="AQ914" s="15">
        <f t="shared" si="565"/>
        <v>1</v>
      </c>
      <c r="AR914" s="15">
        <f t="shared" si="566"/>
        <v>1</v>
      </c>
      <c r="AS914" s="15">
        <f t="shared" si="567"/>
        <v>1</v>
      </c>
      <c r="AT914" s="15">
        <f t="shared" si="568"/>
        <v>1</v>
      </c>
      <c r="AU914" s="15">
        <f t="shared" si="569"/>
        <v>1</v>
      </c>
      <c r="AV914" s="15">
        <f t="shared" si="570"/>
        <v>1</v>
      </c>
      <c r="AW914" s="15">
        <f t="shared" si="571"/>
        <v>1</v>
      </c>
      <c r="AX914" s="15">
        <f t="shared" si="572"/>
        <v>1</v>
      </c>
      <c r="AY914" s="15">
        <f t="shared" si="573"/>
        <v>1</v>
      </c>
      <c r="AZ914" s="15">
        <f t="shared" si="574"/>
        <v>1</v>
      </c>
      <c r="BA914" s="15">
        <f t="shared" si="575"/>
        <v>1</v>
      </c>
      <c r="BB914" s="15">
        <f t="shared" si="582"/>
        <v>0</v>
      </c>
      <c r="BC914" s="15" t="str">
        <f t="shared" si="583"/>
        <v/>
      </c>
      <c r="BD914" s="15" t="str">
        <f t="shared" si="584"/>
        <v/>
      </c>
      <c r="BE914" s="11" t="e">
        <f t="shared" si="576"/>
        <v>#VALUE!</v>
      </c>
      <c r="BF914" s="11" t="e">
        <f t="shared" si="577"/>
        <v>#VALUE!</v>
      </c>
      <c r="BG914" s="11" t="e">
        <f t="shared" si="578"/>
        <v>#VALUE!</v>
      </c>
      <c r="BH914" t="str">
        <f t="shared" si="579"/>
        <v/>
      </c>
      <c r="BI914" t="str" cm="1">
        <f t="array" ref="BI914">_xlfn.IFS(
  L914&gt;0,"Critical Fail",
  M914&gt;0,"Important (Coaching)",
  TRUE,"Clean Pass"
)</f>
        <v>Clean Pass</v>
      </c>
      <c r="BJ914" t="str">
        <f t="shared" si="580"/>
        <v>NA</v>
      </c>
    </row>
    <row r="915" spans="1:62" x14ac:dyDescent="0.3">
      <c r="A915">
        <v>903950</v>
      </c>
      <c r="K915" t="str">
        <f t="shared" si="581"/>
        <v>Pass</v>
      </c>
      <c r="L915" s="15">
        <f t="shared" si="546"/>
        <v>0</v>
      </c>
      <c r="M915" s="15">
        <f t="shared" si="547"/>
        <v>0</v>
      </c>
      <c r="Z915" s="15">
        <f t="shared" si="548"/>
        <v>1</v>
      </c>
      <c r="AA915" s="15">
        <f t="shared" si="549"/>
        <v>1</v>
      </c>
      <c r="AB915" s="15">
        <f t="shared" si="550"/>
        <v>1</v>
      </c>
      <c r="AC915" s="15">
        <f t="shared" si="551"/>
        <v>1</v>
      </c>
      <c r="AD915" s="15">
        <f t="shared" si="552"/>
        <v>1</v>
      </c>
      <c r="AE915" s="15">
        <f t="shared" si="553"/>
        <v>1</v>
      </c>
      <c r="AF915" s="15">
        <f t="shared" si="554"/>
        <v>1</v>
      </c>
      <c r="AG915" s="15">
        <f t="shared" si="555"/>
        <v>1</v>
      </c>
      <c r="AH915" s="15">
        <f t="shared" si="556"/>
        <v>1</v>
      </c>
      <c r="AI915" s="15">
        <f t="shared" si="557"/>
        <v>1</v>
      </c>
      <c r="AJ915" s="15">
        <f t="shared" si="558"/>
        <v>1</v>
      </c>
      <c r="AK915" s="15">
        <f t="shared" si="559"/>
        <v>1</v>
      </c>
      <c r="AL915" s="15">
        <f t="shared" si="560"/>
        <v>1</v>
      </c>
      <c r="AM915" s="15">
        <f t="shared" si="561"/>
        <v>1</v>
      </c>
      <c r="AN915" s="15">
        <f t="shared" si="562"/>
        <v>1</v>
      </c>
      <c r="AO915" s="15">
        <f t="shared" si="563"/>
        <v>1</v>
      </c>
      <c r="AP915" s="15">
        <f t="shared" si="564"/>
        <v>1</v>
      </c>
      <c r="AQ915" s="15">
        <f t="shared" si="565"/>
        <v>1</v>
      </c>
      <c r="AR915" s="15">
        <f t="shared" si="566"/>
        <v>1</v>
      </c>
      <c r="AS915" s="15">
        <f t="shared" si="567"/>
        <v>1</v>
      </c>
      <c r="AT915" s="15">
        <f t="shared" si="568"/>
        <v>1</v>
      </c>
      <c r="AU915" s="15">
        <f t="shared" si="569"/>
        <v>1</v>
      </c>
      <c r="AV915" s="15">
        <f t="shared" si="570"/>
        <v>1</v>
      </c>
      <c r="AW915" s="15">
        <f t="shared" si="571"/>
        <v>1</v>
      </c>
      <c r="AX915" s="15">
        <f t="shared" si="572"/>
        <v>1</v>
      </c>
      <c r="AY915" s="15">
        <f t="shared" si="573"/>
        <v>1</v>
      </c>
      <c r="AZ915" s="15">
        <f t="shared" si="574"/>
        <v>1</v>
      </c>
      <c r="BA915" s="15">
        <f t="shared" si="575"/>
        <v>1</v>
      </c>
      <c r="BB915" s="15">
        <f t="shared" si="582"/>
        <v>0</v>
      </c>
      <c r="BC915" s="15" t="str">
        <f t="shared" si="583"/>
        <v/>
      </c>
      <c r="BD915" s="15" t="str">
        <f t="shared" si="584"/>
        <v/>
      </c>
      <c r="BE915" s="11" t="e">
        <f t="shared" si="576"/>
        <v>#VALUE!</v>
      </c>
      <c r="BF915" s="11" t="e">
        <f t="shared" si="577"/>
        <v>#VALUE!</v>
      </c>
      <c r="BG915" s="11" t="e">
        <f t="shared" si="578"/>
        <v>#VALUE!</v>
      </c>
      <c r="BH915" t="str">
        <f t="shared" si="579"/>
        <v/>
      </c>
      <c r="BI915" t="str" cm="1">
        <f t="array" ref="BI915">_xlfn.IFS(
  L915&gt;0,"Critical Fail",
  M915&gt;0,"Important (Coaching)",
  TRUE,"Clean Pass"
)</f>
        <v>Clean Pass</v>
      </c>
      <c r="BJ915" t="str">
        <f t="shared" si="580"/>
        <v>NA</v>
      </c>
    </row>
    <row r="916" spans="1:62" x14ac:dyDescent="0.3">
      <c r="A916">
        <v>769327</v>
      </c>
      <c r="K916" t="str">
        <f t="shared" si="581"/>
        <v>Pass</v>
      </c>
      <c r="L916" s="15">
        <f t="shared" si="546"/>
        <v>0</v>
      </c>
      <c r="M916" s="15">
        <f t="shared" si="547"/>
        <v>0</v>
      </c>
      <c r="Z916" s="15">
        <f t="shared" si="548"/>
        <v>1</v>
      </c>
      <c r="AA916" s="15">
        <f t="shared" si="549"/>
        <v>1</v>
      </c>
      <c r="AB916" s="15">
        <f t="shared" si="550"/>
        <v>1</v>
      </c>
      <c r="AC916" s="15">
        <f t="shared" si="551"/>
        <v>1</v>
      </c>
      <c r="AD916" s="15">
        <f t="shared" si="552"/>
        <v>1</v>
      </c>
      <c r="AE916" s="15">
        <f t="shared" si="553"/>
        <v>1</v>
      </c>
      <c r="AF916" s="15">
        <f t="shared" si="554"/>
        <v>1</v>
      </c>
      <c r="AG916" s="15">
        <f t="shared" si="555"/>
        <v>1</v>
      </c>
      <c r="AH916" s="15">
        <f t="shared" si="556"/>
        <v>1</v>
      </c>
      <c r="AI916" s="15">
        <f t="shared" si="557"/>
        <v>1</v>
      </c>
      <c r="AJ916" s="15">
        <f t="shared" si="558"/>
        <v>1</v>
      </c>
      <c r="AK916" s="15">
        <f t="shared" si="559"/>
        <v>1</v>
      </c>
      <c r="AL916" s="15">
        <f t="shared" si="560"/>
        <v>1</v>
      </c>
      <c r="AM916" s="15">
        <f t="shared" si="561"/>
        <v>1</v>
      </c>
      <c r="AN916" s="15">
        <f t="shared" si="562"/>
        <v>1</v>
      </c>
      <c r="AO916" s="15">
        <f t="shared" si="563"/>
        <v>1</v>
      </c>
      <c r="AP916" s="15">
        <f t="shared" si="564"/>
        <v>1</v>
      </c>
      <c r="AQ916" s="15">
        <f t="shared" si="565"/>
        <v>1</v>
      </c>
      <c r="AR916" s="15">
        <f t="shared" si="566"/>
        <v>1</v>
      </c>
      <c r="AS916" s="15">
        <f t="shared" si="567"/>
        <v>1</v>
      </c>
      <c r="AT916" s="15">
        <f t="shared" si="568"/>
        <v>1</v>
      </c>
      <c r="AU916" s="15">
        <f t="shared" si="569"/>
        <v>1</v>
      </c>
      <c r="AV916" s="15">
        <f t="shared" si="570"/>
        <v>1</v>
      </c>
      <c r="AW916" s="15">
        <f t="shared" si="571"/>
        <v>1</v>
      </c>
      <c r="AX916" s="15">
        <f t="shared" si="572"/>
        <v>1</v>
      </c>
      <c r="AY916" s="15">
        <f t="shared" si="573"/>
        <v>1</v>
      </c>
      <c r="AZ916" s="15">
        <f t="shared" si="574"/>
        <v>1</v>
      </c>
      <c r="BA916" s="15">
        <f t="shared" si="575"/>
        <v>1</v>
      </c>
      <c r="BB916" s="15">
        <f t="shared" si="582"/>
        <v>0</v>
      </c>
      <c r="BC916" s="15" t="str">
        <f t="shared" si="583"/>
        <v/>
      </c>
      <c r="BD916" s="15" t="str">
        <f t="shared" si="584"/>
        <v/>
      </c>
      <c r="BE916" s="11" t="e">
        <f t="shared" si="576"/>
        <v>#VALUE!</v>
      </c>
      <c r="BF916" s="11" t="e">
        <f t="shared" si="577"/>
        <v>#VALUE!</v>
      </c>
      <c r="BG916" s="11" t="e">
        <f t="shared" si="578"/>
        <v>#VALUE!</v>
      </c>
      <c r="BH916" t="str">
        <f t="shared" si="579"/>
        <v/>
      </c>
      <c r="BI916" t="str" cm="1">
        <f t="array" ref="BI916">_xlfn.IFS(
  L916&gt;0,"Critical Fail",
  M916&gt;0,"Important (Coaching)",
  TRUE,"Clean Pass"
)</f>
        <v>Clean Pass</v>
      </c>
      <c r="BJ916" t="str">
        <f t="shared" si="580"/>
        <v>NA</v>
      </c>
    </row>
    <row r="917" spans="1:62" x14ac:dyDescent="0.3">
      <c r="A917">
        <v>561953</v>
      </c>
      <c r="K917" t="str">
        <f t="shared" si="581"/>
        <v>Pass</v>
      </c>
      <c r="L917" s="15">
        <f t="shared" si="546"/>
        <v>0</v>
      </c>
      <c r="M917" s="15">
        <f t="shared" si="547"/>
        <v>0</v>
      </c>
      <c r="Z917" s="15">
        <f t="shared" si="548"/>
        <v>1</v>
      </c>
      <c r="AA917" s="15">
        <f t="shared" si="549"/>
        <v>1</v>
      </c>
      <c r="AB917" s="15">
        <f t="shared" si="550"/>
        <v>1</v>
      </c>
      <c r="AC917" s="15">
        <f t="shared" si="551"/>
        <v>1</v>
      </c>
      <c r="AD917" s="15">
        <f t="shared" si="552"/>
        <v>1</v>
      </c>
      <c r="AE917" s="15">
        <f t="shared" si="553"/>
        <v>1</v>
      </c>
      <c r="AF917" s="15">
        <f t="shared" si="554"/>
        <v>1</v>
      </c>
      <c r="AG917" s="15">
        <f t="shared" si="555"/>
        <v>1</v>
      </c>
      <c r="AH917" s="15">
        <f t="shared" si="556"/>
        <v>1</v>
      </c>
      <c r="AI917" s="15">
        <f t="shared" si="557"/>
        <v>1</v>
      </c>
      <c r="AJ917" s="15">
        <f t="shared" si="558"/>
        <v>1</v>
      </c>
      <c r="AK917" s="15">
        <f t="shared" si="559"/>
        <v>1</v>
      </c>
      <c r="AL917" s="15">
        <f t="shared" si="560"/>
        <v>1</v>
      </c>
      <c r="AM917" s="15">
        <f t="shared" si="561"/>
        <v>1</v>
      </c>
      <c r="AN917" s="15">
        <f t="shared" si="562"/>
        <v>1</v>
      </c>
      <c r="AO917" s="15">
        <f t="shared" si="563"/>
        <v>1</v>
      </c>
      <c r="AP917" s="15">
        <f t="shared" si="564"/>
        <v>1</v>
      </c>
      <c r="AQ917" s="15">
        <f t="shared" si="565"/>
        <v>1</v>
      </c>
      <c r="AR917" s="15">
        <f t="shared" si="566"/>
        <v>1</v>
      </c>
      <c r="AS917" s="15">
        <f t="shared" si="567"/>
        <v>1</v>
      </c>
      <c r="AT917" s="15">
        <f t="shared" si="568"/>
        <v>1</v>
      </c>
      <c r="AU917" s="15">
        <f t="shared" si="569"/>
        <v>1</v>
      </c>
      <c r="AV917" s="15">
        <f t="shared" si="570"/>
        <v>1</v>
      </c>
      <c r="AW917" s="15">
        <f t="shared" si="571"/>
        <v>1</v>
      </c>
      <c r="AX917" s="15">
        <f t="shared" si="572"/>
        <v>1</v>
      </c>
      <c r="AY917" s="15">
        <f t="shared" si="573"/>
        <v>1</v>
      </c>
      <c r="AZ917" s="15">
        <f t="shared" si="574"/>
        <v>1</v>
      </c>
      <c r="BA917" s="15">
        <f t="shared" si="575"/>
        <v>1</v>
      </c>
      <c r="BB917" s="15">
        <f t="shared" si="582"/>
        <v>0</v>
      </c>
      <c r="BC917" s="15" t="str">
        <f t="shared" si="583"/>
        <v/>
      </c>
      <c r="BD917" s="15" t="str">
        <f t="shared" si="584"/>
        <v/>
      </c>
      <c r="BE917" s="11" t="e">
        <f t="shared" si="576"/>
        <v>#VALUE!</v>
      </c>
      <c r="BF917" s="11" t="e">
        <f t="shared" si="577"/>
        <v>#VALUE!</v>
      </c>
      <c r="BG917" s="11" t="e">
        <f t="shared" si="578"/>
        <v>#VALUE!</v>
      </c>
      <c r="BH917" t="str">
        <f t="shared" si="579"/>
        <v/>
      </c>
      <c r="BI917" t="str" cm="1">
        <f t="array" ref="BI917">_xlfn.IFS(
  L917&gt;0,"Critical Fail",
  M917&gt;0,"Important (Coaching)",
  TRUE,"Clean Pass"
)</f>
        <v>Clean Pass</v>
      </c>
      <c r="BJ917" t="str">
        <f t="shared" si="580"/>
        <v>NA</v>
      </c>
    </row>
    <row r="918" spans="1:62" x14ac:dyDescent="0.3">
      <c r="A918">
        <v>617405</v>
      </c>
      <c r="K918" t="str">
        <f t="shared" si="581"/>
        <v>Pass</v>
      </c>
      <c r="L918" s="15">
        <f t="shared" si="546"/>
        <v>0</v>
      </c>
      <c r="M918" s="15">
        <f t="shared" si="547"/>
        <v>0</v>
      </c>
      <c r="Z918" s="15">
        <f t="shared" si="548"/>
        <v>1</v>
      </c>
      <c r="AA918" s="15">
        <f t="shared" si="549"/>
        <v>1</v>
      </c>
      <c r="AB918" s="15">
        <f t="shared" si="550"/>
        <v>1</v>
      </c>
      <c r="AC918" s="15">
        <f t="shared" si="551"/>
        <v>1</v>
      </c>
      <c r="AD918" s="15">
        <f t="shared" si="552"/>
        <v>1</v>
      </c>
      <c r="AE918" s="15">
        <f t="shared" si="553"/>
        <v>1</v>
      </c>
      <c r="AF918" s="15">
        <f t="shared" si="554"/>
        <v>1</v>
      </c>
      <c r="AG918" s="15">
        <f t="shared" si="555"/>
        <v>1</v>
      </c>
      <c r="AH918" s="15">
        <f t="shared" si="556"/>
        <v>1</v>
      </c>
      <c r="AI918" s="15">
        <f t="shared" si="557"/>
        <v>1</v>
      </c>
      <c r="AJ918" s="15">
        <f t="shared" si="558"/>
        <v>1</v>
      </c>
      <c r="AK918" s="15">
        <f t="shared" si="559"/>
        <v>1</v>
      </c>
      <c r="AL918" s="15">
        <f t="shared" si="560"/>
        <v>1</v>
      </c>
      <c r="AM918" s="15">
        <f t="shared" si="561"/>
        <v>1</v>
      </c>
      <c r="AN918" s="15">
        <f t="shared" si="562"/>
        <v>1</v>
      </c>
      <c r="AO918" s="15">
        <f t="shared" si="563"/>
        <v>1</v>
      </c>
      <c r="AP918" s="15">
        <f t="shared" si="564"/>
        <v>1</v>
      </c>
      <c r="AQ918" s="15">
        <f t="shared" si="565"/>
        <v>1</v>
      </c>
      <c r="AR918" s="15">
        <f t="shared" si="566"/>
        <v>1</v>
      </c>
      <c r="AS918" s="15">
        <f t="shared" si="567"/>
        <v>1</v>
      </c>
      <c r="AT918" s="15">
        <f t="shared" si="568"/>
        <v>1</v>
      </c>
      <c r="AU918" s="15">
        <f t="shared" si="569"/>
        <v>1</v>
      </c>
      <c r="AV918" s="15">
        <f t="shared" si="570"/>
        <v>1</v>
      </c>
      <c r="AW918" s="15">
        <f t="shared" si="571"/>
        <v>1</v>
      </c>
      <c r="AX918" s="15">
        <f t="shared" si="572"/>
        <v>1</v>
      </c>
      <c r="AY918" s="15">
        <f t="shared" si="573"/>
        <v>1</v>
      </c>
      <c r="AZ918" s="15">
        <f t="shared" si="574"/>
        <v>1</v>
      </c>
      <c r="BA918" s="15">
        <f t="shared" si="575"/>
        <v>1</v>
      </c>
      <c r="BB918" s="15">
        <f t="shared" si="582"/>
        <v>0</v>
      </c>
      <c r="BC918" s="15" t="str">
        <f t="shared" si="583"/>
        <v/>
      </c>
      <c r="BD918" s="15" t="str">
        <f t="shared" si="584"/>
        <v/>
      </c>
      <c r="BE918" s="11" t="e">
        <f t="shared" si="576"/>
        <v>#VALUE!</v>
      </c>
      <c r="BF918" s="11" t="e">
        <f t="shared" si="577"/>
        <v>#VALUE!</v>
      </c>
      <c r="BG918" s="11" t="e">
        <f t="shared" si="578"/>
        <v>#VALUE!</v>
      </c>
      <c r="BH918" t="str">
        <f t="shared" si="579"/>
        <v/>
      </c>
      <c r="BI918" t="str" cm="1">
        <f t="array" ref="BI918">_xlfn.IFS(
  L918&gt;0,"Critical Fail",
  M918&gt;0,"Important (Coaching)",
  TRUE,"Clean Pass"
)</f>
        <v>Clean Pass</v>
      </c>
      <c r="BJ918" t="str">
        <f t="shared" si="580"/>
        <v>NA</v>
      </c>
    </row>
    <row r="919" spans="1:62" x14ac:dyDescent="0.3">
      <c r="A919">
        <v>666899</v>
      </c>
      <c r="K919" t="str">
        <f t="shared" si="581"/>
        <v>Pass</v>
      </c>
      <c r="L919" s="15">
        <f t="shared" si="546"/>
        <v>0</v>
      </c>
      <c r="M919" s="15">
        <f t="shared" si="547"/>
        <v>0</v>
      </c>
      <c r="Z919" s="15">
        <f t="shared" si="548"/>
        <v>1</v>
      </c>
      <c r="AA919" s="15">
        <f t="shared" si="549"/>
        <v>1</v>
      </c>
      <c r="AB919" s="15">
        <f t="shared" si="550"/>
        <v>1</v>
      </c>
      <c r="AC919" s="15">
        <f t="shared" si="551"/>
        <v>1</v>
      </c>
      <c r="AD919" s="15">
        <f t="shared" si="552"/>
        <v>1</v>
      </c>
      <c r="AE919" s="15">
        <f t="shared" si="553"/>
        <v>1</v>
      </c>
      <c r="AF919" s="15">
        <f t="shared" si="554"/>
        <v>1</v>
      </c>
      <c r="AG919" s="15">
        <f t="shared" si="555"/>
        <v>1</v>
      </c>
      <c r="AH919" s="15">
        <f t="shared" si="556"/>
        <v>1</v>
      </c>
      <c r="AI919" s="15">
        <f t="shared" si="557"/>
        <v>1</v>
      </c>
      <c r="AJ919" s="15">
        <f t="shared" si="558"/>
        <v>1</v>
      </c>
      <c r="AK919" s="15">
        <f t="shared" si="559"/>
        <v>1</v>
      </c>
      <c r="AL919" s="15">
        <f t="shared" si="560"/>
        <v>1</v>
      </c>
      <c r="AM919" s="15">
        <f t="shared" si="561"/>
        <v>1</v>
      </c>
      <c r="AN919" s="15">
        <f t="shared" si="562"/>
        <v>1</v>
      </c>
      <c r="AO919" s="15">
        <f t="shared" si="563"/>
        <v>1</v>
      </c>
      <c r="AP919" s="15">
        <f t="shared" si="564"/>
        <v>1</v>
      </c>
      <c r="AQ919" s="15">
        <f t="shared" si="565"/>
        <v>1</v>
      </c>
      <c r="AR919" s="15">
        <f t="shared" si="566"/>
        <v>1</v>
      </c>
      <c r="AS919" s="15">
        <f t="shared" si="567"/>
        <v>1</v>
      </c>
      <c r="AT919" s="15">
        <f t="shared" si="568"/>
        <v>1</v>
      </c>
      <c r="AU919" s="15">
        <f t="shared" si="569"/>
        <v>1</v>
      </c>
      <c r="AV919" s="15">
        <f t="shared" si="570"/>
        <v>1</v>
      </c>
      <c r="AW919" s="15">
        <f t="shared" si="571"/>
        <v>1</v>
      </c>
      <c r="AX919" s="15">
        <f t="shared" si="572"/>
        <v>1</v>
      </c>
      <c r="AY919" s="15">
        <f t="shared" si="573"/>
        <v>1</v>
      </c>
      <c r="AZ919" s="15">
        <f t="shared" si="574"/>
        <v>1</v>
      </c>
      <c r="BA919" s="15">
        <f t="shared" si="575"/>
        <v>1</v>
      </c>
      <c r="BB919" s="15">
        <f t="shared" si="582"/>
        <v>0</v>
      </c>
      <c r="BC919" s="15" t="str">
        <f t="shared" si="583"/>
        <v/>
      </c>
      <c r="BD919" s="15" t="str">
        <f t="shared" si="584"/>
        <v/>
      </c>
      <c r="BE919" s="11" t="e">
        <f t="shared" si="576"/>
        <v>#VALUE!</v>
      </c>
      <c r="BF919" s="11" t="e">
        <f t="shared" si="577"/>
        <v>#VALUE!</v>
      </c>
      <c r="BG919" s="11" t="e">
        <f t="shared" si="578"/>
        <v>#VALUE!</v>
      </c>
      <c r="BH919" t="str">
        <f t="shared" si="579"/>
        <v/>
      </c>
      <c r="BI919" t="str" cm="1">
        <f t="array" ref="BI919">_xlfn.IFS(
  L919&gt;0,"Critical Fail",
  M919&gt;0,"Important (Coaching)",
  TRUE,"Clean Pass"
)</f>
        <v>Clean Pass</v>
      </c>
      <c r="BJ919" t="str">
        <f t="shared" si="580"/>
        <v>NA</v>
      </c>
    </row>
    <row r="920" spans="1:62" x14ac:dyDescent="0.3">
      <c r="A920">
        <v>633594</v>
      </c>
      <c r="K920" t="str">
        <f t="shared" si="581"/>
        <v>Pass</v>
      </c>
      <c r="L920" s="15">
        <f t="shared" si="546"/>
        <v>0</v>
      </c>
      <c r="M920" s="15">
        <f t="shared" si="547"/>
        <v>0</v>
      </c>
      <c r="Z920" s="15">
        <f t="shared" si="548"/>
        <v>1</v>
      </c>
      <c r="AA920" s="15">
        <f t="shared" si="549"/>
        <v>1</v>
      </c>
      <c r="AB920" s="15">
        <f t="shared" si="550"/>
        <v>1</v>
      </c>
      <c r="AC920" s="15">
        <f t="shared" si="551"/>
        <v>1</v>
      </c>
      <c r="AD920" s="15">
        <f t="shared" si="552"/>
        <v>1</v>
      </c>
      <c r="AE920" s="15">
        <f t="shared" si="553"/>
        <v>1</v>
      </c>
      <c r="AF920" s="15">
        <f t="shared" si="554"/>
        <v>1</v>
      </c>
      <c r="AG920" s="15">
        <f t="shared" si="555"/>
        <v>1</v>
      </c>
      <c r="AH920" s="15">
        <f t="shared" si="556"/>
        <v>1</v>
      </c>
      <c r="AI920" s="15">
        <f t="shared" si="557"/>
        <v>1</v>
      </c>
      <c r="AJ920" s="15">
        <f t="shared" si="558"/>
        <v>1</v>
      </c>
      <c r="AK920" s="15">
        <f t="shared" si="559"/>
        <v>1</v>
      </c>
      <c r="AL920" s="15">
        <f t="shared" si="560"/>
        <v>1</v>
      </c>
      <c r="AM920" s="15">
        <f t="shared" si="561"/>
        <v>1</v>
      </c>
      <c r="AN920" s="15">
        <f t="shared" si="562"/>
        <v>1</v>
      </c>
      <c r="AO920" s="15">
        <f t="shared" si="563"/>
        <v>1</v>
      </c>
      <c r="AP920" s="15">
        <f t="shared" si="564"/>
        <v>1</v>
      </c>
      <c r="AQ920" s="15">
        <f t="shared" si="565"/>
        <v>1</v>
      </c>
      <c r="AR920" s="15">
        <f t="shared" si="566"/>
        <v>1</v>
      </c>
      <c r="AS920" s="15">
        <f t="shared" si="567"/>
        <v>1</v>
      </c>
      <c r="AT920" s="15">
        <f t="shared" si="568"/>
        <v>1</v>
      </c>
      <c r="AU920" s="15">
        <f t="shared" si="569"/>
        <v>1</v>
      </c>
      <c r="AV920" s="15">
        <f t="shared" si="570"/>
        <v>1</v>
      </c>
      <c r="AW920" s="15">
        <f t="shared" si="571"/>
        <v>1</v>
      </c>
      <c r="AX920" s="15">
        <f t="shared" si="572"/>
        <v>1</v>
      </c>
      <c r="AY920" s="15">
        <f t="shared" si="573"/>
        <v>1</v>
      </c>
      <c r="AZ920" s="15">
        <f t="shared" si="574"/>
        <v>1</v>
      </c>
      <c r="BA920" s="15">
        <f t="shared" si="575"/>
        <v>1</v>
      </c>
      <c r="BB920" s="15">
        <f t="shared" si="582"/>
        <v>0</v>
      </c>
      <c r="BC920" s="15" t="str">
        <f t="shared" si="583"/>
        <v/>
      </c>
      <c r="BD920" s="15" t="str">
        <f t="shared" si="584"/>
        <v/>
      </c>
      <c r="BE920" s="11" t="e">
        <f t="shared" si="576"/>
        <v>#VALUE!</v>
      </c>
      <c r="BF920" s="11" t="e">
        <f t="shared" si="577"/>
        <v>#VALUE!</v>
      </c>
      <c r="BG920" s="11" t="e">
        <f t="shared" si="578"/>
        <v>#VALUE!</v>
      </c>
      <c r="BH920" t="str">
        <f t="shared" si="579"/>
        <v/>
      </c>
      <c r="BI920" t="str" cm="1">
        <f t="array" ref="BI920">_xlfn.IFS(
  L920&gt;0,"Critical Fail",
  M920&gt;0,"Important (Coaching)",
  TRUE,"Clean Pass"
)</f>
        <v>Clean Pass</v>
      </c>
      <c r="BJ920" t="str">
        <f t="shared" si="580"/>
        <v>NA</v>
      </c>
    </row>
    <row r="921" spans="1:62" x14ac:dyDescent="0.3">
      <c r="A921">
        <v>783043</v>
      </c>
      <c r="K921" t="str">
        <f t="shared" si="581"/>
        <v>Pass</v>
      </c>
      <c r="L921" s="15">
        <f t="shared" si="546"/>
        <v>0</v>
      </c>
      <c r="M921" s="15">
        <f t="shared" si="547"/>
        <v>0</v>
      </c>
      <c r="Z921" s="15">
        <f t="shared" si="548"/>
        <v>1</v>
      </c>
      <c r="AA921" s="15">
        <f t="shared" si="549"/>
        <v>1</v>
      </c>
      <c r="AB921" s="15">
        <f t="shared" si="550"/>
        <v>1</v>
      </c>
      <c r="AC921" s="15">
        <f t="shared" si="551"/>
        <v>1</v>
      </c>
      <c r="AD921" s="15">
        <f t="shared" si="552"/>
        <v>1</v>
      </c>
      <c r="AE921" s="15">
        <f t="shared" si="553"/>
        <v>1</v>
      </c>
      <c r="AF921" s="15">
        <f t="shared" si="554"/>
        <v>1</v>
      </c>
      <c r="AG921" s="15">
        <f t="shared" si="555"/>
        <v>1</v>
      </c>
      <c r="AH921" s="15">
        <f t="shared" si="556"/>
        <v>1</v>
      </c>
      <c r="AI921" s="15">
        <f t="shared" si="557"/>
        <v>1</v>
      </c>
      <c r="AJ921" s="15">
        <f t="shared" si="558"/>
        <v>1</v>
      </c>
      <c r="AK921" s="15">
        <f t="shared" si="559"/>
        <v>1</v>
      </c>
      <c r="AL921" s="15">
        <f t="shared" si="560"/>
        <v>1</v>
      </c>
      <c r="AM921" s="15">
        <f t="shared" si="561"/>
        <v>1</v>
      </c>
      <c r="AN921" s="15">
        <f t="shared" si="562"/>
        <v>1</v>
      </c>
      <c r="AO921" s="15">
        <f t="shared" si="563"/>
        <v>1</v>
      </c>
      <c r="AP921" s="15">
        <f t="shared" si="564"/>
        <v>1</v>
      </c>
      <c r="AQ921" s="15">
        <f t="shared" si="565"/>
        <v>1</v>
      </c>
      <c r="AR921" s="15">
        <f t="shared" si="566"/>
        <v>1</v>
      </c>
      <c r="AS921" s="15">
        <f t="shared" si="567"/>
        <v>1</v>
      </c>
      <c r="AT921" s="15">
        <f t="shared" si="568"/>
        <v>1</v>
      </c>
      <c r="AU921" s="15">
        <f t="shared" si="569"/>
        <v>1</v>
      </c>
      <c r="AV921" s="15">
        <f t="shared" si="570"/>
        <v>1</v>
      </c>
      <c r="AW921" s="15">
        <f t="shared" si="571"/>
        <v>1</v>
      </c>
      <c r="AX921" s="15">
        <f t="shared" si="572"/>
        <v>1</v>
      </c>
      <c r="AY921" s="15">
        <f t="shared" si="573"/>
        <v>1</v>
      </c>
      <c r="AZ921" s="15">
        <f t="shared" si="574"/>
        <v>1</v>
      </c>
      <c r="BA921" s="15">
        <f t="shared" si="575"/>
        <v>1</v>
      </c>
      <c r="BB921" s="15">
        <f t="shared" si="582"/>
        <v>0</v>
      </c>
      <c r="BC921" s="15" t="str">
        <f t="shared" si="583"/>
        <v/>
      </c>
      <c r="BD921" s="15" t="str">
        <f t="shared" si="584"/>
        <v/>
      </c>
      <c r="BE921" s="11" t="e">
        <f t="shared" si="576"/>
        <v>#VALUE!</v>
      </c>
      <c r="BF921" s="11" t="e">
        <f t="shared" si="577"/>
        <v>#VALUE!</v>
      </c>
      <c r="BG921" s="11" t="e">
        <f t="shared" si="578"/>
        <v>#VALUE!</v>
      </c>
      <c r="BH921" t="str">
        <f t="shared" si="579"/>
        <v/>
      </c>
      <c r="BI921" t="str" cm="1">
        <f t="array" ref="BI921">_xlfn.IFS(
  L921&gt;0,"Critical Fail",
  M921&gt;0,"Important (Coaching)",
  TRUE,"Clean Pass"
)</f>
        <v>Clean Pass</v>
      </c>
      <c r="BJ921" t="str">
        <f t="shared" si="580"/>
        <v>NA</v>
      </c>
    </row>
    <row r="922" spans="1:62" x14ac:dyDescent="0.3">
      <c r="A922">
        <v>438948</v>
      </c>
      <c r="K922" t="str">
        <f t="shared" si="581"/>
        <v>Pass</v>
      </c>
      <c r="L922" s="15">
        <f t="shared" ref="L922:L985" si="585">COUNTA(N922,P922,R922)</f>
        <v>0</v>
      </c>
      <c r="M922" s="15">
        <f t="shared" ref="M922:M985" si="586">COUNTA(T922,V922,X922)</f>
        <v>0</v>
      </c>
      <c r="Z922" s="15">
        <f t="shared" ref="Z922:Z985" si="587">IF(AND(G922="DV",ISNUMBER(SEARCH("C1",N922&amp;P922&amp;R922&amp;T922&amp;V922&amp;X922))),0,1)</f>
        <v>1</v>
      </c>
      <c r="AA922" s="15">
        <f t="shared" ref="AA922:AA985" si="588">IF(AND(G922="DV",ISNUMBER(SEARCH("C2",N922&amp;P922&amp;R922&amp;T922&amp;V922&amp;X922))),0,1)</f>
        <v>1</v>
      </c>
      <c r="AB922" s="15">
        <f t="shared" ref="AB922:AB985" si="589">IF(AND(G922="DV",ISNUMBER(SEARCH("C3",N922&amp;P922&amp;R922&amp;T922&amp;V922&amp;X922))),0,1)</f>
        <v>1</v>
      </c>
      <c r="AC922" s="15">
        <f t="shared" ref="AC922:AC985" si="590">IF(AND(G922="DV",ISNUMBER(SEARCH("C4",N922&amp;P922&amp;R922&amp;T922&amp;V922&amp;X922))),0,1)</f>
        <v>1</v>
      </c>
      <c r="AD922" s="15">
        <f t="shared" ref="AD922:AD985" si="591">IF(AND(G922="DV",ISNUMBER(SEARCH("C5",N922&amp;P922&amp;R922&amp;T922&amp;V922&amp;X922))),0,1)</f>
        <v>1</v>
      </c>
      <c r="AE922" s="15">
        <f t="shared" ref="AE922:AE985" si="592">IF(AND(G922="DV",ISNUMBER(SEARCH("C6",N922&amp;P922&amp;R922&amp;T922&amp;V922&amp;X922))),0,1)</f>
        <v>1</v>
      </c>
      <c r="AF922" s="15">
        <f t="shared" ref="AF922:AF985" si="593">IF(AND(G922="DV",ISNUMBER(SEARCH("C7",N922&amp;P922&amp;R922&amp;T922&amp;V922&amp;X922))),0,1)</f>
        <v>1</v>
      </c>
      <c r="AG922" s="15">
        <f t="shared" ref="AG922:AG985" si="594">IF(AND(G922="DV",ISNUMBER(SEARCH("C8",N922&amp;P922&amp;R922&amp;T922&amp;V922&amp;X922))),0,1)</f>
        <v>1</v>
      </c>
      <c r="AH922" s="15">
        <f t="shared" ref="AH922:AH985" si="595">IF(AND(G922="DV",ISNUMBER(SEARCH("C9",N922&amp;P922&amp;R922&amp;T922&amp;V922&amp;X922))),0,1)</f>
        <v>1</v>
      </c>
      <c r="AI922" s="15">
        <f t="shared" ref="AI922:AI985" si="596">IF(AND(G922="DV",ISNUMBER(SEARCH("I1",N922&amp;P922&amp;R922&amp;T922&amp;V922&amp;X922))),0,1)</f>
        <v>1</v>
      </c>
      <c r="AJ922" s="15">
        <f t="shared" ref="AJ922:AJ985" si="597">IF(AND(G922="DV",ISNUMBER(SEARCH("I2",N922&amp;P922&amp;R922&amp;T922&amp;V922&amp;X922))),0,1)</f>
        <v>1</v>
      </c>
      <c r="AK922" s="15">
        <f t="shared" ref="AK922:AK985" si="598">IF(AND(G922="DV",ISNUMBER(SEARCH("I3",N922&amp;P922&amp;R922&amp;T922&amp;V922&amp;X922))),0,1)</f>
        <v>1</v>
      </c>
      <c r="AL922" s="15">
        <f t="shared" ref="AL922:AL985" si="599">IF(AND(G922="AL",ISNUMBER(SEARCH("C1",N922&amp;P922&amp;R922&amp;T922&amp;V922&amp;X922))),0,1)</f>
        <v>1</v>
      </c>
      <c r="AM922" s="15">
        <f t="shared" ref="AM922:AM985" si="600">IF(AND(G922="AL",ISNUMBER(SEARCH("C2",N922&amp;P922&amp;R922&amp;T922&amp;V922&amp;X922))),0,1)</f>
        <v>1</v>
      </c>
      <c r="AN922" s="15">
        <f t="shared" ref="AN922:AN985" si="601">IF(AND(G922="AL",ISNUMBER(SEARCH("C3",N922&amp;P922&amp;R922&amp;T922&amp;V922&amp;X922))),0,1)</f>
        <v>1</v>
      </c>
      <c r="AO922" s="15">
        <f t="shared" ref="AO922:AO985" si="602">IF(AND(G922="AL",ISNUMBER(SEARCH("C4",N922&amp;P922&amp;R922&amp;T922&amp;V922&amp;X922))),0,1)</f>
        <v>1</v>
      </c>
      <c r="AP922" s="15">
        <f t="shared" ref="AP922:AP985" si="603">IF(AND(G922="AL",ISNUMBER(SEARCH("C5",N922&amp;P922&amp;R922&amp;T922&amp;V922&amp;X922))),0,1)</f>
        <v>1</v>
      </c>
      <c r="AQ922" s="15">
        <f t="shared" ref="AQ922:AQ985" si="604">IF(AND(G922="AL",ISNUMBER(SEARCH("C6",N922&amp;P922&amp;R922&amp;T922&amp;V922&amp;X922))),0,1)</f>
        <v>1</v>
      </c>
      <c r="AR922" s="15">
        <f t="shared" ref="AR922:AR985" si="605">IF(AND(G922="AL",ISNUMBER(SEARCH("C7",N922&amp;P922&amp;R922&amp;T922&amp;V922&amp;X922))),0,1)</f>
        <v>1</v>
      </c>
      <c r="AS922" s="15">
        <f t="shared" ref="AS922:AS985" si="606">IF(AND(G922="AL",ISNUMBER(SEARCH("C8",N922&amp;P922&amp;R922&amp;T922&amp;V922&amp;X922))),0,1)</f>
        <v>1</v>
      </c>
      <c r="AT922" s="15">
        <f t="shared" ref="AT922:AT985" si="607">IF(AND(G922="AL",ISNUMBER(SEARCH("C9",N922&amp;P922&amp;R922&amp;T922&amp;V922&amp;X922))),0,1)</f>
        <v>1</v>
      </c>
      <c r="AU922" s="15">
        <f t="shared" ref="AU922:AU985" si="608">IF(AND(G922="AL",ISNUMBER(SEARCH("C10",N922&amp;P922&amp;R922&amp;T922&amp;V922&amp;X922))),0,1)</f>
        <v>1</v>
      </c>
      <c r="AV922" s="15">
        <f t="shared" ref="AV922:AV985" si="609">IF(AND(G922="AL",ISNUMBER(SEARCH("C11",N922&amp;P922&amp;R922&amp;T922&amp;V922&amp;X922))),0,1)</f>
        <v>1</v>
      </c>
      <c r="AW922" s="15">
        <f t="shared" ref="AW922:AW985" si="610">IF(AND(G922="AL",ISNUMBER(SEARCH("C12",N922&amp;P922&amp;R922&amp;T922&amp;V922&amp;X922))),0,1)</f>
        <v>1</v>
      </c>
      <c r="AX922" s="15">
        <f t="shared" ref="AX922:AX985" si="611">IF(AND(G922="AL",ISNUMBER(SEARCH("C13",N922&amp;P922&amp;R922&amp;T922&amp;V922&amp;X922))),0,1)</f>
        <v>1</v>
      </c>
      <c r="AY922" s="15">
        <f t="shared" ref="AY922:AY985" si="612">IF(AND(G922="AL",ISNUMBER(SEARCH("I1",N922&amp;P922&amp;R922&amp;T922&amp;V922&amp;X922))),0,1)</f>
        <v>1</v>
      </c>
      <c r="AZ922" s="15">
        <f t="shared" ref="AZ922:AZ985" si="613">IF(AND(G922="AL",ISNUMBER(SEARCH("I2",N922&amp;P922&amp;R922&amp;T922&amp;V922&amp;X922))),0,1)</f>
        <v>1</v>
      </c>
      <c r="BA922" s="15">
        <f t="shared" ref="BA922:BA985" si="614">IF(AND(G922="AL",ISNUMBER(SEARCH("I3",N922&amp;P922&amp;R922&amp;T922&amp;V922&amp;X922))),0,1)</f>
        <v>1</v>
      </c>
      <c r="BB922" s="15">
        <f t="shared" si="582"/>
        <v>0</v>
      </c>
      <c r="BC922" s="15" t="str">
        <f t="shared" si="583"/>
        <v/>
      </c>
      <c r="BD922" s="15" t="str">
        <f t="shared" si="584"/>
        <v/>
      </c>
      <c r="BE922" s="11" t="e">
        <f t="shared" ref="BE922:BE985" si="615">IF(BC922=0,1,(BC922-L922)/BC922)</f>
        <v>#VALUE!</v>
      </c>
      <c r="BF922" s="11" t="e">
        <f t="shared" ref="BF922:BF985" si="616">IF(BD922=0,1,(BD922-M922)/BD922)</f>
        <v>#VALUE!</v>
      </c>
      <c r="BG922" s="11" t="e">
        <f t="shared" ref="BG922:BG985" si="617">(BE922*0.7)+(BF922*0.3)</f>
        <v>#VALUE!</v>
      </c>
      <c r="BH922" t="str">
        <f t="shared" ref="BH922:BH985" si="618">_xlfn.TEXTJOIN(",",TRUE,N922,P922,R922)</f>
        <v/>
      </c>
      <c r="BI922" t="str" cm="1">
        <f t="array" ref="BI922">_xlfn.IFS(
  L922&gt;0,"Critical Fail",
  M922&gt;0,"Important (Coaching)",
  TRUE,"Clean Pass"
)</f>
        <v>Clean Pass</v>
      </c>
      <c r="BJ922" t="str">
        <f t="shared" ref="BJ922:BJ985" si="619">IF(COUNTA(N922:Y922)=0,"NA",_xlfn.TEXTJOIN(",",TRUE,N922:Y922))</f>
        <v>NA</v>
      </c>
    </row>
    <row r="923" spans="1:62" x14ac:dyDescent="0.3">
      <c r="A923">
        <v>147461</v>
      </c>
      <c r="K923" t="str">
        <f t="shared" si="581"/>
        <v>Pass</v>
      </c>
      <c r="L923" s="15">
        <f t="shared" si="585"/>
        <v>0</v>
      </c>
      <c r="M923" s="15">
        <f t="shared" si="586"/>
        <v>0</v>
      </c>
      <c r="Z923" s="15">
        <f t="shared" si="587"/>
        <v>1</v>
      </c>
      <c r="AA923" s="15">
        <f t="shared" si="588"/>
        <v>1</v>
      </c>
      <c r="AB923" s="15">
        <f t="shared" si="589"/>
        <v>1</v>
      </c>
      <c r="AC923" s="15">
        <f t="shared" si="590"/>
        <v>1</v>
      </c>
      <c r="AD923" s="15">
        <f t="shared" si="591"/>
        <v>1</v>
      </c>
      <c r="AE923" s="15">
        <f t="shared" si="592"/>
        <v>1</v>
      </c>
      <c r="AF923" s="15">
        <f t="shared" si="593"/>
        <v>1</v>
      </c>
      <c r="AG923" s="15">
        <f t="shared" si="594"/>
        <v>1</v>
      </c>
      <c r="AH923" s="15">
        <f t="shared" si="595"/>
        <v>1</v>
      </c>
      <c r="AI923" s="15">
        <f t="shared" si="596"/>
        <v>1</v>
      </c>
      <c r="AJ923" s="15">
        <f t="shared" si="597"/>
        <v>1</v>
      </c>
      <c r="AK923" s="15">
        <f t="shared" si="598"/>
        <v>1</v>
      </c>
      <c r="AL923" s="15">
        <f t="shared" si="599"/>
        <v>1</v>
      </c>
      <c r="AM923" s="15">
        <f t="shared" si="600"/>
        <v>1</v>
      </c>
      <c r="AN923" s="15">
        <f t="shared" si="601"/>
        <v>1</v>
      </c>
      <c r="AO923" s="15">
        <f t="shared" si="602"/>
        <v>1</v>
      </c>
      <c r="AP923" s="15">
        <f t="shared" si="603"/>
        <v>1</v>
      </c>
      <c r="AQ923" s="15">
        <f t="shared" si="604"/>
        <v>1</v>
      </c>
      <c r="AR923" s="15">
        <f t="shared" si="605"/>
        <v>1</v>
      </c>
      <c r="AS923" s="15">
        <f t="shared" si="606"/>
        <v>1</v>
      </c>
      <c r="AT923" s="15">
        <f t="shared" si="607"/>
        <v>1</v>
      </c>
      <c r="AU923" s="15">
        <f t="shared" si="608"/>
        <v>1</v>
      </c>
      <c r="AV923" s="15">
        <f t="shared" si="609"/>
        <v>1</v>
      </c>
      <c r="AW923" s="15">
        <f t="shared" si="610"/>
        <v>1</v>
      </c>
      <c r="AX923" s="15">
        <f t="shared" si="611"/>
        <v>1</v>
      </c>
      <c r="AY923" s="15">
        <f t="shared" si="612"/>
        <v>1</v>
      </c>
      <c r="AZ923" s="15">
        <f t="shared" si="613"/>
        <v>1</v>
      </c>
      <c r="BA923" s="15">
        <f t="shared" si="614"/>
        <v>1</v>
      </c>
      <c r="BB923" s="15">
        <f t="shared" si="582"/>
        <v>0</v>
      </c>
      <c r="BC923" s="15" t="str">
        <f t="shared" si="583"/>
        <v/>
      </c>
      <c r="BD923" s="15" t="str">
        <f t="shared" si="584"/>
        <v/>
      </c>
      <c r="BE923" s="11" t="e">
        <f t="shared" si="615"/>
        <v>#VALUE!</v>
      </c>
      <c r="BF923" s="11" t="e">
        <f t="shared" si="616"/>
        <v>#VALUE!</v>
      </c>
      <c r="BG923" s="11" t="e">
        <f t="shared" si="617"/>
        <v>#VALUE!</v>
      </c>
      <c r="BH923" t="str">
        <f t="shared" si="618"/>
        <v/>
      </c>
      <c r="BI923" t="str" cm="1">
        <f t="array" ref="BI923">_xlfn.IFS(
  L923&gt;0,"Critical Fail",
  M923&gt;0,"Important (Coaching)",
  TRUE,"Clean Pass"
)</f>
        <v>Clean Pass</v>
      </c>
      <c r="BJ923" t="str">
        <f t="shared" si="619"/>
        <v>NA</v>
      </c>
    </row>
    <row r="924" spans="1:62" x14ac:dyDescent="0.3">
      <c r="A924">
        <v>659327</v>
      </c>
      <c r="K924" t="str">
        <f t="shared" si="581"/>
        <v>Pass</v>
      </c>
      <c r="L924" s="15">
        <f t="shared" si="585"/>
        <v>0</v>
      </c>
      <c r="M924" s="15">
        <f t="shared" si="586"/>
        <v>0</v>
      </c>
      <c r="Z924" s="15">
        <f t="shared" si="587"/>
        <v>1</v>
      </c>
      <c r="AA924" s="15">
        <f t="shared" si="588"/>
        <v>1</v>
      </c>
      <c r="AB924" s="15">
        <f t="shared" si="589"/>
        <v>1</v>
      </c>
      <c r="AC924" s="15">
        <f t="shared" si="590"/>
        <v>1</v>
      </c>
      <c r="AD924" s="15">
        <f t="shared" si="591"/>
        <v>1</v>
      </c>
      <c r="AE924" s="15">
        <f t="shared" si="592"/>
        <v>1</v>
      </c>
      <c r="AF924" s="15">
        <f t="shared" si="593"/>
        <v>1</v>
      </c>
      <c r="AG924" s="15">
        <f t="shared" si="594"/>
        <v>1</v>
      </c>
      <c r="AH924" s="15">
        <f t="shared" si="595"/>
        <v>1</v>
      </c>
      <c r="AI924" s="15">
        <f t="shared" si="596"/>
        <v>1</v>
      </c>
      <c r="AJ924" s="15">
        <f t="shared" si="597"/>
        <v>1</v>
      </c>
      <c r="AK924" s="15">
        <f t="shared" si="598"/>
        <v>1</v>
      </c>
      <c r="AL924" s="15">
        <f t="shared" si="599"/>
        <v>1</v>
      </c>
      <c r="AM924" s="15">
        <f t="shared" si="600"/>
        <v>1</v>
      </c>
      <c r="AN924" s="15">
        <f t="shared" si="601"/>
        <v>1</v>
      </c>
      <c r="AO924" s="15">
        <f t="shared" si="602"/>
        <v>1</v>
      </c>
      <c r="AP924" s="15">
        <f t="shared" si="603"/>
        <v>1</v>
      </c>
      <c r="AQ924" s="15">
        <f t="shared" si="604"/>
        <v>1</v>
      </c>
      <c r="AR924" s="15">
        <f t="shared" si="605"/>
        <v>1</v>
      </c>
      <c r="AS924" s="15">
        <f t="shared" si="606"/>
        <v>1</v>
      </c>
      <c r="AT924" s="15">
        <f t="shared" si="607"/>
        <v>1</v>
      </c>
      <c r="AU924" s="15">
        <f t="shared" si="608"/>
        <v>1</v>
      </c>
      <c r="AV924" s="15">
        <f t="shared" si="609"/>
        <v>1</v>
      </c>
      <c r="AW924" s="15">
        <f t="shared" si="610"/>
        <v>1</v>
      </c>
      <c r="AX924" s="15">
        <f t="shared" si="611"/>
        <v>1</v>
      </c>
      <c r="AY924" s="15">
        <f t="shared" si="612"/>
        <v>1</v>
      </c>
      <c r="AZ924" s="15">
        <f t="shared" si="613"/>
        <v>1</v>
      </c>
      <c r="BA924" s="15">
        <f t="shared" si="614"/>
        <v>1</v>
      </c>
      <c r="BB924" s="15">
        <f t="shared" si="582"/>
        <v>0</v>
      </c>
      <c r="BC924" s="15" t="str">
        <f t="shared" si="583"/>
        <v/>
      </c>
      <c r="BD924" s="15" t="str">
        <f t="shared" si="584"/>
        <v/>
      </c>
      <c r="BE924" s="11" t="e">
        <f t="shared" si="615"/>
        <v>#VALUE!</v>
      </c>
      <c r="BF924" s="11" t="e">
        <f t="shared" si="616"/>
        <v>#VALUE!</v>
      </c>
      <c r="BG924" s="11" t="e">
        <f t="shared" si="617"/>
        <v>#VALUE!</v>
      </c>
      <c r="BH924" t="str">
        <f t="shared" si="618"/>
        <v/>
      </c>
      <c r="BI924" t="str" cm="1">
        <f t="array" ref="BI924">_xlfn.IFS(
  L924&gt;0,"Critical Fail",
  M924&gt;0,"Important (Coaching)",
  TRUE,"Clean Pass"
)</f>
        <v>Clean Pass</v>
      </c>
      <c r="BJ924" t="str">
        <f t="shared" si="619"/>
        <v>NA</v>
      </c>
    </row>
    <row r="925" spans="1:62" x14ac:dyDescent="0.3">
      <c r="A925">
        <v>777535</v>
      </c>
      <c r="K925" t="str">
        <f t="shared" si="581"/>
        <v>Pass</v>
      </c>
      <c r="L925" s="15">
        <f t="shared" si="585"/>
        <v>0</v>
      </c>
      <c r="M925" s="15">
        <f t="shared" si="586"/>
        <v>0</v>
      </c>
      <c r="Z925" s="15">
        <f t="shared" si="587"/>
        <v>1</v>
      </c>
      <c r="AA925" s="15">
        <f t="shared" si="588"/>
        <v>1</v>
      </c>
      <c r="AB925" s="15">
        <f t="shared" si="589"/>
        <v>1</v>
      </c>
      <c r="AC925" s="15">
        <f t="shared" si="590"/>
        <v>1</v>
      </c>
      <c r="AD925" s="15">
        <f t="shared" si="591"/>
        <v>1</v>
      </c>
      <c r="AE925" s="15">
        <f t="shared" si="592"/>
        <v>1</v>
      </c>
      <c r="AF925" s="15">
        <f t="shared" si="593"/>
        <v>1</v>
      </c>
      <c r="AG925" s="15">
        <f t="shared" si="594"/>
        <v>1</v>
      </c>
      <c r="AH925" s="15">
        <f t="shared" si="595"/>
        <v>1</v>
      </c>
      <c r="AI925" s="15">
        <f t="shared" si="596"/>
        <v>1</v>
      </c>
      <c r="AJ925" s="15">
        <f t="shared" si="597"/>
        <v>1</v>
      </c>
      <c r="AK925" s="15">
        <f t="shared" si="598"/>
        <v>1</v>
      </c>
      <c r="AL925" s="15">
        <f t="shared" si="599"/>
        <v>1</v>
      </c>
      <c r="AM925" s="15">
        <f t="shared" si="600"/>
        <v>1</v>
      </c>
      <c r="AN925" s="15">
        <f t="shared" si="601"/>
        <v>1</v>
      </c>
      <c r="AO925" s="15">
        <f t="shared" si="602"/>
        <v>1</v>
      </c>
      <c r="AP925" s="15">
        <f t="shared" si="603"/>
        <v>1</v>
      </c>
      <c r="AQ925" s="15">
        <f t="shared" si="604"/>
        <v>1</v>
      </c>
      <c r="AR925" s="15">
        <f t="shared" si="605"/>
        <v>1</v>
      </c>
      <c r="AS925" s="15">
        <f t="shared" si="606"/>
        <v>1</v>
      </c>
      <c r="AT925" s="15">
        <f t="shared" si="607"/>
        <v>1</v>
      </c>
      <c r="AU925" s="15">
        <f t="shared" si="608"/>
        <v>1</v>
      </c>
      <c r="AV925" s="15">
        <f t="shared" si="609"/>
        <v>1</v>
      </c>
      <c r="AW925" s="15">
        <f t="shared" si="610"/>
        <v>1</v>
      </c>
      <c r="AX925" s="15">
        <f t="shared" si="611"/>
        <v>1</v>
      </c>
      <c r="AY925" s="15">
        <f t="shared" si="612"/>
        <v>1</v>
      </c>
      <c r="AZ925" s="15">
        <f t="shared" si="613"/>
        <v>1</v>
      </c>
      <c r="BA925" s="15">
        <f t="shared" si="614"/>
        <v>1</v>
      </c>
      <c r="BB925" s="15">
        <f t="shared" si="582"/>
        <v>0</v>
      </c>
      <c r="BC925" s="15" t="str">
        <f t="shared" si="583"/>
        <v/>
      </c>
      <c r="BD925" s="15" t="str">
        <f t="shared" si="584"/>
        <v/>
      </c>
      <c r="BE925" s="11" t="e">
        <f t="shared" si="615"/>
        <v>#VALUE!</v>
      </c>
      <c r="BF925" s="11" t="e">
        <f t="shared" si="616"/>
        <v>#VALUE!</v>
      </c>
      <c r="BG925" s="11" t="e">
        <f t="shared" si="617"/>
        <v>#VALUE!</v>
      </c>
      <c r="BH925" t="str">
        <f t="shared" si="618"/>
        <v/>
      </c>
      <c r="BI925" t="str" cm="1">
        <f t="array" ref="BI925">_xlfn.IFS(
  L925&gt;0,"Critical Fail",
  M925&gt;0,"Important (Coaching)",
  TRUE,"Clean Pass"
)</f>
        <v>Clean Pass</v>
      </c>
      <c r="BJ925" t="str">
        <f t="shared" si="619"/>
        <v>NA</v>
      </c>
    </row>
    <row r="926" spans="1:62" x14ac:dyDescent="0.3">
      <c r="A926">
        <v>421877</v>
      </c>
      <c r="K926" t="str">
        <f t="shared" si="581"/>
        <v>Pass</v>
      </c>
      <c r="L926" s="15">
        <f t="shared" si="585"/>
        <v>0</v>
      </c>
      <c r="M926" s="15">
        <f t="shared" si="586"/>
        <v>0</v>
      </c>
      <c r="Z926" s="15">
        <f t="shared" si="587"/>
        <v>1</v>
      </c>
      <c r="AA926" s="15">
        <f t="shared" si="588"/>
        <v>1</v>
      </c>
      <c r="AB926" s="15">
        <f t="shared" si="589"/>
        <v>1</v>
      </c>
      <c r="AC926" s="15">
        <f t="shared" si="590"/>
        <v>1</v>
      </c>
      <c r="AD926" s="15">
        <f t="shared" si="591"/>
        <v>1</v>
      </c>
      <c r="AE926" s="15">
        <f t="shared" si="592"/>
        <v>1</v>
      </c>
      <c r="AF926" s="15">
        <f t="shared" si="593"/>
        <v>1</v>
      </c>
      <c r="AG926" s="15">
        <f t="shared" si="594"/>
        <v>1</v>
      </c>
      <c r="AH926" s="15">
        <f t="shared" si="595"/>
        <v>1</v>
      </c>
      <c r="AI926" s="15">
        <f t="shared" si="596"/>
        <v>1</v>
      </c>
      <c r="AJ926" s="15">
        <f t="shared" si="597"/>
        <v>1</v>
      </c>
      <c r="AK926" s="15">
        <f t="shared" si="598"/>
        <v>1</v>
      </c>
      <c r="AL926" s="15">
        <f t="shared" si="599"/>
        <v>1</v>
      </c>
      <c r="AM926" s="15">
        <f t="shared" si="600"/>
        <v>1</v>
      </c>
      <c r="AN926" s="15">
        <f t="shared" si="601"/>
        <v>1</v>
      </c>
      <c r="AO926" s="15">
        <f t="shared" si="602"/>
        <v>1</v>
      </c>
      <c r="AP926" s="15">
        <f t="shared" si="603"/>
        <v>1</v>
      </c>
      <c r="AQ926" s="15">
        <f t="shared" si="604"/>
        <v>1</v>
      </c>
      <c r="AR926" s="15">
        <f t="shared" si="605"/>
        <v>1</v>
      </c>
      <c r="AS926" s="15">
        <f t="shared" si="606"/>
        <v>1</v>
      </c>
      <c r="AT926" s="15">
        <f t="shared" si="607"/>
        <v>1</v>
      </c>
      <c r="AU926" s="15">
        <f t="shared" si="608"/>
        <v>1</v>
      </c>
      <c r="AV926" s="15">
        <f t="shared" si="609"/>
        <v>1</v>
      </c>
      <c r="AW926" s="15">
        <f t="shared" si="610"/>
        <v>1</v>
      </c>
      <c r="AX926" s="15">
        <f t="shared" si="611"/>
        <v>1</v>
      </c>
      <c r="AY926" s="15">
        <f t="shared" si="612"/>
        <v>1</v>
      </c>
      <c r="AZ926" s="15">
        <f t="shared" si="613"/>
        <v>1</v>
      </c>
      <c r="BA926" s="15">
        <f t="shared" si="614"/>
        <v>1</v>
      </c>
      <c r="BB926" s="15">
        <f t="shared" si="582"/>
        <v>0</v>
      </c>
      <c r="BC926" s="15" t="str">
        <f t="shared" si="583"/>
        <v/>
      </c>
      <c r="BD926" s="15" t="str">
        <f t="shared" si="584"/>
        <v/>
      </c>
      <c r="BE926" s="11" t="e">
        <f t="shared" si="615"/>
        <v>#VALUE!</v>
      </c>
      <c r="BF926" s="11" t="e">
        <f t="shared" si="616"/>
        <v>#VALUE!</v>
      </c>
      <c r="BG926" s="11" t="e">
        <f t="shared" si="617"/>
        <v>#VALUE!</v>
      </c>
      <c r="BH926" t="str">
        <f t="shared" si="618"/>
        <v/>
      </c>
      <c r="BI926" t="str" cm="1">
        <f t="array" ref="BI926">_xlfn.IFS(
  L926&gt;0,"Critical Fail",
  M926&gt;0,"Important (Coaching)",
  TRUE,"Clean Pass"
)</f>
        <v>Clean Pass</v>
      </c>
      <c r="BJ926" t="str">
        <f t="shared" si="619"/>
        <v>NA</v>
      </c>
    </row>
    <row r="927" spans="1:62" x14ac:dyDescent="0.3">
      <c r="A927">
        <v>252975</v>
      </c>
      <c r="K927" t="str">
        <f t="shared" si="581"/>
        <v>Pass</v>
      </c>
      <c r="L927" s="15">
        <f t="shared" si="585"/>
        <v>0</v>
      </c>
      <c r="M927" s="15">
        <f t="shared" si="586"/>
        <v>0</v>
      </c>
      <c r="Z927" s="15">
        <f t="shared" si="587"/>
        <v>1</v>
      </c>
      <c r="AA927" s="15">
        <f t="shared" si="588"/>
        <v>1</v>
      </c>
      <c r="AB927" s="15">
        <f t="shared" si="589"/>
        <v>1</v>
      </c>
      <c r="AC927" s="15">
        <f t="shared" si="590"/>
        <v>1</v>
      </c>
      <c r="AD927" s="15">
        <f t="shared" si="591"/>
        <v>1</v>
      </c>
      <c r="AE927" s="15">
        <f t="shared" si="592"/>
        <v>1</v>
      </c>
      <c r="AF927" s="15">
        <f t="shared" si="593"/>
        <v>1</v>
      </c>
      <c r="AG927" s="15">
        <f t="shared" si="594"/>
        <v>1</v>
      </c>
      <c r="AH927" s="15">
        <f t="shared" si="595"/>
        <v>1</v>
      </c>
      <c r="AI927" s="15">
        <f t="shared" si="596"/>
        <v>1</v>
      </c>
      <c r="AJ927" s="15">
        <f t="shared" si="597"/>
        <v>1</v>
      </c>
      <c r="AK927" s="15">
        <f t="shared" si="598"/>
        <v>1</v>
      </c>
      <c r="AL927" s="15">
        <f t="shared" si="599"/>
        <v>1</v>
      </c>
      <c r="AM927" s="15">
        <f t="shared" si="600"/>
        <v>1</v>
      </c>
      <c r="AN927" s="15">
        <f t="shared" si="601"/>
        <v>1</v>
      </c>
      <c r="AO927" s="15">
        <f t="shared" si="602"/>
        <v>1</v>
      </c>
      <c r="AP927" s="15">
        <f t="shared" si="603"/>
        <v>1</v>
      </c>
      <c r="AQ927" s="15">
        <f t="shared" si="604"/>
        <v>1</v>
      </c>
      <c r="AR927" s="15">
        <f t="shared" si="605"/>
        <v>1</v>
      </c>
      <c r="AS927" s="15">
        <f t="shared" si="606"/>
        <v>1</v>
      </c>
      <c r="AT927" s="15">
        <f t="shared" si="607"/>
        <v>1</v>
      </c>
      <c r="AU927" s="15">
        <f t="shared" si="608"/>
        <v>1</v>
      </c>
      <c r="AV927" s="15">
        <f t="shared" si="609"/>
        <v>1</v>
      </c>
      <c r="AW927" s="15">
        <f t="shared" si="610"/>
        <v>1</v>
      </c>
      <c r="AX927" s="15">
        <f t="shared" si="611"/>
        <v>1</v>
      </c>
      <c r="AY927" s="15">
        <f t="shared" si="612"/>
        <v>1</v>
      </c>
      <c r="AZ927" s="15">
        <f t="shared" si="613"/>
        <v>1</v>
      </c>
      <c r="BA927" s="15">
        <f t="shared" si="614"/>
        <v>1</v>
      </c>
      <c r="BB927" s="15">
        <f t="shared" si="582"/>
        <v>0</v>
      </c>
      <c r="BC927" s="15" t="str">
        <f t="shared" si="583"/>
        <v/>
      </c>
      <c r="BD927" s="15" t="str">
        <f t="shared" si="584"/>
        <v/>
      </c>
      <c r="BE927" s="11" t="e">
        <f t="shared" si="615"/>
        <v>#VALUE!</v>
      </c>
      <c r="BF927" s="11" t="e">
        <f t="shared" si="616"/>
        <v>#VALUE!</v>
      </c>
      <c r="BG927" s="11" t="e">
        <f t="shared" si="617"/>
        <v>#VALUE!</v>
      </c>
      <c r="BH927" t="str">
        <f t="shared" si="618"/>
        <v/>
      </c>
      <c r="BI927" t="str" cm="1">
        <f t="array" ref="BI927">_xlfn.IFS(
  L927&gt;0,"Critical Fail",
  M927&gt;0,"Important (Coaching)",
  TRUE,"Clean Pass"
)</f>
        <v>Clean Pass</v>
      </c>
      <c r="BJ927" t="str">
        <f t="shared" si="619"/>
        <v>NA</v>
      </c>
    </row>
    <row r="928" spans="1:62" x14ac:dyDescent="0.3">
      <c r="A928">
        <v>814849</v>
      </c>
      <c r="K928" t="str">
        <f t="shared" si="581"/>
        <v>Pass</v>
      </c>
      <c r="L928" s="15">
        <f t="shared" si="585"/>
        <v>0</v>
      </c>
      <c r="M928" s="15">
        <f t="shared" si="586"/>
        <v>0</v>
      </c>
      <c r="Z928" s="15">
        <f t="shared" si="587"/>
        <v>1</v>
      </c>
      <c r="AA928" s="15">
        <f t="shared" si="588"/>
        <v>1</v>
      </c>
      <c r="AB928" s="15">
        <f t="shared" si="589"/>
        <v>1</v>
      </c>
      <c r="AC928" s="15">
        <f t="shared" si="590"/>
        <v>1</v>
      </c>
      <c r="AD928" s="15">
        <f t="shared" si="591"/>
        <v>1</v>
      </c>
      <c r="AE928" s="15">
        <f t="shared" si="592"/>
        <v>1</v>
      </c>
      <c r="AF928" s="15">
        <f t="shared" si="593"/>
        <v>1</v>
      </c>
      <c r="AG928" s="15">
        <f t="shared" si="594"/>
        <v>1</v>
      </c>
      <c r="AH928" s="15">
        <f t="shared" si="595"/>
        <v>1</v>
      </c>
      <c r="AI928" s="15">
        <f t="shared" si="596"/>
        <v>1</v>
      </c>
      <c r="AJ928" s="15">
        <f t="shared" si="597"/>
        <v>1</v>
      </c>
      <c r="AK928" s="15">
        <f t="shared" si="598"/>
        <v>1</v>
      </c>
      <c r="AL928" s="15">
        <f t="shared" si="599"/>
        <v>1</v>
      </c>
      <c r="AM928" s="15">
        <f t="shared" si="600"/>
        <v>1</v>
      </c>
      <c r="AN928" s="15">
        <f t="shared" si="601"/>
        <v>1</v>
      </c>
      <c r="AO928" s="15">
        <f t="shared" si="602"/>
        <v>1</v>
      </c>
      <c r="AP928" s="15">
        <f t="shared" si="603"/>
        <v>1</v>
      </c>
      <c r="AQ928" s="15">
        <f t="shared" si="604"/>
        <v>1</v>
      </c>
      <c r="AR928" s="15">
        <f t="shared" si="605"/>
        <v>1</v>
      </c>
      <c r="AS928" s="15">
        <f t="shared" si="606"/>
        <v>1</v>
      </c>
      <c r="AT928" s="15">
        <f t="shared" si="607"/>
        <v>1</v>
      </c>
      <c r="AU928" s="15">
        <f t="shared" si="608"/>
        <v>1</v>
      </c>
      <c r="AV928" s="15">
        <f t="shared" si="609"/>
        <v>1</v>
      </c>
      <c r="AW928" s="15">
        <f t="shared" si="610"/>
        <v>1</v>
      </c>
      <c r="AX928" s="15">
        <f t="shared" si="611"/>
        <v>1</v>
      </c>
      <c r="AY928" s="15">
        <f t="shared" si="612"/>
        <v>1</v>
      </c>
      <c r="AZ928" s="15">
        <f t="shared" si="613"/>
        <v>1</v>
      </c>
      <c r="BA928" s="15">
        <f t="shared" si="614"/>
        <v>1</v>
      </c>
      <c r="BB928" s="15">
        <f t="shared" si="582"/>
        <v>0</v>
      </c>
      <c r="BC928" s="15" t="str">
        <f t="shared" si="583"/>
        <v/>
      </c>
      <c r="BD928" s="15" t="str">
        <f t="shared" si="584"/>
        <v/>
      </c>
      <c r="BE928" s="11" t="e">
        <f t="shared" si="615"/>
        <v>#VALUE!</v>
      </c>
      <c r="BF928" s="11" t="e">
        <f t="shared" si="616"/>
        <v>#VALUE!</v>
      </c>
      <c r="BG928" s="11" t="e">
        <f t="shared" si="617"/>
        <v>#VALUE!</v>
      </c>
      <c r="BH928" t="str">
        <f t="shared" si="618"/>
        <v/>
      </c>
      <c r="BI928" t="str" cm="1">
        <f t="array" ref="BI928">_xlfn.IFS(
  L928&gt;0,"Critical Fail",
  M928&gt;0,"Important (Coaching)",
  TRUE,"Clean Pass"
)</f>
        <v>Clean Pass</v>
      </c>
      <c r="BJ928" t="str">
        <f t="shared" si="619"/>
        <v>NA</v>
      </c>
    </row>
    <row r="929" spans="1:62" x14ac:dyDescent="0.3">
      <c r="A929">
        <v>570011</v>
      </c>
      <c r="K929" t="str">
        <f t="shared" si="581"/>
        <v>Pass</v>
      </c>
      <c r="L929" s="15">
        <f t="shared" si="585"/>
        <v>0</v>
      </c>
      <c r="M929" s="15">
        <f t="shared" si="586"/>
        <v>0</v>
      </c>
      <c r="Z929" s="15">
        <f t="shared" si="587"/>
        <v>1</v>
      </c>
      <c r="AA929" s="15">
        <f t="shared" si="588"/>
        <v>1</v>
      </c>
      <c r="AB929" s="15">
        <f t="shared" si="589"/>
        <v>1</v>
      </c>
      <c r="AC929" s="15">
        <f t="shared" si="590"/>
        <v>1</v>
      </c>
      <c r="AD929" s="15">
        <f t="shared" si="591"/>
        <v>1</v>
      </c>
      <c r="AE929" s="15">
        <f t="shared" si="592"/>
        <v>1</v>
      </c>
      <c r="AF929" s="15">
        <f t="shared" si="593"/>
        <v>1</v>
      </c>
      <c r="AG929" s="15">
        <f t="shared" si="594"/>
        <v>1</v>
      </c>
      <c r="AH929" s="15">
        <f t="shared" si="595"/>
        <v>1</v>
      </c>
      <c r="AI929" s="15">
        <f t="shared" si="596"/>
        <v>1</v>
      </c>
      <c r="AJ929" s="15">
        <f t="shared" si="597"/>
        <v>1</v>
      </c>
      <c r="AK929" s="15">
        <f t="shared" si="598"/>
        <v>1</v>
      </c>
      <c r="AL929" s="15">
        <f t="shared" si="599"/>
        <v>1</v>
      </c>
      <c r="AM929" s="15">
        <f t="shared" si="600"/>
        <v>1</v>
      </c>
      <c r="AN929" s="15">
        <f t="shared" si="601"/>
        <v>1</v>
      </c>
      <c r="AO929" s="15">
        <f t="shared" si="602"/>
        <v>1</v>
      </c>
      <c r="AP929" s="15">
        <f t="shared" si="603"/>
        <v>1</v>
      </c>
      <c r="AQ929" s="15">
        <f t="shared" si="604"/>
        <v>1</v>
      </c>
      <c r="AR929" s="15">
        <f t="shared" si="605"/>
        <v>1</v>
      </c>
      <c r="AS929" s="15">
        <f t="shared" si="606"/>
        <v>1</v>
      </c>
      <c r="AT929" s="15">
        <f t="shared" si="607"/>
        <v>1</v>
      </c>
      <c r="AU929" s="15">
        <f t="shared" si="608"/>
        <v>1</v>
      </c>
      <c r="AV929" s="15">
        <f t="shared" si="609"/>
        <v>1</v>
      </c>
      <c r="AW929" s="15">
        <f t="shared" si="610"/>
        <v>1</v>
      </c>
      <c r="AX929" s="15">
        <f t="shared" si="611"/>
        <v>1</v>
      </c>
      <c r="AY929" s="15">
        <f t="shared" si="612"/>
        <v>1</v>
      </c>
      <c r="AZ929" s="15">
        <f t="shared" si="613"/>
        <v>1</v>
      </c>
      <c r="BA929" s="15">
        <f t="shared" si="614"/>
        <v>1</v>
      </c>
      <c r="BB929" s="15">
        <f t="shared" si="582"/>
        <v>0</v>
      </c>
      <c r="BC929" s="15" t="str">
        <f t="shared" si="583"/>
        <v/>
      </c>
      <c r="BD929" s="15" t="str">
        <f t="shared" si="584"/>
        <v/>
      </c>
      <c r="BE929" s="11" t="e">
        <f t="shared" si="615"/>
        <v>#VALUE!</v>
      </c>
      <c r="BF929" s="11" t="e">
        <f t="shared" si="616"/>
        <v>#VALUE!</v>
      </c>
      <c r="BG929" s="11" t="e">
        <f t="shared" si="617"/>
        <v>#VALUE!</v>
      </c>
      <c r="BH929" t="str">
        <f t="shared" si="618"/>
        <v/>
      </c>
      <c r="BI929" t="str" cm="1">
        <f t="array" ref="BI929">_xlfn.IFS(
  L929&gt;0,"Critical Fail",
  M929&gt;0,"Important (Coaching)",
  TRUE,"Clean Pass"
)</f>
        <v>Clean Pass</v>
      </c>
      <c r="BJ929" t="str">
        <f t="shared" si="619"/>
        <v>NA</v>
      </c>
    </row>
    <row r="930" spans="1:62" x14ac:dyDescent="0.3">
      <c r="A930">
        <v>781614</v>
      </c>
      <c r="K930" t="str">
        <f t="shared" si="581"/>
        <v>Pass</v>
      </c>
      <c r="L930" s="15">
        <f t="shared" si="585"/>
        <v>0</v>
      </c>
      <c r="M930" s="15">
        <f t="shared" si="586"/>
        <v>0</v>
      </c>
      <c r="Z930" s="15">
        <f t="shared" si="587"/>
        <v>1</v>
      </c>
      <c r="AA930" s="15">
        <f t="shared" si="588"/>
        <v>1</v>
      </c>
      <c r="AB930" s="15">
        <f t="shared" si="589"/>
        <v>1</v>
      </c>
      <c r="AC930" s="15">
        <f t="shared" si="590"/>
        <v>1</v>
      </c>
      <c r="AD930" s="15">
        <f t="shared" si="591"/>
        <v>1</v>
      </c>
      <c r="AE930" s="15">
        <f t="shared" si="592"/>
        <v>1</v>
      </c>
      <c r="AF930" s="15">
        <f t="shared" si="593"/>
        <v>1</v>
      </c>
      <c r="AG930" s="15">
        <f t="shared" si="594"/>
        <v>1</v>
      </c>
      <c r="AH930" s="15">
        <f t="shared" si="595"/>
        <v>1</v>
      </c>
      <c r="AI930" s="15">
        <f t="shared" si="596"/>
        <v>1</v>
      </c>
      <c r="AJ930" s="15">
        <f t="shared" si="597"/>
        <v>1</v>
      </c>
      <c r="AK930" s="15">
        <f t="shared" si="598"/>
        <v>1</v>
      </c>
      <c r="AL930" s="15">
        <f t="shared" si="599"/>
        <v>1</v>
      </c>
      <c r="AM930" s="15">
        <f t="shared" si="600"/>
        <v>1</v>
      </c>
      <c r="AN930" s="15">
        <f t="shared" si="601"/>
        <v>1</v>
      </c>
      <c r="AO930" s="15">
        <f t="shared" si="602"/>
        <v>1</v>
      </c>
      <c r="AP930" s="15">
        <f t="shared" si="603"/>
        <v>1</v>
      </c>
      <c r="AQ930" s="15">
        <f t="shared" si="604"/>
        <v>1</v>
      </c>
      <c r="AR930" s="15">
        <f t="shared" si="605"/>
        <v>1</v>
      </c>
      <c r="AS930" s="15">
        <f t="shared" si="606"/>
        <v>1</v>
      </c>
      <c r="AT930" s="15">
        <f t="shared" si="607"/>
        <v>1</v>
      </c>
      <c r="AU930" s="15">
        <f t="shared" si="608"/>
        <v>1</v>
      </c>
      <c r="AV930" s="15">
        <f t="shared" si="609"/>
        <v>1</v>
      </c>
      <c r="AW930" s="15">
        <f t="shared" si="610"/>
        <v>1</v>
      </c>
      <c r="AX930" s="15">
        <f t="shared" si="611"/>
        <v>1</v>
      </c>
      <c r="AY930" s="15">
        <f t="shared" si="612"/>
        <v>1</v>
      </c>
      <c r="AZ930" s="15">
        <f t="shared" si="613"/>
        <v>1</v>
      </c>
      <c r="BA930" s="15">
        <f t="shared" si="614"/>
        <v>1</v>
      </c>
      <c r="BB930" s="15">
        <f t="shared" si="582"/>
        <v>0</v>
      </c>
      <c r="BC930" s="15" t="str">
        <f t="shared" si="583"/>
        <v/>
      </c>
      <c r="BD930" s="15" t="str">
        <f t="shared" si="584"/>
        <v/>
      </c>
      <c r="BE930" s="11" t="e">
        <f t="shared" si="615"/>
        <v>#VALUE!</v>
      </c>
      <c r="BF930" s="11" t="e">
        <f t="shared" si="616"/>
        <v>#VALUE!</v>
      </c>
      <c r="BG930" s="11" t="e">
        <f t="shared" si="617"/>
        <v>#VALUE!</v>
      </c>
      <c r="BH930" t="str">
        <f t="shared" si="618"/>
        <v/>
      </c>
      <c r="BI930" t="str" cm="1">
        <f t="array" ref="BI930">_xlfn.IFS(
  L930&gt;0,"Critical Fail",
  M930&gt;0,"Important (Coaching)",
  TRUE,"Clean Pass"
)</f>
        <v>Clean Pass</v>
      </c>
      <c r="BJ930" t="str">
        <f t="shared" si="619"/>
        <v>NA</v>
      </c>
    </row>
    <row r="931" spans="1:62" x14ac:dyDescent="0.3">
      <c r="A931">
        <v>511973</v>
      </c>
      <c r="K931" t="str">
        <f t="shared" si="581"/>
        <v>Pass</v>
      </c>
      <c r="L931" s="15">
        <f t="shared" si="585"/>
        <v>0</v>
      </c>
      <c r="M931" s="15">
        <f t="shared" si="586"/>
        <v>0</v>
      </c>
      <c r="Z931" s="15">
        <f t="shared" si="587"/>
        <v>1</v>
      </c>
      <c r="AA931" s="15">
        <f t="shared" si="588"/>
        <v>1</v>
      </c>
      <c r="AB931" s="15">
        <f t="shared" si="589"/>
        <v>1</v>
      </c>
      <c r="AC931" s="15">
        <f t="shared" si="590"/>
        <v>1</v>
      </c>
      <c r="AD931" s="15">
        <f t="shared" si="591"/>
        <v>1</v>
      </c>
      <c r="AE931" s="15">
        <f t="shared" si="592"/>
        <v>1</v>
      </c>
      <c r="AF931" s="15">
        <f t="shared" si="593"/>
        <v>1</v>
      </c>
      <c r="AG931" s="15">
        <f t="shared" si="594"/>
        <v>1</v>
      </c>
      <c r="AH931" s="15">
        <f t="shared" si="595"/>
        <v>1</v>
      </c>
      <c r="AI931" s="15">
        <f t="shared" si="596"/>
        <v>1</v>
      </c>
      <c r="AJ931" s="15">
        <f t="shared" si="597"/>
        <v>1</v>
      </c>
      <c r="AK931" s="15">
        <f t="shared" si="598"/>
        <v>1</v>
      </c>
      <c r="AL931" s="15">
        <f t="shared" si="599"/>
        <v>1</v>
      </c>
      <c r="AM931" s="15">
        <f t="shared" si="600"/>
        <v>1</v>
      </c>
      <c r="AN931" s="15">
        <f t="shared" si="601"/>
        <v>1</v>
      </c>
      <c r="AO931" s="15">
        <f t="shared" si="602"/>
        <v>1</v>
      </c>
      <c r="AP931" s="15">
        <f t="shared" si="603"/>
        <v>1</v>
      </c>
      <c r="AQ931" s="15">
        <f t="shared" si="604"/>
        <v>1</v>
      </c>
      <c r="AR931" s="15">
        <f t="shared" si="605"/>
        <v>1</v>
      </c>
      <c r="AS931" s="15">
        <f t="shared" si="606"/>
        <v>1</v>
      </c>
      <c r="AT931" s="15">
        <f t="shared" si="607"/>
        <v>1</v>
      </c>
      <c r="AU931" s="15">
        <f t="shared" si="608"/>
        <v>1</v>
      </c>
      <c r="AV931" s="15">
        <f t="shared" si="609"/>
        <v>1</v>
      </c>
      <c r="AW931" s="15">
        <f t="shared" si="610"/>
        <v>1</v>
      </c>
      <c r="AX931" s="15">
        <f t="shared" si="611"/>
        <v>1</v>
      </c>
      <c r="AY931" s="15">
        <f t="shared" si="612"/>
        <v>1</v>
      </c>
      <c r="AZ931" s="15">
        <f t="shared" si="613"/>
        <v>1</v>
      </c>
      <c r="BA931" s="15">
        <f t="shared" si="614"/>
        <v>1</v>
      </c>
      <c r="BB931" s="15">
        <f t="shared" si="582"/>
        <v>0</v>
      </c>
      <c r="BC931" s="15" t="str">
        <f t="shared" si="583"/>
        <v/>
      </c>
      <c r="BD931" s="15" t="str">
        <f t="shared" si="584"/>
        <v/>
      </c>
      <c r="BE931" s="11" t="e">
        <f t="shared" si="615"/>
        <v>#VALUE!</v>
      </c>
      <c r="BF931" s="11" t="e">
        <f t="shared" si="616"/>
        <v>#VALUE!</v>
      </c>
      <c r="BG931" s="11" t="e">
        <f t="shared" si="617"/>
        <v>#VALUE!</v>
      </c>
      <c r="BH931" t="str">
        <f t="shared" si="618"/>
        <v/>
      </c>
      <c r="BI931" t="str" cm="1">
        <f t="array" ref="BI931">_xlfn.IFS(
  L931&gt;0,"Critical Fail",
  M931&gt;0,"Important (Coaching)",
  TRUE,"Clean Pass"
)</f>
        <v>Clean Pass</v>
      </c>
      <c r="BJ931" t="str">
        <f t="shared" si="619"/>
        <v>NA</v>
      </c>
    </row>
    <row r="932" spans="1:62" x14ac:dyDescent="0.3">
      <c r="A932">
        <v>118091</v>
      </c>
      <c r="K932" t="str">
        <f t="shared" si="581"/>
        <v>Pass</v>
      </c>
      <c r="L932" s="15">
        <f t="shared" si="585"/>
        <v>0</v>
      </c>
      <c r="M932" s="15">
        <f t="shared" si="586"/>
        <v>0</v>
      </c>
      <c r="Z932" s="15">
        <f t="shared" si="587"/>
        <v>1</v>
      </c>
      <c r="AA932" s="15">
        <f t="shared" si="588"/>
        <v>1</v>
      </c>
      <c r="AB932" s="15">
        <f t="shared" si="589"/>
        <v>1</v>
      </c>
      <c r="AC932" s="15">
        <f t="shared" si="590"/>
        <v>1</v>
      </c>
      <c r="AD932" s="15">
        <f t="shared" si="591"/>
        <v>1</v>
      </c>
      <c r="AE932" s="15">
        <f t="shared" si="592"/>
        <v>1</v>
      </c>
      <c r="AF932" s="15">
        <f t="shared" si="593"/>
        <v>1</v>
      </c>
      <c r="AG932" s="15">
        <f t="shared" si="594"/>
        <v>1</v>
      </c>
      <c r="AH932" s="15">
        <f t="shared" si="595"/>
        <v>1</v>
      </c>
      <c r="AI932" s="15">
        <f t="shared" si="596"/>
        <v>1</v>
      </c>
      <c r="AJ932" s="15">
        <f t="shared" si="597"/>
        <v>1</v>
      </c>
      <c r="AK932" s="15">
        <f t="shared" si="598"/>
        <v>1</v>
      </c>
      <c r="AL932" s="15">
        <f t="shared" si="599"/>
        <v>1</v>
      </c>
      <c r="AM932" s="15">
        <f t="shared" si="600"/>
        <v>1</v>
      </c>
      <c r="AN932" s="15">
        <f t="shared" si="601"/>
        <v>1</v>
      </c>
      <c r="AO932" s="15">
        <f t="shared" si="602"/>
        <v>1</v>
      </c>
      <c r="AP932" s="15">
        <f t="shared" si="603"/>
        <v>1</v>
      </c>
      <c r="AQ932" s="15">
        <f t="shared" si="604"/>
        <v>1</v>
      </c>
      <c r="AR932" s="15">
        <f t="shared" si="605"/>
        <v>1</v>
      </c>
      <c r="AS932" s="15">
        <f t="shared" si="606"/>
        <v>1</v>
      </c>
      <c r="AT932" s="15">
        <f t="shared" si="607"/>
        <v>1</v>
      </c>
      <c r="AU932" s="15">
        <f t="shared" si="608"/>
        <v>1</v>
      </c>
      <c r="AV932" s="15">
        <f t="shared" si="609"/>
        <v>1</v>
      </c>
      <c r="AW932" s="15">
        <f t="shared" si="610"/>
        <v>1</v>
      </c>
      <c r="AX932" s="15">
        <f t="shared" si="611"/>
        <v>1</v>
      </c>
      <c r="AY932" s="15">
        <f t="shared" si="612"/>
        <v>1</v>
      </c>
      <c r="AZ932" s="15">
        <f t="shared" si="613"/>
        <v>1</v>
      </c>
      <c r="BA932" s="15">
        <f t="shared" si="614"/>
        <v>1</v>
      </c>
      <c r="BB932" s="15">
        <f t="shared" si="582"/>
        <v>0</v>
      </c>
      <c r="BC932" s="15" t="str">
        <f t="shared" si="583"/>
        <v/>
      </c>
      <c r="BD932" s="15" t="str">
        <f t="shared" si="584"/>
        <v/>
      </c>
      <c r="BE932" s="11" t="e">
        <f t="shared" si="615"/>
        <v>#VALUE!</v>
      </c>
      <c r="BF932" s="11" t="e">
        <f t="shared" si="616"/>
        <v>#VALUE!</v>
      </c>
      <c r="BG932" s="11" t="e">
        <f t="shared" si="617"/>
        <v>#VALUE!</v>
      </c>
      <c r="BH932" t="str">
        <f t="shared" si="618"/>
        <v/>
      </c>
      <c r="BI932" t="str" cm="1">
        <f t="array" ref="BI932">_xlfn.IFS(
  L932&gt;0,"Critical Fail",
  M932&gt;0,"Important (Coaching)",
  TRUE,"Clean Pass"
)</f>
        <v>Clean Pass</v>
      </c>
      <c r="BJ932" t="str">
        <f t="shared" si="619"/>
        <v>NA</v>
      </c>
    </row>
    <row r="933" spans="1:62" x14ac:dyDescent="0.3">
      <c r="A933">
        <v>149000</v>
      </c>
      <c r="K933" t="str">
        <f t="shared" si="581"/>
        <v>Pass</v>
      </c>
      <c r="L933" s="15">
        <f t="shared" si="585"/>
        <v>0</v>
      </c>
      <c r="M933" s="15">
        <f t="shared" si="586"/>
        <v>0</v>
      </c>
      <c r="Z933" s="15">
        <f t="shared" si="587"/>
        <v>1</v>
      </c>
      <c r="AA933" s="15">
        <f t="shared" si="588"/>
        <v>1</v>
      </c>
      <c r="AB933" s="15">
        <f t="shared" si="589"/>
        <v>1</v>
      </c>
      <c r="AC933" s="15">
        <f t="shared" si="590"/>
        <v>1</v>
      </c>
      <c r="AD933" s="15">
        <f t="shared" si="591"/>
        <v>1</v>
      </c>
      <c r="AE933" s="15">
        <f t="shared" si="592"/>
        <v>1</v>
      </c>
      <c r="AF933" s="15">
        <f t="shared" si="593"/>
        <v>1</v>
      </c>
      <c r="AG933" s="15">
        <f t="shared" si="594"/>
        <v>1</v>
      </c>
      <c r="AH933" s="15">
        <f t="shared" si="595"/>
        <v>1</v>
      </c>
      <c r="AI933" s="15">
        <f t="shared" si="596"/>
        <v>1</v>
      </c>
      <c r="AJ933" s="15">
        <f t="shared" si="597"/>
        <v>1</v>
      </c>
      <c r="AK933" s="15">
        <f t="shared" si="598"/>
        <v>1</v>
      </c>
      <c r="AL933" s="15">
        <f t="shared" si="599"/>
        <v>1</v>
      </c>
      <c r="AM933" s="15">
        <f t="shared" si="600"/>
        <v>1</v>
      </c>
      <c r="AN933" s="15">
        <f t="shared" si="601"/>
        <v>1</v>
      </c>
      <c r="AO933" s="15">
        <f t="shared" si="602"/>
        <v>1</v>
      </c>
      <c r="AP933" s="15">
        <f t="shared" si="603"/>
        <v>1</v>
      </c>
      <c r="AQ933" s="15">
        <f t="shared" si="604"/>
        <v>1</v>
      </c>
      <c r="AR933" s="15">
        <f t="shared" si="605"/>
        <v>1</v>
      </c>
      <c r="AS933" s="15">
        <f t="shared" si="606"/>
        <v>1</v>
      </c>
      <c r="AT933" s="15">
        <f t="shared" si="607"/>
        <v>1</v>
      </c>
      <c r="AU933" s="15">
        <f t="shared" si="608"/>
        <v>1</v>
      </c>
      <c r="AV933" s="15">
        <f t="shared" si="609"/>
        <v>1</v>
      </c>
      <c r="AW933" s="15">
        <f t="shared" si="610"/>
        <v>1</v>
      </c>
      <c r="AX933" s="15">
        <f t="shared" si="611"/>
        <v>1</v>
      </c>
      <c r="AY933" s="15">
        <f t="shared" si="612"/>
        <v>1</v>
      </c>
      <c r="AZ933" s="15">
        <f t="shared" si="613"/>
        <v>1</v>
      </c>
      <c r="BA933" s="15">
        <f t="shared" si="614"/>
        <v>1</v>
      </c>
      <c r="BB933" s="15">
        <f t="shared" si="582"/>
        <v>0</v>
      </c>
      <c r="BC933" s="15" t="str">
        <f t="shared" si="583"/>
        <v/>
      </c>
      <c r="BD933" s="15" t="str">
        <f t="shared" si="584"/>
        <v/>
      </c>
      <c r="BE933" s="11" t="e">
        <f t="shared" si="615"/>
        <v>#VALUE!</v>
      </c>
      <c r="BF933" s="11" t="e">
        <f t="shared" si="616"/>
        <v>#VALUE!</v>
      </c>
      <c r="BG933" s="11" t="e">
        <f t="shared" si="617"/>
        <v>#VALUE!</v>
      </c>
      <c r="BH933" t="str">
        <f t="shared" si="618"/>
        <v/>
      </c>
      <c r="BI933" t="str" cm="1">
        <f t="array" ref="BI933">_xlfn.IFS(
  L933&gt;0,"Critical Fail",
  M933&gt;0,"Important (Coaching)",
  TRUE,"Clean Pass"
)</f>
        <v>Clean Pass</v>
      </c>
      <c r="BJ933" t="str">
        <f t="shared" si="619"/>
        <v>NA</v>
      </c>
    </row>
    <row r="934" spans="1:62" x14ac:dyDescent="0.3">
      <c r="A934">
        <v>166646</v>
      </c>
      <c r="K934" t="str">
        <f t="shared" si="581"/>
        <v>Pass</v>
      </c>
      <c r="L934" s="15">
        <f t="shared" si="585"/>
        <v>0</v>
      </c>
      <c r="M934" s="15">
        <f t="shared" si="586"/>
        <v>0</v>
      </c>
      <c r="Z934" s="15">
        <f t="shared" si="587"/>
        <v>1</v>
      </c>
      <c r="AA934" s="15">
        <f t="shared" si="588"/>
        <v>1</v>
      </c>
      <c r="AB934" s="15">
        <f t="shared" si="589"/>
        <v>1</v>
      </c>
      <c r="AC934" s="15">
        <f t="shared" si="590"/>
        <v>1</v>
      </c>
      <c r="AD934" s="15">
        <f t="shared" si="591"/>
        <v>1</v>
      </c>
      <c r="AE934" s="15">
        <f t="shared" si="592"/>
        <v>1</v>
      </c>
      <c r="AF934" s="15">
        <f t="shared" si="593"/>
        <v>1</v>
      </c>
      <c r="AG934" s="15">
        <f t="shared" si="594"/>
        <v>1</v>
      </c>
      <c r="AH934" s="15">
        <f t="shared" si="595"/>
        <v>1</v>
      </c>
      <c r="AI934" s="15">
        <f t="shared" si="596"/>
        <v>1</v>
      </c>
      <c r="AJ934" s="15">
        <f t="shared" si="597"/>
        <v>1</v>
      </c>
      <c r="AK934" s="15">
        <f t="shared" si="598"/>
        <v>1</v>
      </c>
      <c r="AL934" s="15">
        <f t="shared" si="599"/>
        <v>1</v>
      </c>
      <c r="AM934" s="15">
        <f t="shared" si="600"/>
        <v>1</v>
      </c>
      <c r="AN934" s="15">
        <f t="shared" si="601"/>
        <v>1</v>
      </c>
      <c r="AO934" s="15">
        <f t="shared" si="602"/>
        <v>1</v>
      </c>
      <c r="AP934" s="15">
        <f t="shared" si="603"/>
        <v>1</v>
      </c>
      <c r="AQ934" s="15">
        <f t="shared" si="604"/>
        <v>1</v>
      </c>
      <c r="AR934" s="15">
        <f t="shared" si="605"/>
        <v>1</v>
      </c>
      <c r="AS934" s="15">
        <f t="shared" si="606"/>
        <v>1</v>
      </c>
      <c r="AT934" s="15">
        <f t="shared" si="607"/>
        <v>1</v>
      </c>
      <c r="AU934" s="15">
        <f t="shared" si="608"/>
        <v>1</v>
      </c>
      <c r="AV934" s="15">
        <f t="shared" si="609"/>
        <v>1</v>
      </c>
      <c r="AW934" s="15">
        <f t="shared" si="610"/>
        <v>1</v>
      </c>
      <c r="AX934" s="15">
        <f t="shared" si="611"/>
        <v>1</v>
      </c>
      <c r="AY934" s="15">
        <f t="shared" si="612"/>
        <v>1</v>
      </c>
      <c r="AZ934" s="15">
        <f t="shared" si="613"/>
        <v>1</v>
      </c>
      <c r="BA934" s="15">
        <f t="shared" si="614"/>
        <v>1</v>
      </c>
      <c r="BB934" s="15">
        <f t="shared" si="582"/>
        <v>0</v>
      </c>
      <c r="BC934" s="15" t="str">
        <f t="shared" si="583"/>
        <v/>
      </c>
      <c r="BD934" s="15" t="str">
        <f t="shared" si="584"/>
        <v/>
      </c>
      <c r="BE934" s="11" t="e">
        <f t="shared" si="615"/>
        <v>#VALUE!</v>
      </c>
      <c r="BF934" s="11" t="e">
        <f t="shared" si="616"/>
        <v>#VALUE!</v>
      </c>
      <c r="BG934" s="11" t="e">
        <f t="shared" si="617"/>
        <v>#VALUE!</v>
      </c>
      <c r="BH934" t="str">
        <f t="shared" si="618"/>
        <v/>
      </c>
      <c r="BI934" t="str" cm="1">
        <f t="array" ref="BI934">_xlfn.IFS(
  L934&gt;0,"Critical Fail",
  M934&gt;0,"Important (Coaching)",
  TRUE,"Clean Pass"
)</f>
        <v>Clean Pass</v>
      </c>
      <c r="BJ934" t="str">
        <f t="shared" si="619"/>
        <v>NA</v>
      </c>
    </row>
    <row r="935" spans="1:62" x14ac:dyDescent="0.3">
      <c r="A935">
        <v>566678</v>
      </c>
      <c r="K935" t="str">
        <f t="shared" si="581"/>
        <v>Pass</v>
      </c>
      <c r="L935" s="15">
        <f t="shared" si="585"/>
        <v>0</v>
      </c>
      <c r="M935" s="15">
        <f t="shared" si="586"/>
        <v>0</v>
      </c>
      <c r="Z935" s="15">
        <f t="shared" si="587"/>
        <v>1</v>
      </c>
      <c r="AA935" s="15">
        <f t="shared" si="588"/>
        <v>1</v>
      </c>
      <c r="AB935" s="15">
        <f t="shared" si="589"/>
        <v>1</v>
      </c>
      <c r="AC935" s="15">
        <f t="shared" si="590"/>
        <v>1</v>
      </c>
      <c r="AD935" s="15">
        <f t="shared" si="591"/>
        <v>1</v>
      </c>
      <c r="AE935" s="15">
        <f t="shared" si="592"/>
        <v>1</v>
      </c>
      <c r="AF935" s="15">
        <f t="shared" si="593"/>
        <v>1</v>
      </c>
      <c r="AG935" s="15">
        <f t="shared" si="594"/>
        <v>1</v>
      </c>
      <c r="AH935" s="15">
        <f t="shared" si="595"/>
        <v>1</v>
      </c>
      <c r="AI935" s="15">
        <f t="shared" si="596"/>
        <v>1</v>
      </c>
      <c r="AJ935" s="15">
        <f t="shared" si="597"/>
        <v>1</v>
      </c>
      <c r="AK935" s="15">
        <f t="shared" si="598"/>
        <v>1</v>
      </c>
      <c r="AL935" s="15">
        <f t="shared" si="599"/>
        <v>1</v>
      </c>
      <c r="AM935" s="15">
        <f t="shared" si="600"/>
        <v>1</v>
      </c>
      <c r="AN935" s="15">
        <f t="shared" si="601"/>
        <v>1</v>
      </c>
      <c r="AO935" s="15">
        <f t="shared" si="602"/>
        <v>1</v>
      </c>
      <c r="AP935" s="15">
        <f t="shared" si="603"/>
        <v>1</v>
      </c>
      <c r="AQ935" s="15">
        <f t="shared" si="604"/>
        <v>1</v>
      </c>
      <c r="AR935" s="15">
        <f t="shared" si="605"/>
        <v>1</v>
      </c>
      <c r="AS935" s="15">
        <f t="shared" si="606"/>
        <v>1</v>
      </c>
      <c r="AT935" s="15">
        <f t="shared" si="607"/>
        <v>1</v>
      </c>
      <c r="AU935" s="15">
        <f t="shared" si="608"/>
        <v>1</v>
      </c>
      <c r="AV935" s="15">
        <f t="shared" si="609"/>
        <v>1</v>
      </c>
      <c r="AW935" s="15">
        <f t="shared" si="610"/>
        <v>1</v>
      </c>
      <c r="AX935" s="15">
        <f t="shared" si="611"/>
        <v>1</v>
      </c>
      <c r="AY935" s="15">
        <f t="shared" si="612"/>
        <v>1</v>
      </c>
      <c r="AZ935" s="15">
        <f t="shared" si="613"/>
        <v>1</v>
      </c>
      <c r="BA935" s="15">
        <f t="shared" si="614"/>
        <v>1</v>
      </c>
      <c r="BB935" s="15">
        <f t="shared" si="582"/>
        <v>0</v>
      </c>
      <c r="BC935" s="15" t="str">
        <f t="shared" si="583"/>
        <v/>
      </c>
      <c r="BD935" s="15" t="str">
        <f t="shared" si="584"/>
        <v/>
      </c>
      <c r="BE935" s="11" t="e">
        <f t="shared" si="615"/>
        <v>#VALUE!</v>
      </c>
      <c r="BF935" s="11" t="e">
        <f t="shared" si="616"/>
        <v>#VALUE!</v>
      </c>
      <c r="BG935" s="11" t="e">
        <f t="shared" si="617"/>
        <v>#VALUE!</v>
      </c>
      <c r="BH935" t="str">
        <f t="shared" si="618"/>
        <v/>
      </c>
      <c r="BI935" t="str" cm="1">
        <f t="array" ref="BI935">_xlfn.IFS(
  L935&gt;0,"Critical Fail",
  M935&gt;0,"Important (Coaching)",
  TRUE,"Clean Pass"
)</f>
        <v>Clean Pass</v>
      </c>
      <c r="BJ935" t="str">
        <f t="shared" si="619"/>
        <v>NA</v>
      </c>
    </row>
    <row r="936" spans="1:62" x14ac:dyDescent="0.3">
      <c r="A936">
        <v>942070</v>
      </c>
      <c r="K936" t="str">
        <f t="shared" si="581"/>
        <v>Pass</v>
      </c>
      <c r="L936" s="15">
        <f t="shared" si="585"/>
        <v>0</v>
      </c>
      <c r="M936" s="15">
        <f t="shared" si="586"/>
        <v>0</v>
      </c>
      <c r="Z936" s="15">
        <f t="shared" si="587"/>
        <v>1</v>
      </c>
      <c r="AA936" s="15">
        <f t="shared" si="588"/>
        <v>1</v>
      </c>
      <c r="AB936" s="15">
        <f t="shared" si="589"/>
        <v>1</v>
      </c>
      <c r="AC936" s="15">
        <f t="shared" si="590"/>
        <v>1</v>
      </c>
      <c r="AD936" s="15">
        <f t="shared" si="591"/>
        <v>1</v>
      </c>
      <c r="AE936" s="15">
        <f t="shared" si="592"/>
        <v>1</v>
      </c>
      <c r="AF936" s="15">
        <f t="shared" si="593"/>
        <v>1</v>
      </c>
      <c r="AG936" s="15">
        <f t="shared" si="594"/>
        <v>1</v>
      </c>
      <c r="AH936" s="15">
        <f t="shared" si="595"/>
        <v>1</v>
      </c>
      <c r="AI936" s="15">
        <f t="shared" si="596"/>
        <v>1</v>
      </c>
      <c r="AJ936" s="15">
        <f t="shared" si="597"/>
        <v>1</v>
      </c>
      <c r="AK936" s="15">
        <f t="shared" si="598"/>
        <v>1</v>
      </c>
      <c r="AL936" s="15">
        <f t="shared" si="599"/>
        <v>1</v>
      </c>
      <c r="AM936" s="15">
        <f t="shared" si="600"/>
        <v>1</v>
      </c>
      <c r="AN936" s="15">
        <f t="shared" si="601"/>
        <v>1</v>
      </c>
      <c r="AO936" s="15">
        <f t="shared" si="602"/>
        <v>1</v>
      </c>
      <c r="AP936" s="15">
        <f t="shared" si="603"/>
        <v>1</v>
      </c>
      <c r="AQ936" s="15">
        <f t="shared" si="604"/>
        <v>1</v>
      </c>
      <c r="AR936" s="15">
        <f t="shared" si="605"/>
        <v>1</v>
      </c>
      <c r="AS936" s="15">
        <f t="shared" si="606"/>
        <v>1</v>
      </c>
      <c r="AT936" s="15">
        <f t="shared" si="607"/>
        <v>1</v>
      </c>
      <c r="AU936" s="15">
        <f t="shared" si="608"/>
        <v>1</v>
      </c>
      <c r="AV936" s="15">
        <f t="shared" si="609"/>
        <v>1</v>
      </c>
      <c r="AW936" s="15">
        <f t="shared" si="610"/>
        <v>1</v>
      </c>
      <c r="AX936" s="15">
        <f t="shared" si="611"/>
        <v>1</v>
      </c>
      <c r="AY936" s="15">
        <f t="shared" si="612"/>
        <v>1</v>
      </c>
      <c r="AZ936" s="15">
        <f t="shared" si="613"/>
        <v>1</v>
      </c>
      <c r="BA936" s="15">
        <f t="shared" si="614"/>
        <v>1</v>
      </c>
      <c r="BB936" s="15">
        <f t="shared" si="582"/>
        <v>0</v>
      </c>
      <c r="BC936" s="15" t="str">
        <f t="shared" si="583"/>
        <v/>
      </c>
      <c r="BD936" s="15" t="str">
        <f t="shared" si="584"/>
        <v/>
      </c>
      <c r="BE936" s="11" t="e">
        <f t="shared" si="615"/>
        <v>#VALUE!</v>
      </c>
      <c r="BF936" s="11" t="e">
        <f t="shared" si="616"/>
        <v>#VALUE!</v>
      </c>
      <c r="BG936" s="11" t="e">
        <f t="shared" si="617"/>
        <v>#VALUE!</v>
      </c>
      <c r="BH936" t="str">
        <f t="shared" si="618"/>
        <v/>
      </c>
      <c r="BI936" t="str" cm="1">
        <f t="array" ref="BI936">_xlfn.IFS(
  L936&gt;0,"Critical Fail",
  M936&gt;0,"Important (Coaching)",
  TRUE,"Clean Pass"
)</f>
        <v>Clean Pass</v>
      </c>
      <c r="BJ936" t="str">
        <f t="shared" si="619"/>
        <v>NA</v>
      </c>
    </row>
    <row r="937" spans="1:62" x14ac:dyDescent="0.3">
      <c r="A937">
        <v>379027</v>
      </c>
      <c r="K937" t="str">
        <f t="shared" si="581"/>
        <v>Pass</v>
      </c>
      <c r="L937" s="15">
        <f t="shared" si="585"/>
        <v>0</v>
      </c>
      <c r="M937" s="15">
        <f t="shared" si="586"/>
        <v>0</v>
      </c>
      <c r="Z937" s="15">
        <f t="shared" si="587"/>
        <v>1</v>
      </c>
      <c r="AA937" s="15">
        <f t="shared" si="588"/>
        <v>1</v>
      </c>
      <c r="AB937" s="15">
        <f t="shared" si="589"/>
        <v>1</v>
      </c>
      <c r="AC937" s="15">
        <f t="shared" si="590"/>
        <v>1</v>
      </c>
      <c r="AD937" s="15">
        <f t="shared" si="591"/>
        <v>1</v>
      </c>
      <c r="AE937" s="15">
        <f t="shared" si="592"/>
        <v>1</v>
      </c>
      <c r="AF937" s="15">
        <f t="shared" si="593"/>
        <v>1</v>
      </c>
      <c r="AG937" s="15">
        <f t="shared" si="594"/>
        <v>1</v>
      </c>
      <c r="AH937" s="15">
        <f t="shared" si="595"/>
        <v>1</v>
      </c>
      <c r="AI937" s="15">
        <f t="shared" si="596"/>
        <v>1</v>
      </c>
      <c r="AJ937" s="15">
        <f t="shared" si="597"/>
        <v>1</v>
      </c>
      <c r="AK937" s="15">
        <f t="shared" si="598"/>
        <v>1</v>
      </c>
      <c r="AL937" s="15">
        <f t="shared" si="599"/>
        <v>1</v>
      </c>
      <c r="AM937" s="15">
        <f t="shared" si="600"/>
        <v>1</v>
      </c>
      <c r="AN937" s="15">
        <f t="shared" si="601"/>
        <v>1</v>
      </c>
      <c r="AO937" s="15">
        <f t="shared" si="602"/>
        <v>1</v>
      </c>
      <c r="AP937" s="15">
        <f t="shared" si="603"/>
        <v>1</v>
      </c>
      <c r="AQ937" s="15">
        <f t="shared" si="604"/>
        <v>1</v>
      </c>
      <c r="AR937" s="15">
        <f t="shared" si="605"/>
        <v>1</v>
      </c>
      <c r="AS937" s="15">
        <f t="shared" si="606"/>
        <v>1</v>
      </c>
      <c r="AT937" s="15">
        <f t="shared" si="607"/>
        <v>1</v>
      </c>
      <c r="AU937" s="15">
        <f t="shared" si="608"/>
        <v>1</v>
      </c>
      <c r="AV937" s="15">
        <f t="shared" si="609"/>
        <v>1</v>
      </c>
      <c r="AW937" s="15">
        <f t="shared" si="610"/>
        <v>1</v>
      </c>
      <c r="AX937" s="15">
        <f t="shared" si="611"/>
        <v>1</v>
      </c>
      <c r="AY937" s="15">
        <f t="shared" si="612"/>
        <v>1</v>
      </c>
      <c r="AZ937" s="15">
        <f t="shared" si="613"/>
        <v>1</v>
      </c>
      <c r="BA937" s="15">
        <f t="shared" si="614"/>
        <v>1</v>
      </c>
      <c r="BB937" s="15">
        <f t="shared" si="582"/>
        <v>0</v>
      </c>
      <c r="BC937" s="15" t="str">
        <f t="shared" si="583"/>
        <v/>
      </c>
      <c r="BD937" s="15" t="str">
        <f t="shared" si="584"/>
        <v/>
      </c>
      <c r="BE937" s="11" t="e">
        <f t="shared" si="615"/>
        <v>#VALUE!</v>
      </c>
      <c r="BF937" s="11" t="e">
        <f t="shared" si="616"/>
        <v>#VALUE!</v>
      </c>
      <c r="BG937" s="11" t="e">
        <f t="shared" si="617"/>
        <v>#VALUE!</v>
      </c>
      <c r="BH937" t="str">
        <f t="shared" si="618"/>
        <v/>
      </c>
      <c r="BI937" t="str" cm="1">
        <f t="array" ref="BI937">_xlfn.IFS(
  L937&gt;0,"Critical Fail",
  M937&gt;0,"Important (Coaching)",
  TRUE,"Clean Pass"
)</f>
        <v>Clean Pass</v>
      </c>
      <c r="BJ937" t="str">
        <f t="shared" si="619"/>
        <v>NA</v>
      </c>
    </row>
    <row r="938" spans="1:62" x14ac:dyDescent="0.3">
      <c r="A938">
        <v>226230</v>
      </c>
      <c r="K938" t="str">
        <f t="shared" si="581"/>
        <v>Pass</v>
      </c>
      <c r="L938" s="15">
        <f t="shared" si="585"/>
        <v>0</v>
      </c>
      <c r="M938" s="15">
        <f t="shared" si="586"/>
        <v>0</v>
      </c>
      <c r="Z938" s="15">
        <f t="shared" si="587"/>
        <v>1</v>
      </c>
      <c r="AA938" s="15">
        <f t="shared" si="588"/>
        <v>1</v>
      </c>
      <c r="AB938" s="15">
        <f t="shared" si="589"/>
        <v>1</v>
      </c>
      <c r="AC938" s="15">
        <f t="shared" si="590"/>
        <v>1</v>
      </c>
      <c r="AD938" s="15">
        <f t="shared" si="591"/>
        <v>1</v>
      </c>
      <c r="AE938" s="15">
        <f t="shared" si="592"/>
        <v>1</v>
      </c>
      <c r="AF938" s="15">
        <f t="shared" si="593"/>
        <v>1</v>
      </c>
      <c r="AG938" s="15">
        <f t="shared" si="594"/>
        <v>1</v>
      </c>
      <c r="AH938" s="15">
        <f t="shared" si="595"/>
        <v>1</v>
      </c>
      <c r="AI938" s="15">
        <f t="shared" si="596"/>
        <v>1</v>
      </c>
      <c r="AJ938" s="15">
        <f t="shared" si="597"/>
        <v>1</v>
      </c>
      <c r="AK938" s="15">
        <f t="shared" si="598"/>
        <v>1</v>
      </c>
      <c r="AL938" s="15">
        <f t="shared" si="599"/>
        <v>1</v>
      </c>
      <c r="AM938" s="15">
        <f t="shared" si="600"/>
        <v>1</v>
      </c>
      <c r="AN938" s="15">
        <f t="shared" si="601"/>
        <v>1</v>
      </c>
      <c r="AO938" s="15">
        <f t="shared" si="602"/>
        <v>1</v>
      </c>
      <c r="AP938" s="15">
        <f t="shared" si="603"/>
        <v>1</v>
      </c>
      <c r="AQ938" s="15">
        <f t="shared" si="604"/>
        <v>1</v>
      </c>
      <c r="AR938" s="15">
        <f t="shared" si="605"/>
        <v>1</v>
      </c>
      <c r="AS938" s="15">
        <f t="shared" si="606"/>
        <v>1</v>
      </c>
      <c r="AT938" s="15">
        <f t="shared" si="607"/>
        <v>1</v>
      </c>
      <c r="AU938" s="15">
        <f t="shared" si="608"/>
        <v>1</v>
      </c>
      <c r="AV938" s="15">
        <f t="shared" si="609"/>
        <v>1</v>
      </c>
      <c r="AW938" s="15">
        <f t="shared" si="610"/>
        <v>1</v>
      </c>
      <c r="AX938" s="15">
        <f t="shared" si="611"/>
        <v>1</v>
      </c>
      <c r="AY938" s="15">
        <f t="shared" si="612"/>
        <v>1</v>
      </c>
      <c r="AZ938" s="15">
        <f t="shared" si="613"/>
        <v>1</v>
      </c>
      <c r="BA938" s="15">
        <f t="shared" si="614"/>
        <v>1</v>
      </c>
      <c r="BB938" s="15">
        <f t="shared" si="582"/>
        <v>0</v>
      </c>
      <c r="BC938" s="15" t="str">
        <f t="shared" si="583"/>
        <v/>
      </c>
      <c r="BD938" s="15" t="str">
        <f t="shared" si="584"/>
        <v/>
      </c>
      <c r="BE938" s="11" t="e">
        <f t="shared" si="615"/>
        <v>#VALUE!</v>
      </c>
      <c r="BF938" s="11" t="e">
        <f t="shared" si="616"/>
        <v>#VALUE!</v>
      </c>
      <c r="BG938" s="11" t="e">
        <f t="shared" si="617"/>
        <v>#VALUE!</v>
      </c>
      <c r="BH938" t="str">
        <f t="shared" si="618"/>
        <v/>
      </c>
      <c r="BI938" t="str" cm="1">
        <f t="array" ref="BI938">_xlfn.IFS(
  L938&gt;0,"Critical Fail",
  M938&gt;0,"Important (Coaching)",
  TRUE,"Clean Pass"
)</f>
        <v>Clean Pass</v>
      </c>
      <c r="BJ938" t="str">
        <f t="shared" si="619"/>
        <v>NA</v>
      </c>
    </row>
    <row r="939" spans="1:62" x14ac:dyDescent="0.3">
      <c r="A939">
        <v>914974</v>
      </c>
      <c r="K939" t="str">
        <f t="shared" si="581"/>
        <v>Pass</v>
      </c>
      <c r="L939" s="15">
        <f t="shared" si="585"/>
        <v>0</v>
      </c>
      <c r="M939" s="15">
        <f t="shared" si="586"/>
        <v>0</v>
      </c>
      <c r="Z939" s="15">
        <f t="shared" si="587"/>
        <v>1</v>
      </c>
      <c r="AA939" s="15">
        <f t="shared" si="588"/>
        <v>1</v>
      </c>
      <c r="AB939" s="15">
        <f t="shared" si="589"/>
        <v>1</v>
      </c>
      <c r="AC939" s="15">
        <f t="shared" si="590"/>
        <v>1</v>
      </c>
      <c r="AD939" s="15">
        <f t="shared" si="591"/>
        <v>1</v>
      </c>
      <c r="AE939" s="15">
        <f t="shared" si="592"/>
        <v>1</v>
      </c>
      <c r="AF939" s="15">
        <f t="shared" si="593"/>
        <v>1</v>
      </c>
      <c r="AG939" s="15">
        <f t="shared" si="594"/>
        <v>1</v>
      </c>
      <c r="AH939" s="15">
        <f t="shared" si="595"/>
        <v>1</v>
      </c>
      <c r="AI939" s="15">
        <f t="shared" si="596"/>
        <v>1</v>
      </c>
      <c r="AJ939" s="15">
        <f t="shared" si="597"/>
        <v>1</v>
      </c>
      <c r="AK939" s="15">
        <f t="shared" si="598"/>
        <v>1</v>
      </c>
      <c r="AL939" s="15">
        <f t="shared" si="599"/>
        <v>1</v>
      </c>
      <c r="AM939" s="15">
        <f t="shared" si="600"/>
        <v>1</v>
      </c>
      <c r="AN939" s="15">
        <f t="shared" si="601"/>
        <v>1</v>
      </c>
      <c r="AO939" s="15">
        <f t="shared" si="602"/>
        <v>1</v>
      </c>
      <c r="AP939" s="15">
        <f t="shared" si="603"/>
        <v>1</v>
      </c>
      <c r="AQ939" s="15">
        <f t="shared" si="604"/>
        <v>1</v>
      </c>
      <c r="AR939" s="15">
        <f t="shared" si="605"/>
        <v>1</v>
      </c>
      <c r="AS939" s="15">
        <f t="shared" si="606"/>
        <v>1</v>
      </c>
      <c r="AT939" s="15">
        <f t="shared" si="607"/>
        <v>1</v>
      </c>
      <c r="AU939" s="15">
        <f t="shared" si="608"/>
        <v>1</v>
      </c>
      <c r="AV939" s="15">
        <f t="shared" si="609"/>
        <v>1</v>
      </c>
      <c r="AW939" s="15">
        <f t="shared" si="610"/>
        <v>1</v>
      </c>
      <c r="AX939" s="15">
        <f t="shared" si="611"/>
        <v>1</v>
      </c>
      <c r="AY939" s="15">
        <f t="shared" si="612"/>
        <v>1</v>
      </c>
      <c r="AZ939" s="15">
        <f t="shared" si="613"/>
        <v>1</v>
      </c>
      <c r="BA939" s="15">
        <f t="shared" si="614"/>
        <v>1</v>
      </c>
      <c r="BB939" s="15">
        <f t="shared" si="582"/>
        <v>0</v>
      </c>
      <c r="BC939" s="15" t="str">
        <f t="shared" si="583"/>
        <v/>
      </c>
      <c r="BD939" s="15" t="str">
        <f t="shared" si="584"/>
        <v/>
      </c>
      <c r="BE939" s="11" t="e">
        <f t="shared" si="615"/>
        <v>#VALUE!</v>
      </c>
      <c r="BF939" s="11" t="e">
        <f t="shared" si="616"/>
        <v>#VALUE!</v>
      </c>
      <c r="BG939" s="11" t="e">
        <f t="shared" si="617"/>
        <v>#VALUE!</v>
      </c>
      <c r="BH939" t="str">
        <f t="shared" si="618"/>
        <v/>
      </c>
      <c r="BI939" t="str" cm="1">
        <f t="array" ref="BI939">_xlfn.IFS(
  L939&gt;0,"Critical Fail",
  M939&gt;0,"Important (Coaching)",
  TRUE,"Clean Pass"
)</f>
        <v>Clean Pass</v>
      </c>
      <c r="BJ939" t="str">
        <f t="shared" si="619"/>
        <v>NA</v>
      </c>
    </row>
    <row r="940" spans="1:62" x14ac:dyDescent="0.3">
      <c r="A940">
        <v>511194</v>
      </c>
      <c r="K940" t="str">
        <f t="shared" si="581"/>
        <v>Pass</v>
      </c>
      <c r="L940" s="15">
        <f t="shared" si="585"/>
        <v>0</v>
      </c>
      <c r="M940" s="15">
        <f t="shared" si="586"/>
        <v>0</v>
      </c>
      <c r="Z940" s="15">
        <f t="shared" si="587"/>
        <v>1</v>
      </c>
      <c r="AA940" s="15">
        <f t="shared" si="588"/>
        <v>1</v>
      </c>
      <c r="AB940" s="15">
        <f t="shared" si="589"/>
        <v>1</v>
      </c>
      <c r="AC940" s="15">
        <f t="shared" si="590"/>
        <v>1</v>
      </c>
      <c r="AD940" s="15">
        <f t="shared" si="591"/>
        <v>1</v>
      </c>
      <c r="AE940" s="15">
        <f t="shared" si="592"/>
        <v>1</v>
      </c>
      <c r="AF940" s="15">
        <f t="shared" si="593"/>
        <v>1</v>
      </c>
      <c r="AG940" s="15">
        <f t="shared" si="594"/>
        <v>1</v>
      </c>
      <c r="AH940" s="15">
        <f t="shared" si="595"/>
        <v>1</v>
      </c>
      <c r="AI940" s="15">
        <f t="shared" si="596"/>
        <v>1</v>
      </c>
      <c r="AJ940" s="15">
        <f t="shared" si="597"/>
        <v>1</v>
      </c>
      <c r="AK940" s="15">
        <f t="shared" si="598"/>
        <v>1</v>
      </c>
      <c r="AL940" s="15">
        <f t="shared" si="599"/>
        <v>1</v>
      </c>
      <c r="AM940" s="15">
        <f t="shared" si="600"/>
        <v>1</v>
      </c>
      <c r="AN940" s="15">
        <f t="shared" si="601"/>
        <v>1</v>
      </c>
      <c r="AO940" s="15">
        <f t="shared" si="602"/>
        <v>1</v>
      </c>
      <c r="AP940" s="15">
        <f t="shared" si="603"/>
        <v>1</v>
      </c>
      <c r="AQ940" s="15">
        <f t="shared" si="604"/>
        <v>1</v>
      </c>
      <c r="AR940" s="15">
        <f t="shared" si="605"/>
        <v>1</v>
      </c>
      <c r="AS940" s="15">
        <f t="shared" si="606"/>
        <v>1</v>
      </c>
      <c r="AT940" s="15">
        <f t="shared" si="607"/>
        <v>1</v>
      </c>
      <c r="AU940" s="15">
        <f t="shared" si="608"/>
        <v>1</v>
      </c>
      <c r="AV940" s="15">
        <f t="shared" si="609"/>
        <v>1</v>
      </c>
      <c r="AW940" s="15">
        <f t="shared" si="610"/>
        <v>1</v>
      </c>
      <c r="AX940" s="15">
        <f t="shared" si="611"/>
        <v>1</v>
      </c>
      <c r="AY940" s="15">
        <f t="shared" si="612"/>
        <v>1</v>
      </c>
      <c r="AZ940" s="15">
        <f t="shared" si="613"/>
        <v>1</v>
      </c>
      <c r="BA940" s="15">
        <f t="shared" si="614"/>
        <v>1</v>
      </c>
      <c r="BB940" s="15">
        <f t="shared" si="582"/>
        <v>0</v>
      </c>
      <c r="BC940" s="15" t="str">
        <f t="shared" si="583"/>
        <v/>
      </c>
      <c r="BD940" s="15" t="str">
        <f t="shared" si="584"/>
        <v/>
      </c>
      <c r="BE940" s="11" t="e">
        <f t="shared" si="615"/>
        <v>#VALUE!</v>
      </c>
      <c r="BF940" s="11" t="e">
        <f t="shared" si="616"/>
        <v>#VALUE!</v>
      </c>
      <c r="BG940" s="11" t="e">
        <f t="shared" si="617"/>
        <v>#VALUE!</v>
      </c>
      <c r="BH940" t="str">
        <f t="shared" si="618"/>
        <v/>
      </c>
      <c r="BI940" t="str" cm="1">
        <f t="array" ref="BI940">_xlfn.IFS(
  L940&gt;0,"Critical Fail",
  M940&gt;0,"Important (Coaching)",
  TRUE,"Clean Pass"
)</f>
        <v>Clean Pass</v>
      </c>
      <c r="BJ940" t="str">
        <f t="shared" si="619"/>
        <v>NA</v>
      </c>
    </row>
    <row r="941" spans="1:62" x14ac:dyDescent="0.3">
      <c r="A941">
        <v>791721</v>
      </c>
      <c r="K941" t="str">
        <f t="shared" si="581"/>
        <v>Pass</v>
      </c>
      <c r="L941" s="15">
        <f t="shared" si="585"/>
        <v>0</v>
      </c>
      <c r="M941" s="15">
        <f t="shared" si="586"/>
        <v>0</v>
      </c>
      <c r="Z941" s="15">
        <f t="shared" si="587"/>
        <v>1</v>
      </c>
      <c r="AA941" s="15">
        <f t="shared" si="588"/>
        <v>1</v>
      </c>
      <c r="AB941" s="15">
        <f t="shared" si="589"/>
        <v>1</v>
      </c>
      <c r="AC941" s="15">
        <f t="shared" si="590"/>
        <v>1</v>
      </c>
      <c r="AD941" s="15">
        <f t="shared" si="591"/>
        <v>1</v>
      </c>
      <c r="AE941" s="15">
        <f t="shared" si="592"/>
        <v>1</v>
      </c>
      <c r="AF941" s="15">
        <f t="shared" si="593"/>
        <v>1</v>
      </c>
      <c r="AG941" s="15">
        <f t="shared" si="594"/>
        <v>1</v>
      </c>
      <c r="AH941" s="15">
        <f t="shared" si="595"/>
        <v>1</v>
      </c>
      <c r="AI941" s="15">
        <f t="shared" si="596"/>
        <v>1</v>
      </c>
      <c r="AJ941" s="15">
        <f t="shared" si="597"/>
        <v>1</v>
      </c>
      <c r="AK941" s="15">
        <f t="shared" si="598"/>
        <v>1</v>
      </c>
      <c r="AL941" s="15">
        <f t="shared" si="599"/>
        <v>1</v>
      </c>
      <c r="AM941" s="15">
        <f t="shared" si="600"/>
        <v>1</v>
      </c>
      <c r="AN941" s="15">
        <f t="shared" si="601"/>
        <v>1</v>
      </c>
      <c r="AO941" s="15">
        <f t="shared" si="602"/>
        <v>1</v>
      </c>
      <c r="AP941" s="15">
        <f t="shared" si="603"/>
        <v>1</v>
      </c>
      <c r="AQ941" s="15">
        <f t="shared" si="604"/>
        <v>1</v>
      </c>
      <c r="AR941" s="15">
        <f t="shared" si="605"/>
        <v>1</v>
      </c>
      <c r="AS941" s="15">
        <f t="shared" si="606"/>
        <v>1</v>
      </c>
      <c r="AT941" s="15">
        <f t="shared" si="607"/>
        <v>1</v>
      </c>
      <c r="AU941" s="15">
        <f t="shared" si="608"/>
        <v>1</v>
      </c>
      <c r="AV941" s="15">
        <f t="shared" si="609"/>
        <v>1</v>
      </c>
      <c r="AW941" s="15">
        <f t="shared" si="610"/>
        <v>1</v>
      </c>
      <c r="AX941" s="15">
        <f t="shared" si="611"/>
        <v>1</v>
      </c>
      <c r="AY941" s="15">
        <f t="shared" si="612"/>
        <v>1</v>
      </c>
      <c r="AZ941" s="15">
        <f t="shared" si="613"/>
        <v>1</v>
      </c>
      <c r="BA941" s="15">
        <f t="shared" si="614"/>
        <v>1</v>
      </c>
      <c r="BB941" s="15">
        <f t="shared" si="582"/>
        <v>0</v>
      </c>
      <c r="BC941" s="15" t="str">
        <f t="shared" si="583"/>
        <v/>
      </c>
      <c r="BD941" s="15" t="str">
        <f t="shared" si="584"/>
        <v/>
      </c>
      <c r="BE941" s="11" t="e">
        <f t="shared" si="615"/>
        <v>#VALUE!</v>
      </c>
      <c r="BF941" s="11" t="e">
        <f t="shared" si="616"/>
        <v>#VALUE!</v>
      </c>
      <c r="BG941" s="11" t="e">
        <f t="shared" si="617"/>
        <v>#VALUE!</v>
      </c>
      <c r="BH941" t="str">
        <f t="shared" si="618"/>
        <v/>
      </c>
      <c r="BI941" t="str" cm="1">
        <f t="array" ref="BI941">_xlfn.IFS(
  L941&gt;0,"Critical Fail",
  M941&gt;0,"Important (Coaching)",
  TRUE,"Clean Pass"
)</f>
        <v>Clean Pass</v>
      </c>
      <c r="BJ941" t="str">
        <f t="shared" si="619"/>
        <v>NA</v>
      </c>
    </row>
    <row r="942" spans="1:62" x14ac:dyDescent="0.3">
      <c r="A942">
        <v>659086</v>
      </c>
      <c r="K942" t="str">
        <f t="shared" si="581"/>
        <v>Pass</v>
      </c>
      <c r="L942" s="15">
        <f t="shared" si="585"/>
        <v>0</v>
      </c>
      <c r="M942" s="15">
        <f t="shared" si="586"/>
        <v>0</v>
      </c>
      <c r="Z942" s="15">
        <f t="shared" si="587"/>
        <v>1</v>
      </c>
      <c r="AA942" s="15">
        <f t="shared" si="588"/>
        <v>1</v>
      </c>
      <c r="AB942" s="15">
        <f t="shared" si="589"/>
        <v>1</v>
      </c>
      <c r="AC942" s="15">
        <f t="shared" si="590"/>
        <v>1</v>
      </c>
      <c r="AD942" s="15">
        <f t="shared" si="591"/>
        <v>1</v>
      </c>
      <c r="AE942" s="15">
        <f t="shared" si="592"/>
        <v>1</v>
      </c>
      <c r="AF942" s="15">
        <f t="shared" si="593"/>
        <v>1</v>
      </c>
      <c r="AG942" s="15">
        <f t="shared" si="594"/>
        <v>1</v>
      </c>
      <c r="AH942" s="15">
        <f t="shared" si="595"/>
        <v>1</v>
      </c>
      <c r="AI942" s="15">
        <f t="shared" si="596"/>
        <v>1</v>
      </c>
      <c r="AJ942" s="15">
        <f t="shared" si="597"/>
        <v>1</v>
      </c>
      <c r="AK942" s="15">
        <f t="shared" si="598"/>
        <v>1</v>
      </c>
      <c r="AL942" s="15">
        <f t="shared" si="599"/>
        <v>1</v>
      </c>
      <c r="AM942" s="15">
        <f t="shared" si="600"/>
        <v>1</v>
      </c>
      <c r="AN942" s="15">
        <f t="shared" si="601"/>
        <v>1</v>
      </c>
      <c r="AO942" s="15">
        <f t="shared" si="602"/>
        <v>1</v>
      </c>
      <c r="AP942" s="15">
        <f t="shared" si="603"/>
        <v>1</v>
      </c>
      <c r="AQ942" s="15">
        <f t="shared" si="604"/>
        <v>1</v>
      </c>
      <c r="AR942" s="15">
        <f t="shared" si="605"/>
        <v>1</v>
      </c>
      <c r="AS942" s="15">
        <f t="shared" si="606"/>
        <v>1</v>
      </c>
      <c r="AT942" s="15">
        <f t="shared" si="607"/>
        <v>1</v>
      </c>
      <c r="AU942" s="15">
        <f t="shared" si="608"/>
        <v>1</v>
      </c>
      <c r="AV942" s="15">
        <f t="shared" si="609"/>
        <v>1</v>
      </c>
      <c r="AW942" s="15">
        <f t="shared" si="610"/>
        <v>1</v>
      </c>
      <c r="AX942" s="15">
        <f t="shared" si="611"/>
        <v>1</v>
      </c>
      <c r="AY942" s="15">
        <f t="shared" si="612"/>
        <v>1</v>
      </c>
      <c r="AZ942" s="15">
        <f t="shared" si="613"/>
        <v>1</v>
      </c>
      <c r="BA942" s="15">
        <f t="shared" si="614"/>
        <v>1</v>
      </c>
      <c r="BB942" s="15">
        <f t="shared" si="582"/>
        <v>0</v>
      </c>
      <c r="BC942" s="15" t="str">
        <f t="shared" si="583"/>
        <v/>
      </c>
      <c r="BD942" s="15" t="str">
        <f t="shared" si="584"/>
        <v/>
      </c>
      <c r="BE942" s="11" t="e">
        <f t="shared" si="615"/>
        <v>#VALUE!</v>
      </c>
      <c r="BF942" s="11" t="e">
        <f t="shared" si="616"/>
        <v>#VALUE!</v>
      </c>
      <c r="BG942" s="11" t="e">
        <f t="shared" si="617"/>
        <v>#VALUE!</v>
      </c>
      <c r="BH942" t="str">
        <f t="shared" si="618"/>
        <v/>
      </c>
      <c r="BI942" t="str" cm="1">
        <f t="array" ref="BI942">_xlfn.IFS(
  L942&gt;0,"Critical Fail",
  M942&gt;0,"Important (Coaching)",
  TRUE,"Clean Pass"
)</f>
        <v>Clean Pass</v>
      </c>
      <c r="BJ942" t="str">
        <f t="shared" si="619"/>
        <v>NA</v>
      </c>
    </row>
    <row r="943" spans="1:62" x14ac:dyDescent="0.3">
      <c r="A943">
        <v>460271</v>
      </c>
      <c r="K943" t="str">
        <f t="shared" si="581"/>
        <v>Pass</v>
      </c>
      <c r="L943" s="15">
        <f t="shared" si="585"/>
        <v>0</v>
      </c>
      <c r="M943" s="15">
        <f t="shared" si="586"/>
        <v>0</v>
      </c>
      <c r="Z943" s="15">
        <f t="shared" si="587"/>
        <v>1</v>
      </c>
      <c r="AA943" s="15">
        <f t="shared" si="588"/>
        <v>1</v>
      </c>
      <c r="AB943" s="15">
        <f t="shared" si="589"/>
        <v>1</v>
      </c>
      <c r="AC943" s="15">
        <f t="shared" si="590"/>
        <v>1</v>
      </c>
      <c r="AD943" s="15">
        <f t="shared" si="591"/>
        <v>1</v>
      </c>
      <c r="AE943" s="15">
        <f t="shared" si="592"/>
        <v>1</v>
      </c>
      <c r="AF943" s="15">
        <f t="shared" si="593"/>
        <v>1</v>
      </c>
      <c r="AG943" s="15">
        <f t="shared" si="594"/>
        <v>1</v>
      </c>
      <c r="AH943" s="15">
        <f t="shared" si="595"/>
        <v>1</v>
      </c>
      <c r="AI943" s="15">
        <f t="shared" si="596"/>
        <v>1</v>
      </c>
      <c r="AJ943" s="15">
        <f t="shared" si="597"/>
        <v>1</v>
      </c>
      <c r="AK943" s="15">
        <f t="shared" si="598"/>
        <v>1</v>
      </c>
      <c r="AL943" s="15">
        <f t="shared" si="599"/>
        <v>1</v>
      </c>
      <c r="AM943" s="15">
        <f t="shared" si="600"/>
        <v>1</v>
      </c>
      <c r="AN943" s="15">
        <f t="shared" si="601"/>
        <v>1</v>
      </c>
      <c r="AO943" s="15">
        <f t="shared" si="602"/>
        <v>1</v>
      </c>
      <c r="AP943" s="15">
        <f t="shared" si="603"/>
        <v>1</v>
      </c>
      <c r="AQ943" s="15">
        <f t="shared" si="604"/>
        <v>1</v>
      </c>
      <c r="AR943" s="15">
        <f t="shared" si="605"/>
        <v>1</v>
      </c>
      <c r="AS943" s="15">
        <f t="shared" si="606"/>
        <v>1</v>
      </c>
      <c r="AT943" s="15">
        <f t="shared" si="607"/>
        <v>1</v>
      </c>
      <c r="AU943" s="15">
        <f t="shared" si="608"/>
        <v>1</v>
      </c>
      <c r="AV943" s="15">
        <f t="shared" si="609"/>
        <v>1</v>
      </c>
      <c r="AW943" s="15">
        <f t="shared" si="610"/>
        <v>1</v>
      </c>
      <c r="AX943" s="15">
        <f t="shared" si="611"/>
        <v>1</v>
      </c>
      <c r="AY943" s="15">
        <f t="shared" si="612"/>
        <v>1</v>
      </c>
      <c r="AZ943" s="15">
        <f t="shared" si="613"/>
        <v>1</v>
      </c>
      <c r="BA943" s="15">
        <f t="shared" si="614"/>
        <v>1</v>
      </c>
      <c r="BB943" s="15">
        <f t="shared" si="582"/>
        <v>0</v>
      </c>
      <c r="BC943" s="15" t="str">
        <f t="shared" si="583"/>
        <v/>
      </c>
      <c r="BD943" s="15" t="str">
        <f t="shared" si="584"/>
        <v/>
      </c>
      <c r="BE943" s="11" t="e">
        <f t="shared" si="615"/>
        <v>#VALUE!</v>
      </c>
      <c r="BF943" s="11" t="e">
        <f t="shared" si="616"/>
        <v>#VALUE!</v>
      </c>
      <c r="BG943" s="11" t="e">
        <f t="shared" si="617"/>
        <v>#VALUE!</v>
      </c>
      <c r="BH943" t="str">
        <f t="shared" si="618"/>
        <v/>
      </c>
      <c r="BI943" t="str" cm="1">
        <f t="array" ref="BI943">_xlfn.IFS(
  L943&gt;0,"Critical Fail",
  M943&gt;0,"Important (Coaching)",
  TRUE,"Clean Pass"
)</f>
        <v>Clean Pass</v>
      </c>
      <c r="BJ943" t="str">
        <f t="shared" si="619"/>
        <v>NA</v>
      </c>
    </row>
    <row r="944" spans="1:62" x14ac:dyDescent="0.3">
      <c r="A944">
        <v>941019</v>
      </c>
      <c r="K944" t="str">
        <f t="shared" si="581"/>
        <v>Pass</v>
      </c>
      <c r="L944" s="15">
        <f t="shared" si="585"/>
        <v>0</v>
      </c>
      <c r="M944" s="15">
        <f t="shared" si="586"/>
        <v>0</v>
      </c>
      <c r="Z944" s="15">
        <f t="shared" si="587"/>
        <v>1</v>
      </c>
      <c r="AA944" s="15">
        <f t="shared" si="588"/>
        <v>1</v>
      </c>
      <c r="AB944" s="15">
        <f t="shared" si="589"/>
        <v>1</v>
      </c>
      <c r="AC944" s="15">
        <f t="shared" si="590"/>
        <v>1</v>
      </c>
      <c r="AD944" s="15">
        <f t="shared" si="591"/>
        <v>1</v>
      </c>
      <c r="AE944" s="15">
        <f t="shared" si="592"/>
        <v>1</v>
      </c>
      <c r="AF944" s="15">
        <f t="shared" si="593"/>
        <v>1</v>
      </c>
      <c r="AG944" s="15">
        <f t="shared" si="594"/>
        <v>1</v>
      </c>
      <c r="AH944" s="15">
        <f t="shared" si="595"/>
        <v>1</v>
      </c>
      <c r="AI944" s="15">
        <f t="shared" si="596"/>
        <v>1</v>
      </c>
      <c r="AJ944" s="15">
        <f t="shared" si="597"/>
        <v>1</v>
      </c>
      <c r="AK944" s="15">
        <f t="shared" si="598"/>
        <v>1</v>
      </c>
      <c r="AL944" s="15">
        <f t="shared" si="599"/>
        <v>1</v>
      </c>
      <c r="AM944" s="15">
        <f t="shared" si="600"/>
        <v>1</v>
      </c>
      <c r="AN944" s="15">
        <f t="shared" si="601"/>
        <v>1</v>
      </c>
      <c r="AO944" s="15">
        <f t="shared" si="602"/>
        <v>1</v>
      </c>
      <c r="AP944" s="15">
        <f t="shared" si="603"/>
        <v>1</v>
      </c>
      <c r="AQ944" s="15">
        <f t="shared" si="604"/>
        <v>1</v>
      </c>
      <c r="AR944" s="15">
        <f t="shared" si="605"/>
        <v>1</v>
      </c>
      <c r="AS944" s="15">
        <f t="shared" si="606"/>
        <v>1</v>
      </c>
      <c r="AT944" s="15">
        <f t="shared" si="607"/>
        <v>1</v>
      </c>
      <c r="AU944" s="15">
        <f t="shared" si="608"/>
        <v>1</v>
      </c>
      <c r="AV944" s="15">
        <f t="shared" si="609"/>
        <v>1</v>
      </c>
      <c r="AW944" s="15">
        <f t="shared" si="610"/>
        <v>1</v>
      </c>
      <c r="AX944" s="15">
        <f t="shared" si="611"/>
        <v>1</v>
      </c>
      <c r="AY944" s="15">
        <f t="shared" si="612"/>
        <v>1</v>
      </c>
      <c r="AZ944" s="15">
        <f t="shared" si="613"/>
        <v>1</v>
      </c>
      <c r="BA944" s="15">
        <f t="shared" si="614"/>
        <v>1</v>
      </c>
      <c r="BB944" s="15">
        <f t="shared" si="582"/>
        <v>0</v>
      </c>
      <c r="BC944" s="15" t="str">
        <f t="shared" si="583"/>
        <v/>
      </c>
      <c r="BD944" s="15" t="str">
        <f t="shared" si="584"/>
        <v/>
      </c>
      <c r="BE944" s="11" t="e">
        <f t="shared" si="615"/>
        <v>#VALUE!</v>
      </c>
      <c r="BF944" s="11" t="e">
        <f t="shared" si="616"/>
        <v>#VALUE!</v>
      </c>
      <c r="BG944" s="11" t="e">
        <f t="shared" si="617"/>
        <v>#VALUE!</v>
      </c>
      <c r="BH944" t="str">
        <f t="shared" si="618"/>
        <v/>
      </c>
      <c r="BI944" t="str" cm="1">
        <f t="array" ref="BI944">_xlfn.IFS(
  L944&gt;0,"Critical Fail",
  M944&gt;0,"Important (Coaching)",
  TRUE,"Clean Pass"
)</f>
        <v>Clean Pass</v>
      </c>
      <c r="BJ944" t="str">
        <f t="shared" si="619"/>
        <v>NA</v>
      </c>
    </row>
    <row r="945" spans="1:62" x14ac:dyDescent="0.3">
      <c r="A945">
        <v>507331</v>
      </c>
      <c r="K945" t="str">
        <f t="shared" si="581"/>
        <v>Pass</v>
      </c>
      <c r="L945" s="15">
        <f t="shared" si="585"/>
        <v>0</v>
      </c>
      <c r="M945" s="15">
        <f t="shared" si="586"/>
        <v>0</v>
      </c>
      <c r="Z945" s="15">
        <f t="shared" si="587"/>
        <v>1</v>
      </c>
      <c r="AA945" s="15">
        <f t="shared" si="588"/>
        <v>1</v>
      </c>
      <c r="AB945" s="15">
        <f t="shared" si="589"/>
        <v>1</v>
      </c>
      <c r="AC945" s="15">
        <f t="shared" si="590"/>
        <v>1</v>
      </c>
      <c r="AD945" s="15">
        <f t="shared" si="591"/>
        <v>1</v>
      </c>
      <c r="AE945" s="15">
        <f t="shared" si="592"/>
        <v>1</v>
      </c>
      <c r="AF945" s="15">
        <f t="shared" si="593"/>
        <v>1</v>
      </c>
      <c r="AG945" s="15">
        <f t="shared" si="594"/>
        <v>1</v>
      </c>
      <c r="AH945" s="15">
        <f t="shared" si="595"/>
        <v>1</v>
      </c>
      <c r="AI945" s="15">
        <f t="shared" si="596"/>
        <v>1</v>
      </c>
      <c r="AJ945" s="15">
        <f t="shared" si="597"/>
        <v>1</v>
      </c>
      <c r="AK945" s="15">
        <f t="shared" si="598"/>
        <v>1</v>
      </c>
      <c r="AL945" s="15">
        <f t="shared" si="599"/>
        <v>1</v>
      </c>
      <c r="AM945" s="15">
        <f t="shared" si="600"/>
        <v>1</v>
      </c>
      <c r="AN945" s="15">
        <f t="shared" si="601"/>
        <v>1</v>
      </c>
      <c r="AO945" s="15">
        <f t="shared" si="602"/>
        <v>1</v>
      </c>
      <c r="AP945" s="15">
        <f t="shared" si="603"/>
        <v>1</v>
      </c>
      <c r="AQ945" s="15">
        <f t="shared" si="604"/>
        <v>1</v>
      </c>
      <c r="AR945" s="15">
        <f t="shared" si="605"/>
        <v>1</v>
      </c>
      <c r="AS945" s="15">
        <f t="shared" si="606"/>
        <v>1</v>
      </c>
      <c r="AT945" s="15">
        <f t="shared" si="607"/>
        <v>1</v>
      </c>
      <c r="AU945" s="15">
        <f t="shared" si="608"/>
        <v>1</v>
      </c>
      <c r="AV945" s="15">
        <f t="shared" si="609"/>
        <v>1</v>
      </c>
      <c r="AW945" s="15">
        <f t="shared" si="610"/>
        <v>1</v>
      </c>
      <c r="AX945" s="15">
        <f t="shared" si="611"/>
        <v>1</v>
      </c>
      <c r="AY945" s="15">
        <f t="shared" si="612"/>
        <v>1</v>
      </c>
      <c r="AZ945" s="15">
        <f t="shared" si="613"/>
        <v>1</v>
      </c>
      <c r="BA945" s="15">
        <f t="shared" si="614"/>
        <v>1</v>
      </c>
      <c r="BB945" s="15">
        <f t="shared" si="582"/>
        <v>0</v>
      </c>
      <c r="BC945" s="15" t="str">
        <f t="shared" si="583"/>
        <v/>
      </c>
      <c r="BD945" s="15" t="str">
        <f t="shared" si="584"/>
        <v/>
      </c>
      <c r="BE945" s="11" t="e">
        <f t="shared" si="615"/>
        <v>#VALUE!</v>
      </c>
      <c r="BF945" s="11" t="e">
        <f t="shared" si="616"/>
        <v>#VALUE!</v>
      </c>
      <c r="BG945" s="11" t="e">
        <f t="shared" si="617"/>
        <v>#VALUE!</v>
      </c>
      <c r="BH945" t="str">
        <f t="shared" si="618"/>
        <v/>
      </c>
      <c r="BI945" t="str" cm="1">
        <f t="array" ref="BI945">_xlfn.IFS(
  L945&gt;0,"Critical Fail",
  M945&gt;0,"Important (Coaching)",
  TRUE,"Clean Pass"
)</f>
        <v>Clean Pass</v>
      </c>
      <c r="BJ945" t="str">
        <f t="shared" si="619"/>
        <v>NA</v>
      </c>
    </row>
    <row r="946" spans="1:62" x14ac:dyDescent="0.3">
      <c r="A946">
        <v>969425</v>
      </c>
      <c r="K946" t="str">
        <f t="shared" si="581"/>
        <v>Pass</v>
      </c>
      <c r="L946" s="15">
        <f t="shared" si="585"/>
        <v>0</v>
      </c>
      <c r="M946" s="15">
        <f t="shared" si="586"/>
        <v>0</v>
      </c>
      <c r="Z946" s="15">
        <f t="shared" si="587"/>
        <v>1</v>
      </c>
      <c r="AA946" s="15">
        <f t="shared" si="588"/>
        <v>1</v>
      </c>
      <c r="AB946" s="15">
        <f t="shared" si="589"/>
        <v>1</v>
      </c>
      <c r="AC946" s="15">
        <f t="shared" si="590"/>
        <v>1</v>
      </c>
      <c r="AD946" s="15">
        <f t="shared" si="591"/>
        <v>1</v>
      </c>
      <c r="AE946" s="15">
        <f t="shared" si="592"/>
        <v>1</v>
      </c>
      <c r="AF946" s="15">
        <f t="shared" si="593"/>
        <v>1</v>
      </c>
      <c r="AG946" s="15">
        <f t="shared" si="594"/>
        <v>1</v>
      </c>
      <c r="AH946" s="15">
        <f t="shared" si="595"/>
        <v>1</v>
      </c>
      <c r="AI946" s="15">
        <f t="shared" si="596"/>
        <v>1</v>
      </c>
      <c r="AJ946" s="15">
        <f t="shared" si="597"/>
        <v>1</v>
      </c>
      <c r="AK946" s="15">
        <f t="shared" si="598"/>
        <v>1</v>
      </c>
      <c r="AL946" s="15">
        <f t="shared" si="599"/>
        <v>1</v>
      </c>
      <c r="AM946" s="15">
        <f t="shared" si="600"/>
        <v>1</v>
      </c>
      <c r="AN946" s="15">
        <f t="shared" si="601"/>
        <v>1</v>
      </c>
      <c r="AO946" s="15">
        <f t="shared" si="602"/>
        <v>1</v>
      </c>
      <c r="AP946" s="15">
        <f t="shared" si="603"/>
        <v>1</v>
      </c>
      <c r="AQ946" s="15">
        <f t="shared" si="604"/>
        <v>1</v>
      </c>
      <c r="AR946" s="15">
        <f t="shared" si="605"/>
        <v>1</v>
      </c>
      <c r="AS946" s="15">
        <f t="shared" si="606"/>
        <v>1</v>
      </c>
      <c r="AT946" s="15">
        <f t="shared" si="607"/>
        <v>1</v>
      </c>
      <c r="AU946" s="15">
        <f t="shared" si="608"/>
        <v>1</v>
      </c>
      <c r="AV946" s="15">
        <f t="shared" si="609"/>
        <v>1</v>
      </c>
      <c r="AW946" s="15">
        <f t="shared" si="610"/>
        <v>1</v>
      </c>
      <c r="AX946" s="15">
        <f t="shared" si="611"/>
        <v>1</v>
      </c>
      <c r="AY946" s="15">
        <f t="shared" si="612"/>
        <v>1</v>
      </c>
      <c r="AZ946" s="15">
        <f t="shared" si="613"/>
        <v>1</v>
      </c>
      <c r="BA946" s="15">
        <f t="shared" si="614"/>
        <v>1</v>
      </c>
      <c r="BB946" s="15">
        <f t="shared" si="582"/>
        <v>0</v>
      </c>
      <c r="BC946" s="15" t="str">
        <f t="shared" si="583"/>
        <v/>
      </c>
      <c r="BD946" s="15" t="str">
        <f t="shared" si="584"/>
        <v/>
      </c>
      <c r="BE946" s="11" t="e">
        <f t="shared" si="615"/>
        <v>#VALUE!</v>
      </c>
      <c r="BF946" s="11" t="e">
        <f t="shared" si="616"/>
        <v>#VALUE!</v>
      </c>
      <c r="BG946" s="11" t="e">
        <f t="shared" si="617"/>
        <v>#VALUE!</v>
      </c>
      <c r="BH946" t="str">
        <f t="shared" si="618"/>
        <v/>
      </c>
      <c r="BI946" t="str" cm="1">
        <f t="array" ref="BI946">_xlfn.IFS(
  L946&gt;0,"Critical Fail",
  M946&gt;0,"Important (Coaching)",
  TRUE,"Clean Pass"
)</f>
        <v>Clean Pass</v>
      </c>
      <c r="BJ946" t="str">
        <f t="shared" si="619"/>
        <v>NA</v>
      </c>
    </row>
    <row r="947" spans="1:62" x14ac:dyDescent="0.3">
      <c r="A947">
        <v>226645</v>
      </c>
      <c r="K947" t="str">
        <f t="shared" si="581"/>
        <v>Pass</v>
      </c>
      <c r="L947" s="15">
        <f t="shared" si="585"/>
        <v>0</v>
      </c>
      <c r="M947" s="15">
        <f t="shared" si="586"/>
        <v>0</v>
      </c>
      <c r="Z947" s="15">
        <f t="shared" si="587"/>
        <v>1</v>
      </c>
      <c r="AA947" s="15">
        <f t="shared" si="588"/>
        <v>1</v>
      </c>
      <c r="AB947" s="15">
        <f t="shared" si="589"/>
        <v>1</v>
      </c>
      <c r="AC947" s="15">
        <f t="shared" si="590"/>
        <v>1</v>
      </c>
      <c r="AD947" s="15">
        <f t="shared" si="591"/>
        <v>1</v>
      </c>
      <c r="AE947" s="15">
        <f t="shared" si="592"/>
        <v>1</v>
      </c>
      <c r="AF947" s="15">
        <f t="shared" si="593"/>
        <v>1</v>
      </c>
      <c r="AG947" s="15">
        <f t="shared" si="594"/>
        <v>1</v>
      </c>
      <c r="AH947" s="15">
        <f t="shared" si="595"/>
        <v>1</v>
      </c>
      <c r="AI947" s="15">
        <f t="shared" si="596"/>
        <v>1</v>
      </c>
      <c r="AJ947" s="15">
        <f t="shared" si="597"/>
        <v>1</v>
      </c>
      <c r="AK947" s="15">
        <f t="shared" si="598"/>
        <v>1</v>
      </c>
      <c r="AL947" s="15">
        <f t="shared" si="599"/>
        <v>1</v>
      </c>
      <c r="AM947" s="15">
        <f t="shared" si="600"/>
        <v>1</v>
      </c>
      <c r="AN947" s="15">
        <f t="shared" si="601"/>
        <v>1</v>
      </c>
      <c r="AO947" s="15">
        <f t="shared" si="602"/>
        <v>1</v>
      </c>
      <c r="AP947" s="15">
        <f t="shared" si="603"/>
        <v>1</v>
      </c>
      <c r="AQ947" s="15">
        <f t="shared" si="604"/>
        <v>1</v>
      </c>
      <c r="AR947" s="15">
        <f t="shared" si="605"/>
        <v>1</v>
      </c>
      <c r="AS947" s="15">
        <f t="shared" si="606"/>
        <v>1</v>
      </c>
      <c r="AT947" s="15">
        <f t="shared" si="607"/>
        <v>1</v>
      </c>
      <c r="AU947" s="15">
        <f t="shared" si="608"/>
        <v>1</v>
      </c>
      <c r="AV947" s="15">
        <f t="shared" si="609"/>
        <v>1</v>
      </c>
      <c r="AW947" s="15">
        <f t="shared" si="610"/>
        <v>1</v>
      </c>
      <c r="AX947" s="15">
        <f t="shared" si="611"/>
        <v>1</v>
      </c>
      <c r="AY947" s="15">
        <f t="shared" si="612"/>
        <v>1</v>
      </c>
      <c r="AZ947" s="15">
        <f t="shared" si="613"/>
        <v>1</v>
      </c>
      <c r="BA947" s="15">
        <f t="shared" si="614"/>
        <v>1</v>
      </c>
      <c r="BB947" s="15">
        <f t="shared" si="582"/>
        <v>0</v>
      </c>
      <c r="BC947" s="15" t="str">
        <f t="shared" si="583"/>
        <v/>
      </c>
      <c r="BD947" s="15" t="str">
        <f t="shared" si="584"/>
        <v/>
      </c>
      <c r="BE947" s="11" t="e">
        <f t="shared" si="615"/>
        <v>#VALUE!</v>
      </c>
      <c r="BF947" s="11" t="e">
        <f t="shared" si="616"/>
        <v>#VALUE!</v>
      </c>
      <c r="BG947" s="11" t="e">
        <f t="shared" si="617"/>
        <v>#VALUE!</v>
      </c>
      <c r="BH947" t="str">
        <f t="shared" si="618"/>
        <v/>
      </c>
      <c r="BI947" t="str" cm="1">
        <f t="array" ref="BI947">_xlfn.IFS(
  L947&gt;0,"Critical Fail",
  M947&gt;0,"Important (Coaching)",
  TRUE,"Clean Pass"
)</f>
        <v>Clean Pass</v>
      </c>
      <c r="BJ947" t="str">
        <f t="shared" si="619"/>
        <v>NA</v>
      </c>
    </row>
    <row r="948" spans="1:62" x14ac:dyDescent="0.3">
      <c r="A948">
        <v>653685</v>
      </c>
      <c r="K948" t="str">
        <f t="shared" si="581"/>
        <v>Pass</v>
      </c>
      <c r="L948" s="15">
        <f t="shared" si="585"/>
        <v>0</v>
      </c>
      <c r="M948" s="15">
        <f t="shared" si="586"/>
        <v>0</v>
      </c>
      <c r="Z948" s="15">
        <f t="shared" si="587"/>
        <v>1</v>
      </c>
      <c r="AA948" s="15">
        <f t="shared" si="588"/>
        <v>1</v>
      </c>
      <c r="AB948" s="15">
        <f t="shared" si="589"/>
        <v>1</v>
      </c>
      <c r="AC948" s="15">
        <f t="shared" si="590"/>
        <v>1</v>
      </c>
      <c r="AD948" s="15">
        <f t="shared" si="591"/>
        <v>1</v>
      </c>
      <c r="AE948" s="15">
        <f t="shared" si="592"/>
        <v>1</v>
      </c>
      <c r="AF948" s="15">
        <f t="shared" si="593"/>
        <v>1</v>
      </c>
      <c r="AG948" s="15">
        <f t="shared" si="594"/>
        <v>1</v>
      </c>
      <c r="AH948" s="15">
        <f t="shared" si="595"/>
        <v>1</v>
      </c>
      <c r="AI948" s="15">
        <f t="shared" si="596"/>
        <v>1</v>
      </c>
      <c r="AJ948" s="15">
        <f t="shared" si="597"/>
        <v>1</v>
      </c>
      <c r="AK948" s="15">
        <f t="shared" si="598"/>
        <v>1</v>
      </c>
      <c r="AL948" s="15">
        <f t="shared" si="599"/>
        <v>1</v>
      </c>
      <c r="AM948" s="15">
        <f t="shared" si="600"/>
        <v>1</v>
      </c>
      <c r="AN948" s="15">
        <f t="shared" si="601"/>
        <v>1</v>
      </c>
      <c r="AO948" s="15">
        <f t="shared" si="602"/>
        <v>1</v>
      </c>
      <c r="AP948" s="15">
        <f t="shared" si="603"/>
        <v>1</v>
      </c>
      <c r="AQ948" s="15">
        <f t="shared" si="604"/>
        <v>1</v>
      </c>
      <c r="AR948" s="15">
        <f t="shared" si="605"/>
        <v>1</v>
      </c>
      <c r="AS948" s="15">
        <f t="shared" si="606"/>
        <v>1</v>
      </c>
      <c r="AT948" s="15">
        <f t="shared" si="607"/>
        <v>1</v>
      </c>
      <c r="AU948" s="15">
        <f t="shared" si="608"/>
        <v>1</v>
      </c>
      <c r="AV948" s="15">
        <f t="shared" si="609"/>
        <v>1</v>
      </c>
      <c r="AW948" s="15">
        <f t="shared" si="610"/>
        <v>1</v>
      </c>
      <c r="AX948" s="15">
        <f t="shared" si="611"/>
        <v>1</v>
      </c>
      <c r="AY948" s="15">
        <f t="shared" si="612"/>
        <v>1</v>
      </c>
      <c r="AZ948" s="15">
        <f t="shared" si="613"/>
        <v>1</v>
      </c>
      <c r="BA948" s="15">
        <f t="shared" si="614"/>
        <v>1</v>
      </c>
      <c r="BB948" s="15">
        <f t="shared" si="582"/>
        <v>0</v>
      </c>
      <c r="BC948" s="15" t="str">
        <f t="shared" si="583"/>
        <v/>
      </c>
      <c r="BD948" s="15" t="str">
        <f t="shared" si="584"/>
        <v/>
      </c>
      <c r="BE948" s="11" t="e">
        <f t="shared" si="615"/>
        <v>#VALUE!</v>
      </c>
      <c r="BF948" s="11" t="e">
        <f t="shared" si="616"/>
        <v>#VALUE!</v>
      </c>
      <c r="BG948" s="11" t="e">
        <f t="shared" si="617"/>
        <v>#VALUE!</v>
      </c>
      <c r="BH948" t="str">
        <f t="shared" si="618"/>
        <v/>
      </c>
      <c r="BI948" t="str" cm="1">
        <f t="array" ref="BI948">_xlfn.IFS(
  L948&gt;0,"Critical Fail",
  M948&gt;0,"Important (Coaching)",
  TRUE,"Clean Pass"
)</f>
        <v>Clean Pass</v>
      </c>
      <c r="BJ948" t="str">
        <f t="shared" si="619"/>
        <v>NA</v>
      </c>
    </row>
    <row r="949" spans="1:62" x14ac:dyDescent="0.3">
      <c r="A949">
        <v>673745</v>
      </c>
      <c r="K949" t="str">
        <f t="shared" si="581"/>
        <v>Pass</v>
      </c>
      <c r="L949" s="15">
        <f t="shared" si="585"/>
        <v>0</v>
      </c>
      <c r="M949" s="15">
        <f t="shared" si="586"/>
        <v>0</v>
      </c>
      <c r="Z949" s="15">
        <f t="shared" si="587"/>
        <v>1</v>
      </c>
      <c r="AA949" s="15">
        <f t="shared" si="588"/>
        <v>1</v>
      </c>
      <c r="AB949" s="15">
        <f t="shared" si="589"/>
        <v>1</v>
      </c>
      <c r="AC949" s="15">
        <f t="shared" si="590"/>
        <v>1</v>
      </c>
      <c r="AD949" s="15">
        <f t="shared" si="591"/>
        <v>1</v>
      </c>
      <c r="AE949" s="15">
        <f t="shared" si="592"/>
        <v>1</v>
      </c>
      <c r="AF949" s="15">
        <f t="shared" si="593"/>
        <v>1</v>
      </c>
      <c r="AG949" s="15">
        <f t="shared" si="594"/>
        <v>1</v>
      </c>
      <c r="AH949" s="15">
        <f t="shared" si="595"/>
        <v>1</v>
      </c>
      <c r="AI949" s="15">
        <f t="shared" si="596"/>
        <v>1</v>
      </c>
      <c r="AJ949" s="15">
        <f t="shared" si="597"/>
        <v>1</v>
      </c>
      <c r="AK949" s="15">
        <f t="shared" si="598"/>
        <v>1</v>
      </c>
      <c r="AL949" s="15">
        <f t="shared" si="599"/>
        <v>1</v>
      </c>
      <c r="AM949" s="15">
        <f t="shared" si="600"/>
        <v>1</v>
      </c>
      <c r="AN949" s="15">
        <f t="shared" si="601"/>
        <v>1</v>
      </c>
      <c r="AO949" s="15">
        <f t="shared" si="602"/>
        <v>1</v>
      </c>
      <c r="AP949" s="15">
        <f t="shared" si="603"/>
        <v>1</v>
      </c>
      <c r="AQ949" s="15">
        <f t="shared" si="604"/>
        <v>1</v>
      </c>
      <c r="AR949" s="15">
        <f t="shared" si="605"/>
        <v>1</v>
      </c>
      <c r="AS949" s="15">
        <f t="shared" si="606"/>
        <v>1</v>
      </c>
      <c r="AT949" s="15">
        <f t="shared" si="607"/>
        <v>1</v>
      </c>
      <c r="AU949" s="15">
        <f t="shared" si="608"/>
        <v>1</v>
      </c>
      <c r="AV949" s="15">
        <f t="shared" si="609"/>
        <v>1</v>
      </c>
      <c r="AW949" s="15">
        <f t="shared" si="610"/>
        <v>1</v>
      </c>
      <c r="AX949" s="15">
        <f t="shared" si="611"/>
        <v>1</v>
      </c>
      <c r="AY949" s="15">
        <f t="shared" si="612"/>
        <v>1</v>
      </c>
      <c r="AZ949" s="15">
        <f t="shared" si="613"/>
        <v>1</v>
      </c>
      <c r="BA949" s="15">
        <f t="shared" si="614"/>
        <v>1</v>
      </c>
      <c r="BB949" s="15">
        <f t="shared" si="582"/>
        <v>0</v>
      </c>
      <c r="BC949" s="15" t="str">
        <f t="shared" si="583"/>
        <v/>
      </c>
      <c r="BD949" s="15" t="str">
        <f t="shared" si="584"/>
        <v/>
      </c>
      <c r="BE949" s="11" t="e">
        <f t="shared" si="615"/>
        <v>#VALUE!</v>
      </c>
      <c r="BF949" s="11" t="e">
        <f t="shared" si="616"/>
        <v>#VALUE!</v>
      </c>
      <c r="BG949" s="11" t="e">
        <f t="shared" si="617"/>
        <v>#VALUE!</v>
      </c>
      <c r="BH949" t="str">
        <f t="shared" si="618"/>
        <v/>
      </c>
      <c r="BI949" t="str" cm="1">
        <f t="array" ref="BI949">_xlfn.IFS(
  L949&gt;0,"Critical Fail",
  M949&gt;0,"Important (Coaching)",
  TRUE,"Clean Pass"
)</f>
        <v>Clean Pass</v>
      </c>
      <c r="BJ949" t="str">
        <f t="shared" si="619"/>
        <v>NA</v>
      </c>
    </row>
    <row r="950" spans="1:62" x14ac:dyDescent="0.3">
      <c r="A950">
        <v>303513</v>
      </c>
      <c r="K950" t="str">
        <f t="shared" si="581"/>
        <v>Pass</v>
      </c>
      <c r="L950" s="15">
        <f t="shared" si="585"/>
        <v>0</v>
      </c>
      <c r="M950" s="15">
        <f t="shared" si="586"/>
        <v>0</v>
      </c>
      <c r="Z950" s="15">
        <f t="shared" si="587"/>
        <v>1</v>
      </c>
      <c r="AA950" s="15">
        <f t="shared" si="588"/>
        <v>1</v>
      </c>
      <c r="AB950" s="15">
        <f t="shared" si="589"/>
        <v>1</v>
      </c>
      <c r="AC950" s="15">
        <f t="shared" si="590"/>
        <v>1</v>
      </c>
      <c r="AD950" s="15">
        <f t="shared" si="591"/>
        <v>1</v>
      </c>
      <c r="AE950" s="15">
        <f t="shared" si="592"/>
        <v>1</v>
      </c>
      <c r="AF950" s="15">
        <f t="shared" si="593"/>
        <v>1</v>
      </c>
      <c r="AG950" s="15">
        <f t="shared" si="594"/>
        <v>1</v>
      </c>
      <c r="AH950" s="15">
        <f t="shared" si="595"/>
        <v>1</v>
      </c>
      <c r="AI950" s="15">
        <f t="shared" si="596"/>
        <v>1</v>
      </c>
      <c r="AJ950" s="15">
        <f t="shared" si="597"/>
        <v>1</v>
      </c>
      <c r="AK950" s="15">
        <f t="shared" si="598"/>
        <v>1</v>
      </c>
      <c r="AL950" s="15">
        <f t="shared" si="599"/>
        <v>1</v>
      </c>
      <c r="AM950" s="15">
        <f t="shared" si="600"/>
        <v>1</v>
      </c>
      <c r="AN950" s="15">
        <f t="shared" si="601"/>
        <v>1</v>
      </c>
      <c r="AO950" s="15">
        <f t="shared" si="602"/>
        <v>1</v>
      </c>
      <c r="AP950" s="15">
        <f t="shared" si="603"/>
        <v>1</v>
      </c>
      <c r="AQ950" s="15">
        <f t="shared" si="604"/>
        <v>1</v>
      </c>
      <c r="AR950" s="15">
        <f t="shared" si="605"/>
        <v>1</v>
      </c>
      <c r="AS950" s="15">
        <f t="shared" si="606"/>
        <v>1</v>
      </c>
      <c r="AT950" s="15">
        <f t="shared" si="607"/>
        <v>1</v>
      </c>
      <c r="AU950" s="15">
        <f t="shared" si="608"/>
        <v>1</v>
      </c>
      <c r="AV950" s="15">
        <f t="shared" si="609"/>
        <v>1</v>
      </c>
      <c r="AW950" s="15">
        <f t="shared" si="610"/>
        <v>1</v>
      </c>
      <c r="AX950" s="15">
        <f t="shared" si="611"/>
        <v>1</v>
      </c>
      <c r="AY950" s="15">
        <f t="shared" si="612"/>
        <v>1</v>
      </c>
      <c r="AZ950" s="15">
        <f t="shared" si="613"/>
        <v>1</v>
      </c>
      <c r="BA950" s="15">
        <f t="shared" si="614"/>
        <v>1</v>
      </c>
      <c r="BB950" s="15">
        <f t="shared" si="582"/>
        <v>0</v>
      </c>
      <c r="BC950" s="15" t="str">
        <f t="shared" si="583"/>
        <v/>
      </c>
      <c r="BD950" s="15" t="str">
        <f t="shared" si="584"/>
        <v/>
      </c>
      <c r="BE950" s="11" t="e">
        <f t="shared" si="615"/>
        <v>#VALUE!</v>
      </c>
      <c r="BF950" s="11" t="e">
        <f t="shared" si="616"/>
        <v>#VALUE!</v>
      </c>
      <c r="BG950" s="11" t="e">
        <f t="shared" si="617"/>
        <v>#VALUE!</v>
      </c>
      <c r="BH950" t="str">
        <f t="shared" si="618"/>
        <v/>
      </c>
      <c r="BI950" t="str" cm="1">
        <f t="array" ref="BI950">_xlfn.IFS(
  L950&gt;0,"Critical Fail",
  M950&gt;0,"Important (Coaching)",
  TRUE,"Clean Pass"
)</f>
        <v>Clean Pass</v>
      </c>
      <c r="BJ950" t="str">
        <f t="shared" si="619"/>
        <v>NA</v>
      </c>
    </row>
    <row r="951" spans="1:62" x14ac:dyDescent="0.3">
      <c r="A951">
        <v>193016</v>
      </c>
      <c r="K951" t="str">
        <f t="shared" si="581"/>
        <v>Pass</v>
      </c>
      <c r="L951" s="15">
        <f t="shared" si="585"/>
        <v>0</v>
      </c>
      <c r="M951" s="15">
        <f t="shared" si="586"/>
        <v>0</v>
      </c>
      <c r="Z951" s="15">
        <f t="shared" si="587"/>
        <v>1</v>
      </c>
      <c r="AA951" s="15">
        <f t="shared" si="588"/>
        <v>1</v>
      </c>
      <c r="AB951" s="15">
        <f t="shared" si="589"/>
        <v>1</v>
      </c>
      <c r="AC951" s="15">
        <f t="shared" si="590"/>
        <v>1</v>
      </c>
      <c r="AD951" s="15">
        <f t="shared" si="591"/>
        <v>1</v>
      </c>
      <c r="AE951" s="15">
        <f t="shared" si="592"/>
        <v>1</v>
      </c>
      <c r="AF951" s="15">
        <f t="shared" si="593"/>
        <v>1</v>
      </c>
      <c r="AG951" s="15">
        <f t="shared" si="594"/>
        <v>1</v>
      </c>
      <c r="AH951" s="15">
        <f t="shared" si="595"/>
        <v>1</v>
      </c>
      <c r="AI951" s="15">
        <f t="shared" si="596"/>
        <v>1</v>
      </c>
      <c r="AJ951" s="15">
        <f t="shared" si="597"/>
        <v>1</v>
      </c>
      <c r="AK951" s="15">
        <f t="shared" si="598"/>
        <v>1</v>
      </c>
      <c r="AL951" s="15">
        <f t="shared" si="599"/>
        <v>1</v>
      </c>
      <c r="AM951" s="15">
        <f t="shared" si="600"/>
        <v>1</v>
      </c>
      <c r="AN951" s="15">
        <f t="shared" si="601"/>
        <v>1</v>
      </c>
      <c r="AO951" s="15">
        <f t="shared" si="602"/>
        <v>1</v>
      </c>
      <c r="AP951" s="15">
        <f t="shared" si="603"/>
        <v>1</v>
      </c>
      <c r="AQ951" s="15">
        <f t="shared" si="604"/>
        <v>1</v>
      </c>
      <c r="AR951" s="15">
        <f t="shared" si="605"/>
        <v>1</v>
      </c>
      <c r="AS951" s="15">
        <f t="shared" si="606"/>
        <v>1</v>
      </c>
      <c r="AT951" s="15">
        <f t="shared" si="607"/>
        <v>1</v>
      </c>
      <c r="AU951" s="15">
        <f t="shared" si="608"/>
        <v>1</v>
      </c>
      <c r="AV951" s="15">
        <f t="shared" si="609"/>
        <v>1</v>
      </c>
      <c r="AW951" s="15">
        <f t="shared" si="610"/>
        <v>1</v>
      </c>
      <c r="AX951" s="15">
        <f t="shared" si="611"/>
        <v>1</v>
      </c>
      <c r="AY951" s="15">
        <f t="shared" si="612"/>
        <v>1</v>
      </c>
      <c r="AZ951" s="15">
        <f t="shared" si="613"/>
        <v>1</v>
      </c>
      <c r="BA951" s="15">
        <f t="shared" si="614"/>
        <v>1</v>
      </c>
      <c r="BB951" s="15">
        <f t="shared" si="582"/>
        <v>0</v>
      </c>
      <c r="BC951" s="15" t="str">
        <f t="shared" si="583"/>
        <v/>
      </c>
      <c r="BD951" s="15" t="str">
        <f t="shared" si="584"/>
        <v/>
      </c>
      <c r="BE951" s="11" t="e">
        <f t="shared" si="615"/>
        <v>#VALUE!</v>
      </c>
      <c r="BF951" s="11" t="e">
        <f t="shared" si="616"/>
        <v>#VALUE!</v>
      </c>
      <c r="BG951" s="11" t="e">
        <f t="shared" si="617"/>
        <v>#VALUE!</v>
      </c>
      <c r="BH951" t="str">
        <f t="shared" si="618"/>
        <v/>
      </c>
      <c r="BI951" t="str" cm="1">
        <f t="array" ref="BI951">_xlfn.IFS(
  L951&gt;0,"Critical Fail",
  M951&gt;0,"Important (Coaching)",
  TRUE,"Clean Pass"
)</f>
        <v>Clean Pass</v>
      </c>
      <c r="BJ951" t="str">
        <f t="shared" si="619"/>
        <v>NA</v>
      </c>
    </row>
    <row r="952" spans="1:62" x14ac:dyDescent="0.3">
      <c r="A952">
        <v>754152</v>
      </c>
      <c r="K952" t="str">
        <f t="shared" si="581"/>
        <v>Pass</v>
      </c>
      <c r="L952" s="15">
        <f t="shared" si="585"/>
        <v>0</v>
      </c>
      <c r="M952" s="15">
        <f t="shared" si="586"/>
        <v>0</v>
      </c>
      <c r="Z952" s="15">
        <f t="shared" si="587"/>
        <v>1</v>
      </c>
      <c r="AA952" s="15">
        <f t="shared" si="588"/>
        <v>1</v>
      </c>
      <c r="AB952" s="15">
        <f t="shared" si="589"/>
        <v>1</v>
      </c>
      <c r="AC952" s="15">
        <f t="shared" si="590"/>
        <v>1</v>
      </c>
      <c r="AD952" s="15">
        <f t="shared" si="591"/>
        <v>1</v>
      </c>
      <c r="AE952" s="15">
        <f t="shared" si="592"/>
        <v>1</v>
      </c>
      <c r="AF952" s="15">
        <f t="shared" si="593"/>
        <v>1</v>
      </c>
      <c r="AG952" s="15">
        <f t="shared" si="594"/>
        <v>1</v>
      </c>
      <c r="AH952" s="15">
        <f t="shared" si="595"/>
        <v>1</v>
      </c>
      <c r="AI952" s="15">
        <f t="shared" si="596"/>
        <v>1</v>
      </c>
      <c r="AJ952" s="15">
        <f t="shared" si="597"/>
        <v>1</v>
      </c>
      <c r="AK952" s="15">
        <f t="shared" si="598"/>
        <v>1</v>
      </c>
      <c r="AL952" s="15">
        <f t="shared" si="599"/>
        <v>1</v>
      </c>
      <c r="AM952" s="15">
        <f t="shared" si="600"/>
        <v>1</v>
      </c>
      <c r="AN952" s="15">
        <f t="shared" si="601"/>
        <v>1</v>
      </c>
      <c r="AO952" s="15">
        <f t="shared" si="602"/>
        <v>1</v>
      </c>
      <c r="AP952" s="15">
        <f t="shared" si="603"/>
        <v>1</v>
      </c>
      <c r="AQ952" s="15">
        <f t="shared" si="604"/>
        <v>1</v>
      </c>
      <c r="AR952" s="15">
        <f t="shared" si="605"/>
        <v>1</v>
      </c>
      <c r="AS952" s="15">
        <f t="shared" si="606"/>
        <v>1</v>
      </c>
      <c r="AT952" s="15">
        <f t="shared" si="607"/>
        <v>1</v>
      </c>
      <c r="AU952" s="15">
        <f t="shared" si="608"/>
        <v>1</v>
      </c>
      <c r="AV952" s="15">
        <f t="shared" si="609"/>
        <v>1</v>
      </c>
      <c r="AW952" s="15">
        <f t="shared" si="610"/>
        <v>1</v>
      </c>
      <c r="AX952" s="15">
        <f t="shared" si="611"/>
        <v>1</v>
      </c>
      <c r="AY952" s="15">
        <f t="shared" si="612"/>
        <v>1</v>
      </c>
      <c r="AZ952" s="15">
        <f t="shared" si="613"/>
        <v>1</v>
      </c>
      <c r="BA952" s="15">
        <f t="shared" si="614"/>
        <v>1</v>
      </c>
      <c r="BB952" s="15">
        <f t="shared" si="582"/>
        <v>0</v>
      </c>
      <c r="BC952" s="15" t="str">
        <f t="shared" si="583"/>
        <v/>
      </c>
      <c r="BD952" s="15" t="str">
        <f t="shared" si="584"/>
        <v/>
      </c>
      <c r="BE952" s="11" t="e">
        <f t="shared" si="615"/>
        <v>#VALUE!</v>
      </c>
      <c r="BF952" s="11" t="e">
        <f t="shared" si="616"/>
        <v>#VALUE!</v>
      </c>
      <c r="BG952" s="11" t="e">
        <f t="shared" si="617"/>
        <v>#VALUE!</v>
      </c>
      <c r="BH952" t="str">
        <f t="shared" si="618"/>
        <v/>
      </c>
      <c r="BI952" t="str" cm="1">
        <f t="array" ref="BI952">_xlfn.IFS(
  L952&gt;0,"Critical Fail",
  M952&gt;0,"Important (Coaching)",
  TRUE,"Clean Pass"
)</f>
        <v>Clean Pass</v>
      </c>
      <c r="BJ952" t="str">
        <f t="shared" si="619"/>
        <v>NA</v>
      </c>
    </row>
    <row r="953" spans="1:62" x14ac:dyDescent="0.3">
      <c r="A953">
        <v>146564</v>
      </c>
      <c r="K953" t="str">
        <f t="shared" si="581"/>
        <v>Pass</v>
      </c>
      <c r="L953" s="15">
        <f t="shared" si="585"/>
        <v>0</v>
      </c>
      <c r="M953" s="15">
        <f t="shared" si="586"/>
        <v>0</v>
      </c>
      <c r="Z953" s="15">
        <f t="shared" si="587"/>
        <v>1</v>
      </c>
      <c r="AA953" s="15">
        <f t="shared" si="588"/>
        <v>1</v>
      </c>
      <c r="AB953" s="15">
        <f t="shared" si="589"/>
        <v>1</v>
      </c>
      <c r="AC953" s="15">
        <f t="shared" si="590"/>
        <v>1</v>
      </c>
      <c r="AD953" s="15">
        <f t="shared" si="591"/>
        <v>1</v>
      </c>
      <c r="AE953" s="15">
        <f t="shared" si="592"/>
        <v>1</v>
      </c>
      <c r="AF953" s="15">
        <f t="shared" si="593"/>
        <v>1</v>
      </c>
      <c r="AG953" s="15">
        <f t="shared" si="594"/>
        <v>1</v>
      </c>
      <c r="AH953" s="15">
        <f t="shared" si="595"/>
        <v>1</v>
      </c>
      <c r="AI953" s="15">
        <f t="shared" si="596"/>
        <v>1</v>
      </c>
      <c r="AJ953" s="15">
        <f t="shared" si="597"/>
        <v>1</v>
      </c>
      <c r="AK953" s="15">
        <f t="shared" si="598"/>
        <v>1</v>
      </c>
      <c r="AL953" s="15">
        <f t="shared" si="599"/>
        <v>1</v>
      </c>
      <c r="AM953" s="15">
        <f t="shared" si="600"/>
        <v>1</v>
      </c>
      <c r="AN953" s="15">
        <f t="shared" si="601"/>
        <v>1</v>
      </c>
      <c r="AO953" s="15">
        <f t="shared" si="602"/>
        <v>1</v>
      </c>
      <c r="AP953" s="15">
        <f t="shared" si="603"/>
        <v>1</v>
      </c>
      <c r="AQ953" s="15">
        <f t="shared" si="604"/>
        <v>1</v>
      </c>
      <c r="AR953" s="15">
        <f t="shared" si="605"/>
        <v>1</v>
      </c>
      <c r="AS953" s="15">
        <f t="shared" si="606"/>
        <v>1</v>
      </c>
      <c r="AT953" s="15">
        <f t="shared" si="607"/>
        <v>1</v>
      </c>
      <c r="AU953" s="15">
        <f t="shared" si="608"/>
        <v>1</v>
      </c>
      <c r="AV953" s="15">
        <f t="shared" si="609"/>
        <v>1</v>
      </c>
      <c r="AW953" s="15">
        <f t="shared" si="610"/>
        <v>1</v>
      </c>
      <c r="AX953" s="15">
        <f t="shared" si="611"/>
        <v>1</v>
      </c>
      <c r="AY953" s="15">
        <f t="shared" si="612"/>
        <v>1</v>
      </c>
      <c r="AZ953" s="15">
        <f t="shared" si="613"/>
        <v>1</v>
      </c>
      <c r="BA953" s="15">
        <f t="shared" si="614"/>
        <v>1</v>
      </c>
      <c r="BB953" s="15">
        <f t="shared" si="582"/>
        <v>0</v>
      </c>
      <c r="BC953" s="15" t="str">
        <f t="shared" si="583"/>
        <v/>
      </c>
      <c r="BD953" s="15" t="str">
        <f t="shared" si="584"/>
        <v/>
      </c>
      <c r="BE953" s="11" t="e">
        <f t="shared" si="615"/>
        <v>#VALUE!</v>
      </c>
      <c r="BF953" s="11" t="e">
        <f t="shared" si="616"/>
        <v>#VALUE!</v>
      </c>
      <c r="BG953" s="11" t="e">
        <f t="shared" si="617"/>
        <v>#VALUE!</v>
      </c>
      <c r="BH953" t="str">
        <f t="shared" si="618"/>
        <v/>
      </c>
      <c r="BI953" t="str" cm="1">
        <f t="array" ref="BI953">_xlfn.IFS(
  L953&gt;0,"Critical Fail",
  M953&gt;0,"Important (Coaching)",
  TRUE,"Clean Pass"
)</f>
        <v>Clean Pass</v>
      </c>
      <c r="BJ953" t="str">
        <f t="shared" si="619"/>
        <v>NA</v>
      </c>
    </row>
    <row r="954" spans="1:62" x14ac:dyDescent="0.3">
      <c r="A954">
        <v>329648</v>
      </c>
      <c r="K954" t="str">
        <f t="shared" si="581"/>
        <v>Pass</v>
      </c>
      <c r="L954" s="15">
        <f t="shared" si="585"/>
        <v>0</v>
      </c>
      <c r="M954" s="15">
        <f t="shared" si="586"/>
        <v>0</v>
      </c>
      <c r="Z954" s="15">
        <f t="shared" si="587"/>
        <v>1</v>
      </c>
      <c r="AA954" s="15">
        <f t="shared" si="588"/>
        <v>1</v>
      </c>
      <c r="AB954" s="15">
        <f t="shared" si="589"/>
        <v>1</v>
      </c>
      <c r="AC954" s="15">
        <f t="shared" si="590"/>
        <v>1</v>
      </c>
      <c r="AD954" s="15">
        <f t="shared" si="591"/>
        <v>1</v>
      </c>
      <c r="AE954" s="15">
        <f t="shared" si="592"/>
        <v>1</v>
      </c>
      <c r="AF954" s="15">
        <f t="shared" si="593"/>
        <v>1</v>
      </c>
      <c r="AG954" s="15">
        <f t="shared" si="594"/>
        <v>1</v>
      </c>
      <c r="AH954" s="15">
        <f t="shared" si="595"/>
        <v>1</v>
      </c>
      <c r="AI954" s="15">
        <f t="shared" si="596"/>
        <v>1</v>
      </c>
      <c r="AJ954" s="15">
        <f t="shared" si="597"/>
        <v>1</v>
      </c>
      <c r="AK954" s="15">
        <f t="shared" si="598"/>
        <v>1</v>
      </c>
      <c r="AL954" s="15">
        <f t="shared" si="599"/>
        <v>1</v>
      </c>
      <c r="AM954" s="15">
        <f t="shared" si="600"/>
        <v>1</v>
      </c>
      <c r="AN954" s="15">
        <f t="shared" si="601"/>
        <v>1</v>
      </c>
      <c r="AO954" s="15">
        <f t="shared" si="602"/>
        <v>1</v>
      </c>
      <c r="AP954" s="15">
        <f t="shared" si="603"/>
        <v>1</v>
      </c>
      <c r="AQ954" s="15">
        <f t="shared" si="604"/>
        <v>1</v>
      </c>
      <c r="AR954" s="15">
        <f t="shared" si="605"/>
        <v>1</v>
      </c>
      <c r="AS954" s="15">
        <f t="shared" si="606"/>
        <v>1</v>
      </c>
      <c r="AT954" s="15">
        <f t="shared" si="607"/>
        <v>1</v>
      </c>
      <c r="AU954" s="15">
        <f t="shared" si="608"/>
        <v>1</v>
      </c>
      <c r="AV954" s="15">
        <f t="shared" si="609"/>
        <v>1</v>
      </c>
      <c r="AW954" s="15">
        <f t="shared" si="610"/>
        <v>1</v>
      </c>
      <c r="AX954" s="15">
        <f t="shared" si="611"/>
        <v>1</v>
      </c>
      <c r="AY954" s="15">
        <f t="shared" si="612"/>
        <v>1</v>
      </c>
      <c r="AZ954" s="15">
        <f t="shared" si="613"/>
        <v>1</v>
      </c>
      <c r="BA954" s="15">
        <f t="shared" si="614"/>
        <v>1</v>
      </c>
      <c r="BB954" s="15">
        <f t="shared" si="582"/>
        <v>0</v>
      </c>
      <c r="BC954" s="15" t="str">
        <f t="shared" si="583"/>
        <v/>
      </c>
      <c r="BD954" s="15" t="str">
        <f t="shared" si="584"/>
        <v/>
      </c>
      <c r="BE954" s="11" t="e">
        <f t="shared" si="615"/>
        <v>#VALUE!</v>
      </c>
      <c r="BF954" s="11" t="e">
        <f t="shared" si="616"/>
        <v>#VALUE!</v>
      </c>
      <c r="BG954" s="11" t="e">
        <f t="shared" si="617"/>
        <v>#VALUE!</v>
      </c>
      <c r="BH954" t="str">
        <f t="shared" si="618"/>
        <v/>
      </c>
      <c r="BI954" t="str" cm="1">
        <f t="array" ref="BI954">_xlfn.IFS(
  L954&gt;0,"Critical Fail",
  M954&gt;0,"Important (Coaching)",
  TRUE,"Clean Pass"
)</f>
        <v>Clean Pass</v>
      </c>
      <c r="BJ954" t="str">
        <f t="shared" si="619"/>
        <v>NA</v>
      </c>
    </row>
    <row r="955" spans="1:62" x14ac:dyDescent="0.3">
      <c r="A955">
        <v>716890</v>
      </c>
      <c r="K955" t="str">
        <f t="shared" si="581"/>
        <v>Pass</v>
      </c>
      <c r="L955" s="15">
        <f t="shared" si="585"/>
        <v>0</v>
      </c>
      <c r="M955" s="15">
        <f t="shared" si="586"/>
        <v>0</v>
      </c>
      <c r="Z955" s="15">
        <f t="shared" si="587"/>
        <v>1</v>
      </c>
      <c r="AA955" s="15">
        <f t="shared" si="588"/>
        <v>1</v>
      </c>
      <c r="AB955" s="15">
        <f t="shared" si="589"/>
        <v>1</v>
      </c>
      <c r="AC955" s="15">
        <f t="shared" si="590"/>
        <v>1</v>
      </c>
      <c r="AD955" s="15">
        <f t="shared" si="591"/>
        <v>1</v>
      </c>
      <c r="AE955" s="15">
        <f t="shared" si="592"/>
        <v>1</v>
      </c>
      <c r="AF955" s="15">
        <f t="shared" si="593"/>
        <v>1</v>
      </c>
      <c r="AG955" s="15">
        <f t="shared" si="594"/>
        <v>1</v>
      </c>
      <c r="AH955" s="15">
        <f t="shared" si="595"/>
        <v>1</v>
      </c>
      <c r="AI955" s="15">
        <f t="shared" si="596"/>
        <v>1</v>
      </c>
      <c r="AJ955" s="15">
        <f t="shared" si="597"/>
        <v>1</v>
      </c>
      <c r="AK955" s="15">
        <f t="shared" si="598"/>
        <v>1</v>
      </c>
      <c r="AL955" s="15">
        <f t="shared" si="599"/>
        <v>1</v>
      </c>
      <c r="AM955" s="15">
        <f t="shared" si="600"/>
        <v>1</v>
      </c>
      <c r="AN955" s="15">
        <f t="shared" si="601"/>
        <v>1</v>
      </c>
      <c r="AO955" s="15">
        <f t="shared" si="602"/>
        <v>1</v>
      </c>
      <c r="AP955" s="15">
        <f t="shared" si="603"/>
        <v>1</v>
      </c>
      <c r="AQ955" s="15">
        <f t="shared" si="604"/>
        <v>1</v>
      </c>
      <c r="AR955" s="15">
        <f t="shared" si="605"/>
        <v>1</v>
      </c>
      <c r="AS955" s="15">
        <f t="shared" si="606"/>
        <v>1</v>
      </c>
      <c r="AT955" s="15">
        <f t="shared" si="607"/>
        <v>1</v>
      </c>
      <c r="AU955" s="15">
        <f t="shared" si="608"/>
        <v>1</v>
      </c>
      <c r="AV955" s="15">
        <f t="shared" si="609"/>
        <v>1</v>
      </c>
      <c r="AW955" s="15">
        <f t="shared" si="610"/>
        <v>1</v>
      </c>
      <c r="AX955" s="15">
        <f t="shared" si="611"/>
        <v>1</v>
      </c>
      <c r="AY955" s="15">
        <f t="shared" si="612"/>
        <v>1</v>
      </c>
      <c r="AZ955" s="15">
        <f t="shared" si="613"/>
        <v>1</v>
      </c>
      <c r="BA955" s="15">
        <f t="shared" si="614"/>
        <v>1</v>
      </c>
      <c r="BB955" s="15">
        <f t="shared" si="582"/>
        <v>0</v>
      </c>
      <c r="BC955" s="15" t="str">
        <f t="shared" si="583"/>
        <v/>
      </c>
      <c r="BD955" s="15" t="str">
        <f t="shared" si="584"/>
        <v/>
      </c>
      <c r="BE955" s="11" t="e">
        <f t="shared" si="615"/>
        <v>#VALUE!</v>
      </c>
      <c r="BF955" s="11" t="e">
        <f t="shared" si="616"/>
        <v>#VALUE!</v>
      </c>
      <c r="BG955" s="11" t="e">
        <f t="shared" si="617"/>
        <v>#VALUE!</v>
      </c>
      <c r="BH955" t="str">
        <f t="shared" si="618"/>
        <v/>
      </c>
      <c r="BI955" t="str" cm="1">
        <f t="array" ref="BI955">_xlfn.IFS(
  L955&gt;0,"Critical Fail",
  M955&gt;0,"Important (Coaching)",
  TRUE,"Clean Pass"
)</f>
        <v>Clean Pass</v>
      </c>
      <c r="BJ955" t="str">
        <f t="shared" si="619"/>
        <v>NA</v>
      </c>
    </row>
    <row r="956" spans="1:62" x14ac:dyDescent="0.3">
      <c r="A956">
        <v>389619</v>
      </c>
      <c r="K956" t="str">
        <f t="shared" si="581"/>
        <v>Pass</v>
      </c>
      <c r="L956" s="15">
        <f t="shared" si="585"/>
        <v>0</v>
      </c>
      <c r="M956" s="15">
        <f t="shared" si="586"/>
        <v>0</v>
      </c>
      <c r="Z956" s="15">
        <f t="shared" si="587"/>
        <v>1</v>
      </c>
      <c r="AA956" s="15">
        <f t="shared" si="588"/>
        <v>1</v>
      </c>
      <c r="AB956" s="15">
        <f t="shared" si="589"/>
        <v>1</v>
      </c>
      <c r="AC956" s="15">
        <f t="shared" si="590"/>
        <v>1</v>
      </c>
      <c r="AD956" s="15">
        <f t="shared" si="591"/>
        <v>1</v>
      </c>
      <c r="AE956" s="15">
        <f t="shared" si="592"/>
        <v>1</v>
      </c>
      <c r="AF956" s="15">
        <f t="shared" si="593"/>
        <v>1</v>
      </c>
      <c r="AG956" s="15">
        <f t="shared" si="594"/>
        <v>1</v>
      </c>
      <c r="AH956" s="15">
        <f t="shared" si="595"/>
        <v>1</v>
      </c>
      <c r="AI956" s="15">
        <f t="shared" si="596"/>
        <v>1</v>
      </c>
      <c r="AJ956" s="15">
        <f t="shared" si="597"/>
        <v>1</v>
      </c>
      <c r="AK956" s="15">
        <f t="shared" si="598"/>
        <v>1</v>
      </c>
      <c r="AL956" s="15">
        <f t="shared" si="599"/>
        <v>1</v>
      </c>
      <c r="AM956" s="15">
        <f t="shared" si="600"/>
        <v>1</v>
      </c>
      <c r="AN956" s="15">
        <f t="shared" si="601"/>
        <v>1</v>
      </c>
      <c r="AO956" s="15">
        <f t="shared" si="602"/>
        <v>1</v>
      </c>
      <c r="AP956" s="15">
        <f t="shared" si="603"/>
        <v>1</v>
      </c>
      <c r="AQ956" s="15">
        <f t="shared" si="604"/>
        <v>1</v>
      </c>
      <c r="AR956" s="15">
        <f t="shared" si="605"/>
        <v>1</v>
      </c>
      <c r="AS956" s="15">
        <f t="shared" si="606"/>
        <v>1</v>
      </c>
      <c r="AT956" s="15">
        <f t="shared" si="607"/>
        <v>1</v>
      </c>
      <c r="AU956" s="15">
        <f t="shared" si="608"/>
        <v>1</v>
      </c>
      <c r="AV956" s="15">
        <f t="shared" si="609"/>
        <v>1</v>
      </c>
      <c r="AW956" s="15">
        <f t="shared" si="610"/>
        <v>1</v>
      </c>
      <c r="AX956" s="15">
        <f t="shared" si="611"/>
        <v>1</v>
      </c>
      <c r="AY956" s="15">
        <f t="shared" si="612"/>
        <v>1</v>
      </c>
      <c r="AZ956" s="15">
        <f t="shared" si="613"/>
        <v>1</v>
      </c>
      <c r="BA956" s="15">
        <f t="shared" si="614"/>
        <v>1</v>
      </c>
      <c r="BB956" s="15">
        <f t="shared" si="582"/>
        <v>0</v>
      </c>
      <c r="BC956" s="15" t="str">
        <f t="shared" si="583"/>
        <v/>
      </c>
      <c r="BD956" s="15" t="str">
        <f t="shared" si="584"/>
        <v/>
      </c>
      <c r="BE956" s="11" t="e">
        <f t="shared" si="615"/>
        <v>#VALUE!</v>
      </c>
      <c r="BF956" s="11" t="e">
        <f t="shared" si="616"/>
        <v>#VALUE!</v>
      </c>
      <c r="BG956" s="11" t="e">
        <f t="shared" si="617"/>
        <v>#VALUE!</v>
      </c>
      <c r="BH956" t="str">
        <f t="shared" si="618"/>
        <v/>
      </c>
      <c r="BI956" t="str" cm="1">
        <f t="array" ref="BI956">_xlfn.IFS(
  L956&gt;0,"Critical Fail",
  M956&gt;0,"Important (Coaching)",
  TRUE,"Clean Pass"
)</f>
        <v>Clean Pass</v>
      </c>
      <c r="BJ956" t="str">
        <f t="shared" si="619"/>
        <v>NA</v>
      </c>
    </row>
    <row r="957" spans="1:62" x14ac:dyDescent="0.3">
      <c r="A957">
        <v>671840</v>
      </c>
      <c r="K957" t="str">
        <f t="shared" si="581"/>
        <v>Pass</v>
      </c>
      <c r="L957" s="15">
        <f t="shared" si="585"/>
        <v>0</v>
      </c>
      <c r="M957" s="15">
        <f t="shared" si="586"/>
        <v>0</v>
      </c>
      <c r="Z957" s="15">
        <f t="shared" si="587"/>
        <v>1</v>
      </c>
      <c r="AA957" s="15">
        <f t="shared" si="588"/>
        <v>1</v>
      </c>
      <c r="AB957" s="15">
        <f t="shared" si="589"/>
        <v>1</v>
      </c>
      <c r="AC957" s="15">
        <f t="shared" si="590"/>
        <v>1</v>
      </c>
      <c r="AD957" s="15">
        <f t="shared" si="591"/>
        <v>1</v>
      </c>
      <c r="AE957" s="15">
        <f t="shared" si="592"/>
        <v>1</v>
      </c>
      <c r="AF957" s="15">
        <f t="shared" si="593"/>
        <v>1</v>
      </c>
      <c r="AG957" s="15">
        <f t="shared" si="594"/>
        <v>1</v>
      </c>
      <c r="AH957" s="15">
        <f t="shared" si="595"/>
        <v>1</v>
      </c>
      <c r="AI957" s="15">
        <f t="shared" si="596"/>
        <v>1</v>
      </c>
      <c r="AJ957" s="15">
        <f t="shared" si="597"/>
        <v>1</v>
      </c>
      <c r="AK957" s="15">
        <f t="shared" si="598"/>
        <v>1</v>
      </c>
      <c r="AL957" s="15">
        <f t="shared" si="599"/>
        <v>1</v>
      </c>
      <c r="AM957" s="15">
        <f t="shared" si="600"/>
        <v>1</v>
      </c>
      <c r="AN957" s="15">
        <f t="shared" si="601"/>
        <v>1</v>
      </c>
      <c r="AO957" s="15">
        <f t="shared" si="602"/>
        <v>1</v>
      </c>
      <c r="AP957" s="15">
        <f t="shared" si="603"/>
        <v>1</v>
      </c>
      <c r="AQ957" s="15">
        <f t="shared" si="604"/>
        <v>1</v>
      </c>
      <c r="AR957" s="15">
        <f t="shared" si="605"/>
        <v>1</v>
      </c>
      <c r="AS957" s="15">
        <f t="shared" si="606"/>
        <v>1</v>
      </c>
      <c r="AT957" s="15">
        <f t="shared" si="607"/>
        <v>1</v>
      </c>
      <c r="AU957" s="15">
        <f t="shared" si="608"/>
        <v>1</v>
      </c>
      <c r="AV957" s="15">
        <f t="shared" si="609"/>
        <v>1</v>
      </c>
      <c r="AW957" s="15">
        <f t="shared" si="610"/>
        <v>1</v>
      </c>
      <c r="AX957" s="15">
        <f t="shared" si="611"/>
        <v>1</v>
      </c>
      <c r="AY957" s="15">
        <f t="shared" si="612"/>
        <v>1</v>
      </c>
      <c r="AZ957" s="15">
        <f t="shared" si="613"/>
        <v>1</v>
      </c>
      <c r="BA957" s="15">
        <f t="shared" si="614"/>
        <v>1</v>
      </c>
      <c r="BB957" s="15">
        <f t="shared" si="582"/>
        <v>0</v>
      </c>
      <c r="BC957" s="15" t="str">
        <f t="shared" si="583"/>
        <v/>
      </c>
      <c r="BD957" s="15" t="str">
        <f t="shared" si="584"/>
        <v/>
      </c>
      <c r="BE957" s="11" t="e">
        <f t="shared" si="615"/>
        <v>#VALUE!</v>
      </c>
      <c r="BF957" s="11" t="e">
        <f t="shared" si="616"/>
        <v>#VALUE!</v>
      </c>
      <c r="BG957" s="11" t="e">
        <f t="shared" si="617"/>
        <v>#VALUE!</v>
      </c>
      <c r="BH957" t="str">
        <f t="shared" si="618"/>
        <v/>
      </c>
      <c r="BI957" t="str" cm="1">
        <f t="array" ref="BI957">_xlfn.IFS(
  L957&gt;0,"Critical Fail",
  M957&gt;0,"Important (Coaching)",
  TRUE,"Clean Pass"
)</f>
        <v>Clean Pass</v>
      </c>
      <c r="BJ957" t="str">
        <f t="shared" si="619"/>
        <v>NA</v>
      </c>
    </row>
    <row r="958" spans="1:62" x14ac:dyDescent="0.3">
      <c r="A958">
        <v>131133</v>
      </c>
      <c r="K958" t="str">
        <f t="shared" si="581"/>
        <v>Pass</v>
      </c>
      <c r="L958" s="15">
        <f t="shared" si="585"/>
        <v>0</v>
      </c>
      <c r="M958" s="15">
        <f t="shared" si="586"/>
        <v>0</v>
      </c>
      <c r="Z958" s="15">
        <f t="shared" si="587"/>
        <v>1</v>
      </c>
      <c r="AA958" s="15">
        <f t="shared" si="588"/>
        <v>1</v>
      </c>
      <c r="AB958" s="15">
        <f t="shared" si="589"/>
        <v>1</v>
      </c>
      <c r="AC958" s="15">
        <f t="shared" si="590"/>
        <v>1</v>
      </c>
      <c r="AD958" s="15">
        <f t="shared" si="591"/>
        <v>1</v>
      </c>
      <c r="AE958" s="15">
        <f t="shared" si="592"/>
        <v>1</v>
      </c>
      <c r="AF958" s="15">
        <f t="shared" si="593"/>
        <v>1</v>
      </c>
      <c r="AG958" s="15">
        <f t="shared" si="594"/>
        <v>1</v>
      </c>
      <c r="AH958" s="15">
        <f t="shared" si="595"/>
        <v>1</v>
      </c>
      <c r="AI958" s="15">
        <f t="shared" si="596"/>
        <v>1</v>
      </c>
      <c r="AJ958" s="15">
        <f t="shared" si="597"/>
        <v>1</v>
      </c>
      <c r="AK958" s="15">
        <f t="shared" si="598"/>
        <v>1</v>
      </c>
      <c r="AL958" s="15">
        <f t="shared" si="599"/>
        <v>1</v>
      </c>
      <c r="AM958" s="15">
        <f t="shared" si="600"/>
        <v>1</v>
      </c>
      <c r="AN958" s="15">
        <f t="shared" si="601"/>
        <v>1</v>
      </c>
      <c r="AO958" s="15">
        <f t="shared" si="602"/>
        <v>1</v>
      </c>
      <c r="AP958" s="15">
        <f t="shared" si="603"/>
        <v>1</v>
      </c>
      <c r="AQ958" s="15">
        <f t="shared" si="604"/>
        <v>1</v>
      </c>
      <c r="AR958" s="15">
        <f t="shared" si="605"/>
        <v>1</v>
      </c>
      <c r="AS958" s="15">
        <f t="shared" si="606"/>
        <v>1</v>
      </c>
      <c r="AT958" s="15">
        <f t="shared" si="607"/>
        <v>1</v>
      </c>
      <c r="AU958" s="15">
        <f t="shared" si="608"/>
        <v>1</v>
      </c>
      <c r="AV958" s="15">
        <f t="shared" si="609"/>
        <v>1</v>
      </c>
      <c r="AW958" s="15">
        <f t="shared" si="610"/>
        <v>1</v>
      </c>
      <c r="AX958" s="15">
        <f t="shared" si="611"/>
        <v>1</v>
      </c>
      <c r="AY958" s="15">
        <f t="shared" si="612"/>
        <v>1</v>
      </c>
      <c r="AZ958" s="15">
        <f t="shared" si="613"/>
        <v>1</v>
      </c>
      <c r="BA958" s="15">
        <f t="shared" si="614"/>
        <v>1</v>
      </c>
      <c r="BB958" s="15">
        <f t="shared" si="582"/>
        <v>0</v>
      </c>
      <c r="BC958" s="15" t="str">
        <f t="shared" si="583"/>
        <v/>
      </c>
      <c r="BD958" s="15" t="str">
        <f t="shared" si="584"/>
        <v/>
      </c>
      <c r="BE958" s="11" t="e">
        <f t="shared" si="615"/>
        <v>#VALUE!</v>
      </c>
      <c r="BF958" s="11" t="e">
        <f t="shared" si="616"/>
        <v>#VALUE!</v>
      </c>
      <c r="BG958" s="11" t="e">
        <f t="shared" si="617"/>
        <v>#VALUE!</v>
      </c>
      <c r="BH958" t="str">
        <f t="shared" si="618"/>
        <v/>
      </c>
      <c r="BI958" t="str" cm="1">
        <f t="array" ref="BI958">_xlfn.IFS(
  L958&gt;0,"Critical Fail",
  M958&gt;0,"Important (Coaching)",
  TRUE,"Clean Pass"
)</f>
        <v>Clean Pass</v>
      </c>
      <c r="BJ958" t="str">
        <f t="shared" si="619"/>
        <v>NA</v>
      </c>
    </row>
    <row r="959" spans="1:62" x14ac:dyDescent="0.3">
      <c r="A959">
        <v>458955</v>
      </c>
      <c r="K959" t="str">
        <f t="shared" si="581"/>
        <v>Pass</v>
      </c>
      <c r="L959" s="15">
        <f t="shared" si="585"/>
        <v>0</v>
      </c>
      <c r="M959" s="15">
        <f t="shared" si="586"/>
        <v>0</v>
      </c>
      <c r="Z959" s="15">
        <f t="shared" si="587"/>
        <v>1</v>
      </c>
      <c r="AA959" s="15">
        <f t="shared" si="588"/>
        <v>1</v>
      </c>
      <c r="AB959" s="15">
        <f t="shared" si="589"/>
        <v>1</v>
      </c>
      <c r="AC959" s="15">
        <f t="shared" si="590"/>
        <v>1</v>
      </c>
      <c r="AD959" s="15">
        <f t="shared" si="591"/>
        <v>1</v>
      </c>
      <c r="AE959" s="15">
        <f t="shared" si="592"/>
        <v>1</v>
      </c>
      <c r="AF959" s="15">
        <f t="shared" si="593"/>
        <v>1</v>
      </c>
      <c r="AG959" s="15">
        <f t="shared" si="594"/>
        <v>1</v>
      </c>
      <c r="AH959" s="15">
        <f t="shared" si="595"/>
        <v>1</v>
      </c>
      <c r="AI959" s="15">
        <f t="shared" si="596"/>
        <v>1</v>
      </c>
      <c r="AJ959" s="15">
        <f t="shared" si="597"/>
        <v>1</v>
      </c>
      <c r="AK959" s="15">
        <f t="shared" si="598"/>
        <v>1</v>
      </c>
      <c r="AL959" s="15">
        <f t="shared" si="599"/>
        <v>1</v>
      </c>
      <c r="AM959" s="15">
        <f t="shared" si="600"/>
        <v>1</v>
      </c>
      <c r="AN959" s="15">
        <f t="shared" si="601"/>
        <v>1</v>
      </c>
      <c r="AO959" s="15">
        <f t="shared" si="602"/>
        <v>1</v>
      </c>
      <c r="AP959" s="15">
        <f t="shared" si="603"/>
        <v>1</v>
      </c>
      <c r="AQ959" s="15">
        <f t="shared" si="604"/>
        <v>1</v>
      </c>
      <c r="AR959" s="15">
        <f t="shared" si="605"/>
        <v>1</v>
      </c>
      <c r="AS959" s="15">
        <f t="shared" si="606"/>
        <v>1</v>
      </c>
      <c r="AT959" s="15">
        <f t="shared" si="607"/>
        <v>1</v>
      </c>
      <c r="AU959" s="15">
        <f t="shared" si="608"/>
        <v>1</v>
      </c>
      <c r="AV959" s="15">
        <f t="shared" si="609"/>
        <v>1</v>
      </c>
      <c r="AW959" s="15">
        <f t="shared" si="610"/>
        <v>1</v>
      </c>
      <c r="AX959" s="15">
        <f t="shared" si="611"/>
        <v>1</v>
      </c>
      <c r="AY959" s="15">
        <f t="shared" si="612"/>
        <v>1</v>
      </c>
      <c r="AZ959" s="15">
        <f t="shared" si="613"/>
        <v>1</v>
      </c>
      <c r="BA959" s="15">
        <f t="shared" si="614"/>
        <v>1</v>
      </c>
      <c r="BB959" s="15">
        <f t="shared" si="582"/>
        <v>0</v>
      </c>
      <c r="BC959" s="15" t="str">
        <f t="shared" si="583"/>
        <v/>
      </c>
      <c r="BD959" s="15" t="str">
        <f t="shared" si="584"/>
        <v/>
      </c>
      <c r="BE959" s="11" t="e">
        <f t="shared" si="615"/>
        <v>#VALUE!</v>
      </c>
      <c r="BF959" s="11" t="e">
        <f t="shared" si="616"/>
        <v>#VALUE!</v>
      </c>
      <c r="BG959" s="11" t="e">
        <f t="shared" si="617"/>
        <v>#VALUE!</v>
      </c>
      <c r="BH959" t="str">
        <f t="shared" si="618"/>
        <v/>
      </c>
      <c r="BI959" t="str" cm="1">
        <f t="array" ref="BI959">_xlfn.IFS(
  L959&gt;0,"Critical Fail",
  M959&gt;0,"Important (Coaching)",
  TRUE,"Clean Pass"
)</f>
        <v>Clean Pass</v>
      </c>
      <c r="BJ959" t="str">
        <f t="shared" si="619"/>
        <v>NA</v>
      </c>
    </row>
    <row r="960" spans="1:62" x14ac:dyDescent="0.3">
      <c r="A960">
        <v>232879</v>
      </c>
      <c r="K960" t="str">
        <f t="shared" si="581"/>
        <v>Pass</v>
      </c>
      <c r="L960" s="15">
        <f t="shared" si="585"/>
        <v>0</v>
      </c>
      <c r="M960" s="15">
        <f t="shared" si="586"/>
        <v>0</v>
      </c>
      <c r="Z960" s="15">
        <f t="shared" si="587"/>
        <v>1</v>
      </c>
      <c r="AA960" s="15">
        <f t="shared" si="588"/>
        <v>1</v>
      </c>
      <c r="AB960" s="15">
        <f t="shared" si="589"/>
        <v>1</v>
      </c>
      <c r="AC960" s="15">
        <f t="shared" si="590"/>
        <v>1</v>
      </c>
      <c r="AD960" s="15">
        <f t="shared" si="591"/>
        <v>1</v>
      </c>
      <c r="AE960" s="15">
        <f t="shared" si="592"/>
        <v>1</v>
      </c>
      <c r="AF960" s="15">
        <f t="shared" si="593"/>
        <v>1</v>
      </c>
      <c r="AG960" s="15">
        <f t="shared" si="594"/>
        <v>1</v>
      </c>
      <c r="AH960" s="15">
        <f t="shared" si="595"/>
        <v>1</v>
      </c>
      <c r="AI960" s="15">
        <f t="shared" si="596"/>
        <v>1</v>
      </c>
      <c r="AJ960" s="15">
        <f t="shared" si="597"/>
        <v>1</v>
      </c>
      <c r="AK960" s="15">
        <f t="shared" si="598"/>
        <v>1</v>
      </c>
      <c r="AL960" s="15">
        <f t="shared" si="599"/>
        <v>1</v>
      </c>
      <c r="AM960" s="15">
        <f t="shared" si="600"/>
        <v>1</v>
      </c>
      <c r="AN960" s="15">
        <f t="shared" si="601"/>
        <v>1</v>
      </c>
      <c r="AO960" s="15">
        <f t="shared" si="602"/>
        <v>1</v>
      </c>
      <c r="AP960" s="15">
        <f t="shared" si="603"/>
        <v>1</v>
      </c>
      <c r="AQ960" s="15">
        <f t="shared" si="604"/>
        <v>1</v>
      </c>
      <c r="AR960" s="15">
        <f t="shared" si="605"/>
        <v>1</v>
      </c>
      <c r="AS960" s="15">
        <f t="shared" si="606"/>
        <v>1</v>
      </c>
      <c r="AT960" s="15">
        <f t="shared" si="607"/>
        <v>1</v>
      </c>
      <c r="AU960" s="15">
        <f t="shared" si="608"/>
        <v>1</v>
      </c>
      <c r="AV960" s="15">
        <f t="shared" si="609"/>
        <v>1</v>
      </c>
      <c r="AW960" s="15">
        <f t="shared" si="610"/>
        <v>1</v>
      </c>
      <c r="AX960" s="15">
        <f t="shared" si="611"/>
        <v>1</v>
      </c>
      <c r="AY960" s="15">
        <f t="shared" si="612"/>
        <v>1</v>
      </c>
      <c r="AZ960" s="15">
        <f t="shared" si="613"/>
        <v>1</v>
      </c>
      <c r="BA960" s="15">
        <f t="shared" si="614"/>
        <v>1</v>
      </c>
      <c r="BB960" s="15">
        <f t="shared" si="582"/>
        <v>0</v>
      </c>
      <c r="BC960" s="15" t="str">
        <f t="shared" si="583"/>
        <v/>
      </c>
      <c r="BD960" s="15" t="str">
        <f t="shared" si="584"/>
        <v/>
      </c>
      <c r="BE960" s="11" t="e">
        <f t="shared" si="615"/>
        <v>#VALUE!</v>
      </c>
      <c r="BF960" s="11" t="e">
        <f t="shared" si="616"/>
        <v>#VALUE!</v>
      </c>
      <c r="BG960" s="11" t="e">
        <f t="shared" si="617"/>
        <v>#VALUE!</v>
      </c>
      <c r="BH960" t="str">
        <f t="shared" si="618"/>
        <v/>
      </c>
      <c r="BI960" t="str" cm="1">
        <f t="array" ref="BI960">_xlfn.IFS(
  L960&gt;0,"Critical Fail",
  M960&gt;0,"Important (Coaching)",
  TRUE,"Clean Pass"
)</f>
        <v>Clean Pass</v>
      </c>
      <c r="BJ960" t="str">
        <f t="shared" si="619"/>
        <v>NA</v>
      </c>
    </row>
    <row r="961" spans="1:62" x14ac:dyDescent="0.3">
      <c r="A961">
        <v>680184</v>
      </c>
      <c r="K961" t="str">
        <f t="shared" si="581"/>
        <v>Pass</v>
      </c>
      <c r="L961" s="15">
        <f t="shared" si="585"/>
        <v>0</v>
      </c>
      <c r="M961" s="15">
        <f t="shared" si="586"/>
        <v>0</v>
      </c>
      <c r="Z961" s="15">
        <f t="shared" si="587"/>
        <v>1</v>
      </c>
      <c r="AA961" s="15">
        <f t="shared" si="588"/>
        <v>1</v>
      </c>
      <c r="AB961" s="15">
        <f t="shared" si="589"/>
        <v>1</v>
      </c>
      <c r="AC961" s="15">
        <f t="shared" si="590"/>
        <v>1</v>
      </c>
      <c r="AD961" s="15">
        <f t="shared" si="591"/>
        <v>1</v>
      </c>
      <c r="AE961" s="15">
        <f t="shared" si="592"/>
        <v>1</v>
      </c>
      <c r="AF961" s="15">
        <f t="shared" si="593"/>
        <v>1</v>
      </c>
      <c r="AG961" s="15">
        <f t="shared" si="594"/>
        <v>1</v>
      </c>
      <c r="AH961" s="15">
        <f t="shared" si="595"/>
        <v>1</v>
      </c>
      <c r="AI961" s="15">
        <f t="shared" si="596"/>
        <v>1</v>
      </c>
      <c r="AJ961" s="15">
        <f t="shared" si="597"/>
        <v>1</v>
      </c>
      <c r="AK961" s="15">
        <f t="shared" si="598"/>
        <v>1</v>
      </c>
      <c r="AL961" s="15">
        <f t="shared" si="599"/>
        <v>1</v>
      </c>
      <c r="AM961" s="15">
        <f t="shared" si="600"/>
        <v>1</v>
      </c>
      <c r="AN961" s="15">
        <f t="shared" si="601"/>
        <v>1</v>
      </c>
      <c r="AO961" s="15">
        <f t="shared" si="602"/>
        <v>1</v>
      </c>
      <c r="AP961" s="15">
        <f t="shared" si="603"/>
        <v>1</v>
      </c>
      <c r="AQ961" s="15">
        <f t="shared" si="604"/>
        <v>1</v>
      </c>
      <c r="AR961" s="15">
        <f t="shared" si="605"/>
        <v>1</v>
      </c>
      <c r="AS961" s="15">
        <f t="shared" si="606"/>
        <v>1</v>
      </c>
      <c r="AT961" s="15">
        <f t="shared" si="607"/>
        <v>1</v>
      </c>
      <c r="AU961" s="15">
        <f t="shared" si="608"/>
        <v>1</v>
      </c>
      <c r="AV961" s="15">
        <f t="shared" si="609"/>
        <v>1</v>
      </c>
      <c r="AW961" s="15">
        <f t="shared" si="610"/>
        <v>1</v>
      </c>
      <c r="AX961" s="15">
        <f t="shared" si="611"/>
        <v>1</v>
      </c>
      <c r="AY961" s="15">
        <f t="shared" si="612"/>
        <v>1</v>
      </c>
      <c r="AZ961" s="15">
        <f t="shared" si="613"/>
        <v>1</v>
      </c>
      <c r="BA961" s="15">
        <f t="shared" si="614"/>
        <v>1</v>
      </c>
      <c r="BB961" s="15">
        <f t="shared" si="582"/>
        <v>0</v>
      </c>
      <c r="BC961" s="15" t="str">
        <f t="shared" si="583"/>
        <v/>
      </c>
      <c r="BD961" s="15" t="str">
        <f t="shared" si="584"/>
        <v/>
      </c>
      <c r="BE961" s="11" t="e">
        <f t="shared" si="615"/>
        <v>#VALUE!</v>
      </c>
      <c r="BF961" s="11" t="e">
        <f t="shared" si="616"/>
        <v>#VALUE!</v>
      </c>
      <c r="BG961" s="11" t="e">
        <f t="shared" si="617"/>
        <v>#VALUE!</v>
      </c>
      <c r="BH961" t="str">
        <f t="shared" si="618"/>
        <v/>
      </c>
      <c r="BI961" t="str" cm="1">
        <f t="array" ref="BI961">_xlfn.IFS(
  L961&gt;0,"Critical Fail",
  M961&gt;0,"Important (Coaching)",
  TRUE,"Clean Pass"
)</f>
        <v>Clean Pass</v>
      </c>
      <c r="BJ961" t="str">
        <f t="shared" si="619"/>
        <v>NA</v>
      </c>
    </row>
    <row r="962" spans="1:62" x14ac:dyDescent="0.3">
      <c r="A962">
        <v>558428</v>
      </c>
      <c r="K962" t="str">
        <f t="shared" ref="K962:K1000" si="620">IF(L962="","",IF(L962&gt;0,"Fail","Pass"))</f>
        <v>Pass</v>
      </c>
      <c r="L962" s="15">
        <f t="shared" si="585"/>
        <v>0</v>
      </c>
      <c r="M962" s="15">
        <f t="shared" si="586"/>
        <v>0</v>
      </c>
      <c r="Z962" s="15">
        <f t="shared" si="587"/>
        <v>1</v>
      </c>
      <c r="AA962" s="15">
        <f t="shared" si="588"/>
        <v>1</v>
      </c>
      <c r="AB962" s="15">
        <f t="shared" si="589"/>
        <v>1</v>
      </c>
      <c r="AC962" s="15">
        <f t="shared" si="590"/>
        <v>1</v>
      </c>
      <c r="AD962" s="15">
        <f t="shared" si="591"/>
        <v>1</v>
      </c>
      <c r="AE962" s="15">
        <f t="shared" si="592"/>
        <v>1</v>
      </c>
      <c r="AF962" s="15">
        <f t="shared" si="593"/>
        <v>1</v>
      </c>
      <c r="AG962" s="15">
        <f t="shared" si="594"/>
        <v>1</v>
      </c>
      <c r="AH962" s="15">
        <f t="shared" si="595"/>
        <v>1</v>
      </c>
      <c r="AI962" s="15">
        <f t="shared" si="596"/>
        <v>1</v>
      </c>
      <c r="AJ962" s="15">
        <f t="shared" si="597"/>
        <v>1</v>
      </c>
      <c r="AK962" s="15">
        <f t="shared" si="598"/>
        <v>1</v>
      </c>
      <c r="AL962" s="15">
        <f t="shared" si="599"/>
        <v>1</v>
      </c>
      <c r="AM962" s="15">
        <f t="shared" si="600"/>
        <v>1</v>
      </c>
      <c r="AN962" s="15">
        <f t="shared" si="601"/>
        <v>1</v>
      </c>
      <c r="AO962" s="15">
        <f t="shared" si="602"/>
        <v>1</v>
      </c>
      <c r="AP962" s="15">
        <f t="shared" si="603"/>
        <v>1</v>
      </c>
      <c r="AQ962" s="15">
        <f t="shared" si="604"/>
        <v>1</v>
      </c>
      <c r="AR962" s="15">
        <f t="shared" si="605"/>
        <v>1</v>
      </c>
      <c r="AS962" s="15">
        <f t="shared" si="606"/>
        <v>1</v>
      </c>
      <c r="AT962" s="15">
        <f t="shared" si="607"/>
        <v>1</v>
      </c>
      <c r="AU962" s="15">
        <f t="shared" si="608"/>
        <v>1</v>
      </c>
      <c r="AV962" s="15">
        <f t="shared" si="609"/>
        <v>1</v>
      </c>
      <c r="AW962" s="15">
        <f t="shared" si="610"/>
        <v>1</v>
      </c>
      <c r="AX962" s="15">
        <f t="shared" si="611"/>
        <v>1</v>
      </c>
      <c r="AY962" s="15">
        <f t="shared" si="612"/>
        <v>1</v>
      </c>
      <c r="AZ962" s="15">
        <f t="shared" si="613"/>
        <v>1</v>
      </c>
      <c r="BA962" s="15">
        <f t="shared" si="614"/>
        <v>1</v>
      </c>
      <c r="BB962" s="15">
        <f t="shared" ref="BB962:BB1000" si="621">IF(L962&gt;0,1,0)</f>
        <v>0</v>
      </c>
      <c r="BC962" s="15" t="str">
        <f t="shared" ref="BC962:BC1000" si="622">IF(G962="DV",9,IF(G962="AL",13,""))</f>
        <v/>
      </c>
      <c r="BD962" s="15" t="str">
        <f t="shared" ref="BD962:BD1000" si="623">IF(G962="DV",3,IF(G962="AL",3,""))</f>
        <v/>
      </c>
      <c r="BE962" s="11" t="e">
        <f t="shared" si="615"/>
        <v>#VALUE!</v>
      </c>
      <c r="BF962" s="11" t="e">
        <f t="shared" si="616"/>
        <v>#VALUE!</v>
      </c>
      <c r="BG962" s="11" t="e">
        <f t="shared" si="617"/>
        <v>#VALUE!</v>
      </c>
      <c r="BH962" t="str">
        <f t="shared" si="618"/>
        <v/>
      </c>
      <c r="BI962" t="str" cm="1">
        <f t="array" ref="BI962">_xlfn.IFS(
  L962&gt;0,"Critical Fail",
  M962&gt;0,"Important (Coaching)",
  TRUE,"Clean Pass"
)</f>
        <v>Clean Pass</v>
      </c>
      <c r="BJ962" t="str">
        <f t="shared" si="619"/>
        <v>NA</v>
      </c>
    </row>
    <row r="963" spans="1:62" x14ac:dyDescent="0.3">
      <c r="A963">
        <v>435576</v>
      </c>
      <c r="K963" t="str">
        <f t="shared" si="620"/>
        <v>Pass</v>
      </c>
      <c r="L963" s="15">
        <f t="shared" si="585"/>
        <v>0</v>
      </c>
      <c r="M963" s="15">
        <f t="shared" si="586"/>
        <v>0</v>
      </c>
      <c r="Z963" s="15">
        <f t="shared" si="587"/>
        <v>1</v>
      </c>
      <c r="AA963" s="15">
        <f t="shared" si="588"/>
        <v>1</v>
      </c>
      <c r="AB963" s="15">
        <f t="shared" si="589"/>
        <v>1</v>
      </c>
      <c r="AC963" s="15">
        <f t="shared" si="590"/>
        <v>1</v>
      </c>
      <c r="AD963" s="15">
        <f t="shared" si="591"/>
        <v>1</v>
      </c>
      <c r="AE963" s="15">
        <f t="shared" si="592"/>
        <v>1</v>
      </c>
      <c r="AF963" s="15">
        <f t="shared" si="593"/>
        <v>1</v>
      </c>
      <c r="AG963" s="15">
        <f t="shared" si="594"/>
        <v>1</v>
      </c>
      <c r="AH963" s="15">
        <f t="shared" si="595"/>
        <v>1</v>
      </c>
      <c r="AI963" s="15">
        <f t="shared" si="596"/>
        <v>1</v>
      </c>
      <c r="AJ963" s="15">
        <f t="shared" si="597"/>
        <v>1</v>
      </c>
      <c r="AK963" s="15">
        <f t="shared" si="598"/>
        <v>1</v>
      </c>
      <c r="AL963" s="15">
        <f t="shared" si="599"/>
        <v>1</v>
      </c>
      <c r="AM963" s="15">
        <f t="shared" si="600"/>
        <v>1</v>
      </c>
      <c r="AN963" s="15">
        <f t="shared" si="601"/>
        <v>1</v>
      </c>
      <c r="AO963" s="15">
        <f t="shared" si="602"/>
        <v>1</v>
      </c>
      <c r="AP963" s="15">
        <f t="shared" si="603"/>
        <v>1</v>
      </c>
      <c r="AQ963" s="15">
        <f t="shared" si="604"/>
        <v>1</v>
      </c>
      <c r="AR963" s="15">
        <f t="shared" si="605"/>
        <v>1</v>
      </c>
      <c r="AS963" s="15">
        <f t="shared" si="606"/>
        <v>1</v>
      </c>
      <c r="AT963" s="15">
        <f t="shared" si="607"/>
        <v>1</v>
      </c>
      <c r="AU963" s="15">
        <f t="shared" si="608"/>
        <v>1</v>
      </c>
      <c r="AV963" s="15">
        <f t="shared" si="609"/>
        <v>1</v>
      </c>
      <c r="AW963" s="15">
        <f t="shared" si="610"/>
        <v>1</v>
      </c>
      <c r="AX963" s="15">
        <f t="shared" si="611"/>
        <v>1</v>
      </c>
      <c r="AY963" s="15">
        <f t="shared" si="612"/>
        <v>1</v>
      </c>
      <c r="AZ963" s="15">
        <f t="shared" si="613"/>
        <v>1</v>
      </c>
      <c r="BA963" s="15">
        <f t="shared" si="614"/>
        <v>1</v>
      </c>
      <c r="BB963" s="15">
        <f t="shared" si="621"/>
        <v>0</v>
      </c>
      <c r="BC963" s="15" t="str">
        <f t="shared" si="622"/>
        <v/>
      </c>
      <c r="BD963" s="15" t="str">
        <f t="shared" si="623"/>
        <v/>
      </c>
      <c r="BE963" s="11" t="e">
        <f t="shared" si="615"/>
        <v>#VALUE!</v>
      </c>
      <c r="BF963" s="11" t="e">
        <f t="shared" si="616"/>
        <v>#VALUE!</v>
      </c>
      <c r="BG963" s="11" t="e">
        <f t="shared" si="617"/>
        <v>#VALUE!</v>
      </c>
      <c r="BH963" t="str">
        <f t="shared" si="618"/>
        <v/>
      </c>
      <c r="BI963" t="str" cm="1">
        <f t="array" ref="BI963">_xlfn.IFS(
  L963&gt;0,"Critical Fail",
  M963&gt;0,"Important (Coaching)",
  TRUE,"Clean Pass"
)</f>
        <v>Clean Pass</v>
      </c>
      <c r="BJ963" t="str">
        <f t="shared" si="619"/>
        <v>NA</v>
      </c>
    </row>
    <row r="964" spans="1:62" x14ac:dyDescent="0.3">
      <c r="A964">
        <v>512759</v>
      </c>
      <c r="K964" t="str">
        <f t="shared" si="620"/>
        <v>Pass</v>
      </c>
      <c r="L964" s="15">
        <f t="shared" si="585"/>
        <v>0</v>
      </c>
      <c r="M964" s="15">
        <f t="shared" si="586"/>
        <v>0</v>
      </c>
      <c r="Z964" s="15">
        <f t="shared" si="587"/>
        <v>1</v>
      </c>
      <c r="AA964" s="15">
        <f t="shared" si="588"/>
        <v>1</v>
      </c>
      <c r="AB964" s="15">
        <f t="shared" si="589"/>
        <v>1</v>
      </c>
      <c r="AC964" s="15">
        <f t="shared" si="590"/>
        <v>1</v>
      </c>
      <c r="AD964" s="15">
        <f t="shared" si="591"/>
        <v>1</v>
      </c>
      <c r="AE964" s="15">
        <f t="shared" si="592"/>
        <v>1</v>
      </c>
      <c r="AF964" s="15">
        <f t="shared" si="593"/>
        <v>1</v>
      </c>
      <c r="AG964" s="15">
        <f t="shared" si="594"/>
        <v>1</v>
      </c>
      <c r="AH964" s="15">
        <f t="shared" si="595"/>
        <v>1</v>
      </c>
      <c r="AI964" s="15">
        <f t="shared" si="596"/>
        <v>1</v>
      </c>
      <c r="AJ964" s="15">
        <f t="shared" si="597"/>
        <v>1</v>
      </c>
      <c r="AK964" s="15">
        <f t="shared" si="598"/>
        <v>1</v>
      </c>
      <c r="AL964" s="15">
        <f t="shared" si="599"/>
        <v>1</v>
      </c>
      <c r="AM964" s="15">
        <f t="shared" si="600"/>
        <v>1</v>
      </c>
      <c r="AN964" s="15">
        <f t="shared" si="601"/>
        <v>1</v>
      </c>
      <c r="AO964" s="15">
        <f t="shared" si="602"/>
        <v>1</v>
      </c>
      <c r="AP964" s="15">
        <f t="shared" si="603"/>
        <v>1</v>
      </c>
      <c r="AQ964" s="15">
        <f t="shared" si="604"/>
        <v>1</v>
      </c>
      <c r="AR964" s="15">
        <f t="shared" si="605"/>
        <v>1</v>
      </c>
      <c r="AS964" s="15">
        <f t="shared" si="606"/>
        <v>1</v>
      </c>
      <c r="AT964" s="15">
        <f t="shared" si="607"/>
        <v>1</v>
      </c>
      <c r="AU964" s="15">
        <f t="shared" si="608"/>
        <v>1</v>
      </c>
      <c r="AV964" s="15">
        <f t="shared" si="609"/>
        <v>1</v>
      </c>
      <c r="AW964" s="15">
        <f t="shared" si="610"/>
        <v>1</v>
      </c>
      <c r="AX964" s="15">
        <f t="shared" si="611"/>
        <v>1</v>
      </c>
      <c r="AY964" s="15">
        <f t="shared" si="612"/>
        <v>1</v>
      </c>
      <c r="AZ964" s="15">
        <f t="shared" si="613"/>
        <v>1</v>
      </c>
      <c r="BA964" s="15">
        <f t="shared" si="614"/>
        <v>1</v>
      </c>
      <c r="BB964" s="15">
        <f t="shared" si="621"/>
        <v>0</v>
      </c>
      <c r="BC964" s="15" t="str">
        <f t="shared" si="622"/>
        <v/>
      </c>
      <c r="BD964" s="15" t="str">
        <f t="shared" si="623"/>
        <v/>
      </c>
      <c r="BE964" s="11" t="e">
        <f t="shared" si="615"/>
        <v>#VALUE!</v>
      </c>
      <c r="BF964" s="11" t="e">
        <f t="shared" si="616"/>
        <v>#VALUE!</v>
      </c>
      <c r="BG964" s="11" t="e">
        <f t="shared" si="617"/>
        <v>#VALUE!</v>
      </c>
      <c r="BH964" t="str">
        <f t="shared" si="618"/>
        <v/>
      </c>
      <c r="BI964" t="str" cm="1">
        <f t="array" ref="BI964">_xlfn.IFS(
  L964&gt;0,"Critical Fail",
  M964&gt;0,"Important (Coaching)",
  TRUE,"Clean Pass"
)</f>
        <v>Clean Pass</v>
      </c>
      <c r="BJ964" t="str">
        <f t="shared" si="619"/>
        <v>NA</v>
      </c>
    </row>
    <row r="965" spans="1:62" x14ac:dyDescent="0.3">
      <c r="A965">
        <v>691875</v>
      </c>
      <c r="K965" t="str">
        <f t="shared" si="620"/>
        <v>Pass</v>
      </c>
      <c r="L965" s="15">
        <f t="shared" si="585"/>
        <v>0</v>
      </c>
      <c r="M965" s="15">
        <f t="shared" si="586"/>
        <v>0</v>
      </c>
      <c r="Z965" s="15">
        <f t="shared" si="587"/>
        <v>1</v>
      </c>
      <c r="AA965" s="15">
        <f t="shared" si="588"/>
        <v>1</v>
      </c>
      <c r="AB965" s="15">
        <f t="shared" si="589"/>
        <v>1</v>
      </c>
      <c r="AC965" s="15">
        <f t="shared" si="590"/>
        <v>1</v>
      </c>
      <c r="AD965" s="15">
        <f t="shared" si="591"/>
        <v>1</v>
      </c>
      <c r="AE965" s="15">
        <f t="shared" si="592"/>
        <v>1</v>
      </c>
      <c r="AF965" s="15">
        <f t="shared" si="593"/>
        <v>1</v>
      </c>
      <c r="AG965" s="15">
        <f t="shared" si="594"/>
        <v>1</v>
      </c>
      <c r="AH965" s="15">
        <f t="shared" si="595"/>
        <v>1</v>
      </c>
      <c r="AI965" s="15">
        <f t="shared" si="596"/>
        <v>1</v>
      </c>
      <c r="AJ965" s="15">
        <f t="shared" si="597"/>
        <v>1</v>
      </c>
      <c r="AK965" s="15">
        <f t="shared" si="598"/>
        <v>1</v>
      </c>
      <c r="AL965" s="15">
        <f t="shared" si="599"/>
        <v>1</v>
      </c>
      <c r="AM965" s="15">
        <f t="shared" si="600"/>
        <v>1</v>
      </c>
      <c r="AN965" s="15">
        <f t="shared" si="601"/>
        <v>1</v>
      </c>
      <c r="AO965" s="15">
        <f t="shared" si="602"/>
        <v>1</v>
      </c>
      <c r="AP965" s="15">
        <f t="shared" si="603"/>
        <v>1</v>
      </c>
      <c r="AQ965" s="15">
        <f t="shared" si="604"/>
        <v>1</v>
      </c>
      <c r="AR965" s="15">
        <f t="shared" si="605"/>
        <v>1</v>
      </c>
      <c r="AS965" s="15">
        <f t="shared" si="606"/>
        <v>1</v>
      </c>
      <c r="AT965" s="15">
        <f t="shared" si="607"/>
        <v>1</v>
      </c>
      <c r="AU965" s="15">
        <f t="shared" si="608"/>
        <v>1</v>
      </c>
      <c r="AV965" s="15">
        <f t="shared" si="609"/>
        <v>1</v>
      </c>
      <c r="AW965" s="15">
        <f t="shared" si="610"/>
        <v>1</v>
      </c>
      <c r="AX965" s="15">
        <f t="shared" si="611"/>
        <v>1</v>
      </c>
      <c r="AY965" s="15">
        <f t="shared" si="612"/>
        <v>1</v>
      </c>
      <c r="AZ965" s="15">
        <f t="shared" si="613"/>
        <v>1</v>
      </c>
      <c r="BA965" s="15">
        <f t="shared" si="614"/>
        <v>1</v>
      </c>
      <c r="BB965" s="15">
        <f t="shared" si="621"/>
        <v>0</v>
      </c>
      <c r="BC965" s="15" t="str">
        <f t="shared" si="622"/>
        <v/>
      </c>
      <c r="BD965" s="15" t="str">
        <f t="shared" si="623"/>
        <v/>
      </c>
      <c r="BE965" s="11" t="e">
        <f t="shared" si="615"/>
        <v>#VALUE!</v>
      </c>
      <c r="BF965" s="11" t="e">
        <f t="shared" si="616"/>
        <v>#VALUE!</v>
      </c>
      <c r="BG965" s="11" t="e">
        <f t="shared" si="617"/>
        <v>#VALUE!</v>
      </c>
      <c r="BH965" t="str">
        <f t="shared" si="618"/>
        <v/>
      </c>
      <c r="BI965" t="str" cm="1">
        <f t="array" ref="BI965">_xlfn.IFS(
  L965&gt;0,"Critical Fail",
  M965&gt;0,"Important (Coaching)",
  TRUE,"Clean Pass"
)</f>
        <v>Clean Pass</v>
      </c>
      <c r="BJ965" t="str">
        <f t="shared" si="619"/>
        <v>NA</v>
      </c>
    </row>
    <row r="966" spans="1:62" x14ac:dyDescent="0.3">
      <c r="A966">
        <v>857383</v>
      </c>
      <c r="K966" t="str">
        <f t="shared" si="620"/>
        <v>Pass</v>
      </c>
      <c r="L966" s="15">
        <f t="shared" si="585"/>
        <v>0</v>
      </c>
      <c r="M966" s="15">
        <f t="shared" si="586"/>
        <v>0</v>
      </c>
      <c r="Z966" s="15">
        <f t="shared" si="587"/>
        <v>1</v>
      </c>
      <c r="AA966" s="15">
        <f t="shared" si="588"/>
        <v>1</v>
      </c>
      <c r="AB966" s="15">
        <f t="shared" si="589"/>
        <v>1</v>
      </c>
      <c r="AC966" s="15">
        <f t="shared" si="590"/>
        <v>1</v>
      </c>
      <c r="AD966" s="15">
        <f t="shared" si="591"/>
        <v>1</v>
      </c>
      <c r="AE966" s="15">
        <f t="shared" si="592"/>
        <v>1</v>
      </c>
      <c r="AF966" s="15">
        <f t="shared" si="593"/>
        <v>1</v>
      </c>
      <c r="AG966" s="15">
        <f t="shared" si="594"/>
        <v>1</v>
      </c>
      <c r="AH966" s="15">
        <f t="shared" si="595"/>
        <v>1</v>
      </c>
      <c r="AI966" s="15">
        <f t="shared" si="596"/>
        <v>1</v>
      </c>
      <c r="AJ966" s="15">
        <f t="shared" si="597"/>
        <v>1</v>
      </c>
      <c r="AK966" s="15">
        <f t="shared" si="598"/>
        <v>1</v>
      </c>
      <c r="AL966" s="15">
        <f t="shared" si="599"/>
        <v>1</v>
      </c>
      <c r="AM966" s="15">
        <f t="shared" si="600"/>
        <v>1</v>
      </c>
      <c r="AN966" s="15">
        <f t="shared" si="601"/>
        <v>1</v>
      </c>
      <c r="AO966" s="15">
        <f t="shared" si="602"/>
        <v>1</v>
      </c>
      <c r="AP966" s="15">
        <f t="shared" si="603"/>
        <v>1</v>
      </c>
      <c r="AQ966" s="15">
        <f t="shared" si="604"/>
        <v>1</v>
      </c>
      <c r="AR966" s="15">
        <f t="shared" si="605"/>
        <v>1</v>
      </c>
      <c r="AS966" s="15">
        <f t="shared" si="606"/>
        <v>1</v>
      </c>
      <c r="AT966" s="15">
        <f t="shared" si="607"/>
        <v>1</v>
      </c>
      <c r="AU966" s="15">
        <f t="shared" si="608"/>
        <v>1</v>
      </c>
      <c r="AV966" s="15">
        <f t="shared" si="609"/>
        <v>1</v>
      </c>
      <c r="AW966" s="15">
        <f t="shared" si="610"/>
        <v>1</v>
      </c>
      <c r="AX966" s="15">
        <f t="shared" si="611"/>
        <v>1</v>
      </c>
      <c r="AY966" s="15">
        <f t="shared" si="612"/>
        <v>1</v>
      </c>
      <c r="AZ966" s="15">
        <f t="shared" si="613"/>
        <v>1</v>
      </c>
      <c r="BA966" s="15">
        <f t="shared" si="614"/>
        <v>1</v>
      </c>
      <c r="BB966" s="15">
        <f t="shared" si="621"/>
        <v>0</v>
      </c>
      <c r="BC966" s="15" t="str">
        <f t="shared" si="622"/>
        <v/>
      </c>
      <c r="BD966" s="15" t="str">
        <f t="shared" si="623"/>
        <v/>
      </c>
      <c r="BE966" s="11" t="e">
        <f t="shared" si="615"/>
        <v>#VALUE!</v>
      </c>
      <c r="BF966" s="11" t="e">
        <f t="shared" si="616"/>
        <v>#VALUE!</v>
      </c>
      <c r="BG966" s="11" t="e">
        <f t="shared" si="617"/>
        <v>#VALUE!</v>
      </c>
      <c r="BH966" t="str">
        <f t="shared" si="618"/>
        <v/>
      </c>
      <c r="BI966" t="str" cm="1">
        <f t="array" ref="BI966">_xlfn.IFS(
  L966&gt;0,"Critical Fail",
  M966&gt;0,"Important (Coaching)",
  TRUE,"Clean Pass"
)</f>
        <v>Clean Pass</v>
      </c>
      <c r="BJ966" t="str">
        <f t="shared" si="619"/>
        <v>NA</v>
      </c>
    </row>
    <row r="967" spans="1:62" x14ac:dyDescent="0.3">
      <c r="A967">
        <v>267959</v>
      </c>
      <c r="K967" t="str">
        <f t="shared" si="620"/>
        <v>Pass</v>
      </c>
      <c r="L967" s="15">
        <f t="shared" si="585"/>
        <v>0</v>
      </c>
      <c r="M967" s="15">
        <f t="shared" si="586"/>
        <v>0</v>
      </c>
      <c r="Z967" s="15">
        <f t="shared" si="587"/>
        <v>1</v>
      </c>
      <c r="AA967" s="15">
        <f t="shared" si="588"/>
        <v>1</v>
      </c>
      <c r="AB967" s="15">
        <f t="shared" si="589"/>
        <v>1</v>
      </c>
      <c r="AC967" s="15">
        <f t="shared" si="590"/>
        <v>1</v>
      </c>
      <c r="AD967" s="15">
        <f t="shared" si="591"/>
        <v>1</v>
      </c>
      <c r="AE967" s="15">
        <f t="shared" si="592"/>
        <v>1</v>
      </c>
      <c r="AF967" s="15">
        <f t="shared" si="593"/>
        <v>1</v>
      </c>
      <c r="AG967" s="15">
        <f t="shared" si="594"/>
        <v>1</v>
      </c>
      <c r="AH967" s="15">
        <f t="shared" si="595"/>
        <v>1</v>
      </c>
      <c r="AI967" s="15">
        <f t="shared" si="596"/>
        <v>1</v>
      </c>
      <c r="AJ967" s="15">
        <f t="shared" si="597"/>
        <v>1</v>
      </c>
      <c r="AK967" s="15">
        <f t="shared" si="598"/>
        <v>1</v>
      </c>
      <c r="AL967" s="15">
        <f t="shared" si="599"/>
        <v>1</v>
      </c>
      <c r="AM967" s="15">
        <f t="shared" si="600"/>
        <v>1</v>
      </c>
      <c r="AN967" s="15">
        <f t="shared" si="601"/>
        <v>1</v>
      </c>
      <c r="AO967" s="15">
        <f t="shared" si="602"/>
        <v>1</v>
      </c>
      <c r="AP967" s="15">
        <f t="shared" si="603"/>
        <v>1</v>
      </c>
      <c r="AQ967" s="15">
        <f t="shared" si="604"/>
        <v>1</v>
      </c>
      <c r="AR967" s="15">
        <f t="shared" si="605"/>
        <v>1</v>
      </c>
      <c r="AS967" s="15">
        <f t="shared" si="606"/>
        <v>1</v>
      </c>
      <c r="AT967" s="15">
        <f t="shared" si="607"/>
        <v>1</v>
      </c>
      <c r="AU967" s="15">
        <f t="shared" si="608"/>
        <v>1</v>
      </c>
      <c r="AV967" s="15">
        <f t="shared" si="609"/>
        <v>1</v>
      </c>
      <c r="AW967" s="15">
        <f t="shared" si="610"/>
        <v>1</v>
      </c>
      <c r="AX967" s="15">
        <f t="shared" si="611"/>
        <v>1</v>
      </c>
      <c r="AY967" s="15">
        <f t="shared" si="612"/>
        <v>1</v>
      </c>
      <c r="AZ967" s="15">
        <f t="shared" si="613"/>
        <v>1</v>
      </c>
      <c r="BA967" s="15">
        <f t="shared" si="614"/>
        <v>1</v>
      </c>
      <c r="BB967" s="15">
        <f t="shared" si="621"/>
        <v>0</v>
      </c>
      <c r="BC967" s="15" t="str">
        <f t="shared" si="622"/>
        <v/>
      </c>
      <c r="BD967" s="15" t="str">
        <f t="shared" si="623"/>
        <v/>
      </c>
      <c r="BE967" s="11" t="e">
        <f t="shared" si="615"/>
        <v>#VALUE!</v>
      </c>
      <c r="BF967" s="11" t="e">
        <f t="shared" si="616"/>
        <v>#VALUE!</v>
      </c>
      <c r="BG967" s="11" t="e">
        <f t="shared" si="617"/>
        <v>#VALUE!</v>
      </c>
      <c r="BH967" t="str">
        <f t="shared" si="618"/>
        <v/>
      </c>
      <c r="BI967" t="str" cm="1">
        <f t="array" ref="BI967">_xlfn.IFS(
  L967&gt;0,"Critical Fail",
  M967&gt;0,"Important (Coaching)",
  TRUE,"Clean Pass"
)</f>
        <v>Clean Pass</v>
      </c>
      <c r="BJ967" t="str">
        <f t="shared" si="619"/>
        <v>NA</v>
      </c>
    </row>
    <row r="968" spans="1:62" x14ac:dyDescent="0.3">
      <c r="A968">
        <v>510145</v>
      </c>
      <c r="K968" t="str">
        <f t="shared" si="620"/>
        <v>Pass</v>
      </c>
      <c r="L968" s="15">
        <f t="shared" si="585"/>
        <v>0</v>
      </c>
      <c r="M968" s="15">
        <f t="shared" si="586"/>
        <v>0</v>
      </c>
      <c r="Z968" s="15">
        <f t="shared" si="587"/>
        <v>1</v>
      </c>
      <c r="AA968" s="15">
        <f t="shared" si="588"/>
        <v>1</v>
      </c>
      <c r="AB968" s="15">
        <f t="shared" si="589"/>
        <v>1</v>
      </c>
      <c r="AC968" s="15">
        <f t="shared" si="590"/>
        <v>1</v>
      </c>
      <c r="AD968" s="15">
        <f t="shared" si="591"/>
        <v>1</v>
      </c>
      <c r="AE968" s="15">
        <f t="shared" si="592"/>
        <v>1</v>
      </c>
      <c r="AF968" s="15">
        <f t="shared" si="593"/>
        <v>1</v>
      </c>
      <c r="AG968" s="15">
        <f t="shared" si="594"/>
        <v>1</v>
      </c>
      <c r="AH968" s="15">
        <f t="shared" si="595"/>
        <v>1</v>
      </c>
      <c r="AI968" s="15">
        <f t="shared" si="596"/>
        <v>1</v>
      </c>
      <c r="AJ968" s="15">
        <f t="shared" si="597"/>
        <v>1</v>
      </c>
      <c r="AK968" s="15">
        <f t="shared" si="598"/>
        <v>1</v>
      </c>
      <c r="AL968" s="15">
        <f t="shared" si="599"/>
        <v>1</v>
      </c>
      <c r="AM968" s="15">
        <f t="shared" si="600"/>
        <v>1</v>
      </c>
      <c r="AN968" s="15">
        <f t="shared" si="601"/>
        <v>1</v>
      </c>
      <c r="AO968" s="15">
        <f t="shared" si="602"/>
        <v>1</v>
      </c>
      <c r="AP968" s="15">
        <f t="shared" si="603"/>
        <v>1</v>
      </c>
      <c r="AQ968" s="15">
        <f t="shared" si="604"/>
        <v>1</v>
      </c>
      <c r="AR968" s="15">
        <f t="shared" si="605"/>
        <v>1</v>
      </c>
      <c r="AS968" s="15">
        <f t="shared" si="606"/>
        <v>1</v>
      </c>
      <c r="AT968" s="15">
        <f t="shared" si="607"/>
        <v>1</v>
      </c>
      <c r="AU968" s="15">
        <f t="shared" si="608"/>
        <v>1</v>
      </c>
      <c r="AV968" s="15">
        <f t="shared" si="609"/>
        <v>1</v>
      </c>
      <c r="AW968" s="15">
        <f t="shared" si="610"/>
        <v>1</v>
      </c>
      <c r="AX968" s="15">
        <f t="shared" si="611"/>
        <v>1</v>
      </c>
      <c r="AY968" s="15">
        <f t="shared" si="612"/>
        <v>1</v>
      </c>
      <c r="AZ968" s="15">
        <f t="shared" si="613"/>
        <v>1</v>
      </c>
      <c r="BA968" s="15">
        <f t="shared" si="614"/>
        <v>1</v>
      </c>
      <c r="BB968" s="15">
        <f t="shared" si="621"/>
        <v>0</v>
      </c>
      <c r="BC968" s="15" t="str">
        <f t="shared" si="622"/>
        <v/>
      </c>
      <c r="BD968" s="15" t="str">
        <f t="shared" si="623"/>
        <v/>
      </c>
      <c r="BE968" s="11" t="e">
        <f t="shared" si="615"/>
        <v>#VALUE!</v>
      </c>
      <c r="BF968" s="11" t="e">
        <f t="shared" si="616"/>
        <v>#VALUE!</v>
      </c>
      <c r="BG968" s="11" t="e">
        <f t="shared" si="617"/>
        <v>#VALUE!</v>
      </c>
      <c r="BH968" t="str">
        <f t="shared" si="618"/>
        <v/>
      </c>
      <c r="BI968" t="str" cm="1">
        <f t="array" ref="BI968">_xlfn.IFS(
  L968&gt;0,"Critical Fail",
  M968&gt;0,"Important (Coaching)",
  TRUE,"Clean Pass"
)</f>
        <v>Clean Pass</v>
      </c>
      <c r="BJ968" t="str">
        <f t="shared" si="619"/>
        <v>NA</v>
      </c>
    </row>
    <row r="969" spans="1:62" x14ac:dyDescent="0.3">
      <c r="A969">
        <v>570054</v>
      </c>
      <c r="K969" t="str">
        <f t="shared" si="620"/>
        <v>Pass</v>
      </c>
      <c r="L969" s="15">
        <f t="shared" si="585"/>
        <v>0</v>
      </c>
      <c r="M969" s="15">
        <f t="shared" si="586"/>
        <v>0</v>
      </c>
      <c r="Z969" s="15">
        <f t="shared" si="587"/>
        <v>1</v>
      </c>
      <c r="AA969" s="15">
        <f t="shared" si="588"/>
        <v>1</v>
      </c>
      <c r="AB969" s="15">
        <f t="shared" si="589"/>
        <v>1</v>
      </c>
      <c r="AC969" s="15">
        <f t="shared" si="590"/>
        <v>1</v>
      </c>
      <c r="AD969" s="15">
        <f t="shared" si="591"/>
        <v>1</v>
      </c>
      <c r="AE969" s="15">
        <f t="shared" si="592"/>
        <v>1</v>
      </c>
      <c r="AF969" s="15">
        <f t="shared" si="593"/>
        <v>1</v>
      </c>
      <c r="AG969" s="15">
        <f t="shared" si="594"/>
        <v>1</v>
      </c>
      <c r="AH969" s="15">
        <f t="shared" si="595"/>
        <v>1</v>
      </c>
      <c r="AI969" s="15">
        <f t="shared" si="596"/>
        <v>1</v>
      </c>
      <c r="AJ969" s="15">
        <f t="shared" si="597"/>
        <v>1</v>
      </c>
      <c r="AK969" s="15">
        <f t="shared" si="598"/>
        <v>1</v>
      </c>
      <c r="AL969" s="15">
        <f t="shared" si="599"/>
        <v>1</v>
      </c>
      <c r="AM969" s="15">
        <f t="shared" si="600"/>
        <v>1</v>
      </c>
      <c r="AN969" s="15">
        <f t="shared" si="601"/>
        <v>1</v>
      </c>
      <c r="AO969" s="15">
        <f t="shared" si="602"/>
        <v>1</v>
      </c>
      <c r="AP969" s="15">
        <f t="shared" si="603"/>
        <v>1</v>
      </c>
      <c r="AQ969" s="15">
        <f t="shared" si="604"/>
        <v>1</v>
      </c>
      <c r="AR969" s="15">
        <f t="shared" si="605"/>
        <v>1</v>
      </c>
      <c r="AS969" s="15">
        <f t="shared" si="606"/>
        <v>1</v>
      </c>
      <c r="AT969" s="15">
        <f t="shared" si="607"/>
        <v>1</v>
      </c>
      <c r="AU969" s="15">
        <f t="shared" si="608"/>
        <v>1</v>
      </c>
      <c r="AV969" s="15">
        <f t="shared" si="609"/>
        <v>1</v>
      </c>
      <c r="AW969" s="15">
        <f t="shared" si="610"/>
        <v>1</v>
      </c>
      <c r="AX969" s="15">
        <f t="shared" si="611"/>
        <v>1</v>
      </c>
      <c r="AY969" s="15">
        <f t="shared" si="612"/>
        <v>1</v>
      </c>
      <c r="AZ969" s="15">
        <f t="shared" si="613"/>
        <v>1</v>
      </c>
      <c r="BA969" s="15">
        <f t="shared" si="614"/>
        <v>1</v>
      </c>
      <c r="BB969" s="15">
        <f t="shared" si="621"/>
        <v>0</v>
      </c>
      <c r="BC969" s="15" t="str">
        <f t="shared" si="622"/>
        <v/>
      </c>
      <c r="BD969" s="15" t="str">
        <f t="shared" si="623"/>
        <v/>
      </c>
      <c r="BE969" s="11" t="e">
        <f t="shared" si="615"/>
        <v>#VALUE!</v>
      </c>
      <c r="BF969" s="11" t="e">
        <f t="shared" si="616"/>
        <v>#VALUE!</v>
      </c>
      <c r="BG969" s="11" t="e">
        <f t="shared" si="617"/>
        <v>#VALUE!</v>
      </c>
      <c r="BH969" t="str">
        <f t="shared" si="618"/>
        <v/>
      </c>
      <c r="BI969" t="str" cm="1">
        <f t="array" ref="BI969">_xlfn.IFS(
  L969&gt;0,"Critical Fail",
  M969&gt;0,"Important (Coaching)",
  TRUE,"Clean Pass"
)</f>
        <v>Clean Pass</v>
      </c>
      <c r="BJ969" t="str">
        <f t="shared" si="619"/>
        <v>NA</v>
      </c>
    </row>
    <row r="970" spans="1:62" x14ac:dyDescent="0.3">
      <c r="A970">
        <v>978770</v>
      </c>
      <c r="K970" t="str">
        <f t="shared" si="620"/>
        <v>Pass</v>
      </c>
      <c r="L970" s="15">
        <f t="shared" si="585"/>
        <v>0</v>
      </c>
      <c r="M970" s="15">
        <f t="shared" si="586"/>
        <v>0</v>
      </c>
      <c r="Z970" s="15">
        <f t="shared" si="587"/>
        <v>1</v>
      </c>
      <c r="AA970" s="15">
        <f t="shared" si="588"/>
        <v>1</v>
      </c>
      <c r="AB970" s="15">
        <f t="shared" si="589"/>
        <v>1</v>
      </c>
      <c r="AC970" s="15">
        <f t="shared" si="590"/>
        <v>1</v>
      </c>
      <c r="AD970" s="15">
        <f t="shared" si="591"/>
        <v>1</v>
      </c>
      <c r="AE970" s="15">
        <f t="shared" si="592"/>
        <v>1</v>
      </c>
      <c r="AF970" s="15">
        <f t="shared" si="593"/>
        <v>1</v>
      </c>
      <c r="AG970" s="15">
        <f t="shared" si="594"/>
        <v>1</v>
      </c>
      <c r="AH970" s="15">
        <f t="shared" si="595"/>
        <v>1</v>
      </c>
      <c r="AI970" s="15">
        <f t="shared" si="596"/>
        <v>1</v>
      </c>
      <c r="AJ970" s="15">
        <f t="shared" si="597"/>
        <v>1</v>
      </c>
      <c r="AK970" s="15">
        <f t="shared" si="598"/>
        <v>1</v>
      </c>
      <c r="AL970" s="15">
        <f t="shared" si="599"/>
        <v>1</v>
      </c>
      <c r="AM970" s="15">
        <f t="shared" si="600"/>
        <v>1</v>
      </c>
      <c r="AN970" s="15">
        <f t="shared" si="601"/>
        <v>1</v>
      </c>
      <c r="AO970" s="15">
        <f t="shared" si="602"/>
        <v>1</v>
      </c>
      <c r="AP970" s="15">
        <f t="shared" si="603"/>
        <v>1</v>
      </c>
      <c r="AQ970" s="15">
        <f t="shared" si="604"/>
        <v>1</v>
      </c>
      <c r="AR970" s="15">
        <f t="shared" si="605"/>
        <v>1</v>
      </c>
      <c r="AS970" s="15">
        <f t="shared" si="606"/>
        <v>1</v>
      </c>
      <c r="AT970" s="15">
        <f t="shared" si="607"/>
        <v>1</v>
      </c>
      <c r="AU970" s="15">
        <f t="shared" si="608"/>
        <v>1</v>
      </c>
      <c r="AV970" s="15">
        <f t="shared" si="609"/>
        <v>1</v>
      </c>
      <c r="AW970" s="15">
        <f t="shared" si="610"/>
        <v>1</v>
      </c>
      <c r="AX970" s="15">
        <f t="shared" si="611"/>
        <v>1</v>
      </c>
      <c r="AY970" s="15">
        <f t="shared" si="612"/>
        <v>1</v>
      </c>
      <c r="AZ970" s="15">
        <f t="shared" si="613"/>
        <v>1</v>
      </c>
      <c r="BA970" s="15">
        <f t="shared" si="614"/>
        <v>1</v>
      </c>
      <c r="BB970" s="15">
        <f t="shared" si="621"/>
        <v>0</v>
      </c>
      <c r="BC970" s="15" t="str">
        <f t="shared" si="622"/>
        <v/>
      </c>
      <c r="BD970" s="15" t="str">
        <f t="shared" si="623"/>
        <v/>
      </c>
      <c r="BE970" s="11" t="e">
        <f t="shared" si="615"/>
        <v>#VALUE!</v>
      </c>
      <c r="BF970" s="11" t="e">
        <f t="shared" si="616"/>
        <v>#VALUE!</v>
      </c>
      <c r="BG970" s="11" t="e">
        <f t="shared" si="617"/>
        <v>#VALUE!</v>
      </c>
      <c r="BH970" t="str">
        <f t="shared" si="618"/>
        <v/>
      </c>
      <c r="BI970" t="str" cm="1">
        <f t="array" ref="BI970">_xlfn.IFS(
  L970&gt;0,"Critical Fail",
  M970&gt;0,"Important (Coaching)",
  TRUE,"Clean Pass"
)</f>
        <v>Clean Pass</v>
      </c>
      <c r="BJ970" t="str">
        <f t="shared" si="619"/>
        <v>NA</v>
      </c>
    </row>
    <row r="971" spans="1:62" x14ac:dyDescent="0.3">
      <c r="A971">
        <v>642258</v>
      </c>
      <c r="K971" t="str">
        <f t="shared" si="620"/>
        <v>Pass</v>
      </c>
      <c r="L971" s="15">
        <f t="shared" si="585"/>
        <v>0</v>
      </c>
      <c r="M971" s="15">
        <f t="shared" si="586"/>
        <v>0</v>
      </c>
      <c r="Z971" s="15">
        <f t="shared" si="587"/>
        <v>1</v>
      </c>
      <c r="AA971" s="15">
        <f t="shared" si="588"/>
        <v>1</v>
      </c>
      <c r="AB971" s="15">
        <f t="shared" si="589"/>
        <v>1</v>
      </c>
      <c r="AC971" s="15">
        <f t="shared" si="590"/>
        <v>1</v>
      </c>
      <c r="AD971" s="15">
        <f t="shared" si="591"/>
        <v>1</v>
      </c>
      <c r="AE971" s="15">
        <f t="shared" si="592"/>
        <v>1</v>
      </c>
      <c r="AF971" s="15">
        <f t="shared" si="593"/>
        <v>1</v>
      </c>
      <c r="AG971" s="15">
        <f t="shared" si="594"/>
        <v>1</v>
      </c>
      <c r="AH971" s="15">
        <f t="shared" si="595"/>
        <v>1</v>
      </c>
      <c r="AI971" s="15">
        <f t="shared" si="596"/>
        <v>1</v>
      </c>
      <c r="AJ971" s="15">
        <f t="shared" si="597"/>
        <v>1</v>
      </c>
      <c r="AK971" s="15">
        <f t="shared" si="598"/>
        <v>1</v>
      </c>
      <c r="AL971" s="15">
        <f t="shared" si="599"/>
        <v>1</v>
      </c>
      <c r="AM971" s="15">
        <f t="shared" si="600"/>
        <v>1</v>
      </c>
      <c r="AN971" s="15">
        <f t="shared" si="601"/>
        <v>1</v>
      </c>
      <c r="AO971" s="15">
        <f t="shared" si="602"/>
        <v>1</v>
      </c>
      <c r="AP971" s="15">
        <f t="shared" si="603"/>
        <v>1</v>
      </c>
      <c r="AQ971" s="15">
        <f t="shared" si="604"/>
        <v>1</v>
      </c>
      <c r="AR971" s="15">
        <f t="shared" si="605"/>
        <v>1</v>
      </c>
      <c r="AS971" s="15">
        <f t="shared" si="606"/>
        <v>1</v>
      </c>
      <c r="AT971" s="15">
        <f t="shared" si="607"/>
        <v>1</v>
      </c>
      <c r="AU971" s="15">
        <f t="shared" si="608"/>
        <v>1</v>
      </c>
      <c r="AV971" s="15">
        <f t="shared" si="609"/>
        <v>1</v>
      </c>
      <c r="AW971" s="15">
        <f t="shared" si="610"/>
        <v>1</v>
      </c>
      <c r="AX971" s="15">
        <f t="shared" si="611"/>
        <v>1</v>
      </c>
      <c r="AY971" s="15">
        <f t="shared" si="612"/>
        <v>1</v>
      </c>
      <c r="AZ971" s="15">
        <f t="shared" si="613"/>
        <v>1</v>
      </c>
      <c r="BA971" s="15">
        <f t="shared" si="614"/>
        <v>1</v>
      </c>
      <c r="BB971" s="15">
        <f t="shared" si="621"/>
        <v>0</v>
      </c>
      <c r="BC971" s="15" t="str">
        <f t="shared" si="622"/>
        <v/>
      </c>
      <c r="BD971" s="15" t="str">
        <f t="shared" si="623"/>
        <v/>
      </c>
      <c r="BE971" s="11" t="e">
        <f t="shared" si="615"/>
        <v>#VALUE!</v>
      </c>
      <c r="BF971" s="11" t="e">
        <f t="shared" si="616"/>
        <v>#VALUE!</v>
      </c>
      <c r="BG971" s="11" t="e">
        <f t="shared" si="617"/>
        <v>#VALUE!</v>
      </c>
      <c r="BH971" t="str">
        <f t="shared" si="618"/>
        <v/>
      </c>
      <c r="BI971" t="str" cm="1">
        <f t="array" ref="BI971">_xlfn.IFS(
  L971&gt;0,"Critical Fail",
  M971&gt;0,"Important (Coaching)",
  TRUE,"Clean Pass"
)</f>
        <v>Clean Pass</v>
      </c>
      <c r="BJ971" t="str">
        <f t="shared" si="619"/>
        <v>NA</v>
      </c>
    </row>
    <row r="972" spans="1:62" x14ac:dyDescent="0.3">
      <c r="A972">
        <v>890157</v>
      </c>
      <c r="K972" t="str">
        <f t="shared" si="620"/>
        <v>Pass</v>
      </c>
      <c r="L972" s="15">
        <f t="shared" si="585"/>
        <v>0</v>
      </c>
      <c r="M972" s="15">
        <f t="shared" si="586"/>
        <v>0</v>
      </c>
      <c r="Z972" s="15">
        <f t="shared" si="587"/>
        <v>1</v>
      </c>
      <c r="AA972" s="15">
        <f t="shared" si="588"/>
        <v>1</v>
      </c>
      <c r="AB972" s="15">
        <f t="shared" si="589"/>
        <v>1</v>
      </c>
      <c r="AC972" s="15">
        <f t="shared" si="590"/>
        <v>1</v>
      </c>
      <c r="AD972" s="15">
        <f t="shared" si="591"/>
        <v>1</v>
      </c>
      <c r="AE972" s="15">
        <f t="shared" si="592"/>
        <v>1</v>
      </c>
      <c r="AF972" s="15">
        <f t="shared" si="593"/>
        <v>1</v>
      </c>
      <c r="AG972" s="15">
        <f t="shared" si="594"/>
        <v>1</v>
      </c>
      <c r="AH972" s="15">
        <f t="shared" si="595"/>
        <v>1</v>
      </c>
      <c r="AI972" s="15">
        <f t="shared" si="596"/>
        <v>1</v>
      </c>
      <c r="AJ972" s="15">
        <f t="shared" si="597"/>
        <v>1</v>
      </c>
      <c r="AK972" s="15">
        <f t="shared" si="598"/>
        <v>1</v>
      </c>
      <c r="AL972" s="15">
        <f t="shared" si="599"/>
        <v>1</v>
      </c>
      <c r="AM972" s="15">
        <f t="shared" si="600"/>
        <v>1</v>
      </c>
      <c r="AN972" s="15">
        <f t="shared" si="601"/>
        <v>1</v>
      </c>
      <c r="AO972" s="15">
        <f t="shared" si="602"/>
        <v>1</v>
      </c>
      <c r="AP972" s="15">
        <f t="shared" si="603"/>
        <v>1</v>
      </c>
      <c r="AQ972" s="15">
        <f t="shared" si="604"/>
        <v>1</v>
      </c>
      <c r="AR972" s="15">
        <f t="shared" si="605"/>
        <v>1</v>
      </c>
      <c r="AS972" s="15">
        <f t="shared" si="606"/>
        <v>1</v>
      </c>
      <c r="AT972" s="15">
        <f t="shared" si="607"/>
        <v>1</v>
      </c>
      <c r="AU972" s="15">
        <f t="shared" si="608"/>
        <v>1</v>
      </c>
      <c r="AV972" s="15">
        <f t="shared" si="609"/>
        <v>1</v>
      </c>
      <c r="AW972" s="15">
        <f t="shared" si="610"/>
        <v>1</v>
      </c>
      <c r="AX972" s="15">
        <f t="shared" si="611"/>
        <v>1</v>
      </c>
      <c r="AY972" s="15">
        <f t="shared" si="612"/>
        <v>1</v>
      </c>
      <c r="AZ972" s="15">
        <f t="shared" si="613"/>
        <v>1</v>
      </c>
      <c r="BA972" s="15">
        <f t="shared" si="614"/>
        <v>1</v>
      </c>
      <c r="BB972" s="15">
        <f t="shared" si="621"/>
        <v>0</v>
      </c>
      <c r="BC972" s="15" t="str">
        <f t="shared" si="622"/>
        <v/>
      </c>
      <c r="BD972" s="15" t="str">
        <f t="shared" si="623"/>
        <v/>
      </c>
      <c r="BE972" s="11" t="e">
        <f t="shared" si="615"/>
        <v>#VALUE!</v>
      </c>
      <c r="BF972" s="11" t="e">
        <f t="shared" si="616"/>
        <v>#VALUE!</v>
      </c>
      <c r="BG972" s="11" t="e">
        <f t="shared" si="617"/>
        <v>#VALUE!</v>
      </c>
      <c r="BH972" t="str">
        <f t="shared" si="618"/>
        <v/>
      </c>
      <c r="BI972" t="str" cm="1">
        <f t="array" ref="BI972">_xlfn.IFS(
  L972&gt;0,"Critical Fail",
  M972&gt;0,"Important (Coaching)",
  TRUE,"Clean Pass"
)</f>
        <v>Clean Pass</v>
      </c>
      <c r="BJ972" t="str">
        <f t="shared" si="619"/>
        <v>NA</v>
      </c>
    </row>
    <row r="973" spans="1:62" x14ac:dyDescent="0.3">
      <c r="A973">
        <v>748367</v>
      </c>
      <c r="K973" t="str">
        <f t="shared" si="620"/>
        <v>Pass</v>
      </c>
      <c r="L973" s="15">
        <f t="shared" si="585"/>
        <v>0</v>
      </c>
      <c r="M973" s="15">
        <f t="shared" si="586"/>
        <v>0</v>
      </c>
      <c r="Z973" s="15">
        <f t="shared" si="587"/>
        <v>1</v>
      </c>
      <c r="AA973" s="15">
        <f t="shared" si="588"/>
        <v>1</v>
      </c>
      <c r="AB973" s="15">
        <f t="shared" si="589"/>
        <v>1</v>
      </c>
      <c r="AC973" s="15">
        <f t="shared" si="590"/>
        <v>1</v>
      </c>
      <c r="AD973" s="15">
        <f t="shared" si="591"/>
        <v>1</v>
      </c>
      <c r="AE973" s="15">
        <f t="shared" si="592"/>
        <v>1</v>
      </c>
      <c r="AF973" s="15">
        <f t="shared" si="593"/>
        <v>1</v>
      </c>
      <c r="AG973" s="15">
        <f t="shared" si="594"/>
        <v>1</v>
      </c>
      <c r="AH973" s="15">
        <f t="shared" si="595"/>
        <v>1</v>
      </c>
      <c r="AI973" s="15">
        <f t="shared" si="596"/>
        <v>1</v>
      </c>
      <c r="AJ973" s="15">
        <f t="shared" si="597"/>
        <v>1</v>
      </c>
      <c r="AK973" s="15">
        <f t="shared" si="598"/>
        <v>1</v>
      </c>
      <c r="AL973" s="15">
        <f t="shared" si="599"/>
        <v>1</v>
      </c>
      <c r="AM973" s="15">
        <f t="shared" si="600"/>
        <v>1</v>
      </c>
      <c r="AN973" s="15">
        <f t="shared" si="601"/>
        <v>1</v>
      </c>
      <c r="AO973" s="15">
        <f t="shared" si="602"/>
        <v>1</v>
      </c>
      <c r="AP973" s="15">
        <f t="shared" si="603"/>
        <v>1</v>
      </c>
      <c r="AQ973" s="15">
        <f t="shared" si="604"/>
        <v>1</v>
      </c>
      <c r="AR973" s="15">
        <f t="shared" si="605"/>
        <v>1</v>
      </c>
      <c r="AS973" s="15">
        <f t="shared" si="606"/>
        <v>1</v>
      </c>
      <c r="AT973" s="15">
        <f t="shared" si="607"/>
        <v>1</v>
      </c>
      <c r="AU973" s="15">
        <f t="shared" si="608"/>
        <v>1</v>
      </c>
      <c r="AV973" s="15">
        <f t="shared" si="609"/>
        <v>1</v>
      </c>
      <c r="AW973" s="15">
        <f t="shared" si="610"/>
        <v>1</v>
      </c>
      <c r="AX973" s="15">
        <f t="shared" si="611"/>
        <v>1</v>
      </c>
      <c r="AY973" s="15">
        <f t="shared" si="612"/>
        <v>1</v>
      </c>
      <c r="AZ973" s="15">
        <f t="shared" si="613"/>
        <v>1</v>
      </c>
      <c r="BA973" s="15">
        <f t="shared" si="614"/>
        <v>1</v>
      </c>
      <c r="BB973" s="15">
        <f t="shared" si="621"/>
        <v>0</v>
      </c>
      <c r="BC973" s="15" t="str">
        <f t="shared" si="622"/>
        <v/>
      </c>
      <c r="BD973" s="15" t="str">
        <f t="shared" si="623"/>
        <v/>
      </c>
      <c r="BE973" s="11" t="e">
        <f t="shared" si="615"/>
        <v>#VALUE!</v>
      </c>
      <c r="BF973" s="11" t="e">
        <f t="shared" si="616"/>
        <v>#VALUE!</v>
      </c>
      <c r="BG973" s="11" t="e">
        <f t="shared" si="617"/>
        <v>#VALUE!</v>
      </c>
      <c r="BH973" t="str">
        <f t="shared" si="618"/>
        <v/>
      </c>
      <c r="BI973" t="str" cm="1">
        <f t="array" ref="BI973">_xlfn.IFS(
  L973&gt;0,"Critical Fail",
  M973&gt;0,"Important (Coaching)",
  TRUE,"Clean Pass"
)</f>
        <v>Clean Pass</v>
      </c>
      <c r="BJ973" t="str">
        <f t="shared" si="619"/>
        <v>NA</v>
      </c>
    </row>
    <row r="974" spans="1:62" x14ac:dyDescent="0.3">
      <c r="A974">
        <v>578336</v>
      </c>
      <c r="K974" t="str">
        <f t="shared" si="620"/>
        <v>Pass</v>
      </c>
      <c r="L974" s="15">
        <f t="shared" si="585"/>
        <v>0</v>
      </c>
      <c r="M974" s="15">
        <f t="shared" si="586"/>
        <v>0</v>
      </c>
      <c r="Z974" s="15">
        <f t="shared" si="587"/>
        <v>1</v>
      </c>
      <c r="AA974" s="15">
        <f t="shared" si="588"/>
        <v>1</v>
      </c>
      <c r="AB974" s="15">
        <f t="shared" si="589"/>
        <v>1</v>
      </c>
      <c r="AC974" s="15">
        <f t="shared" si="590"/>
        <v>1</v>
      </c>
      <c r="AD974" s="15">
        <f t="shared" si="591"/>
        <v>1</v>
      </c>
      <c r="AE974" s="15">
        <f t="shared" si="592"/>
        <v>1</v>
      </c>
      <c r="AF974" s="15">
        <f t="shared" si="593"/>
        <v>1</v>
      </c>
      <c r="AG974" s="15">
        <f t="shared" si="594"/>
        <v>1</v>
      </c>
      <c r="AH974" s="15">
        <f t="shared" si="595"/>
        <v>1</v>
      </c>
      <c r="AI974" s="15">
        <f t="shared" si="596"/>
        <v>1</v>
      </c>
      <c r="AJ974" s="15">
        <f t="shared" si="597"/>
        <v>1</v>
      </c>
      <c r="AK974" s="15">
        <f t="shared" si="598"/>
        <v>1</v>
      </c>
      <c r="AL974" s="15">
        <f t="shared" si="599"/>
        <v>1</v>
      </c>
      <c r="AM974" s="15">
        <f t="shared" si="600"/>
        <v>1</v>
      </c>
      <c r="AN974" s="15">
        <f t="shared" si="601"/>
        <v>1</v>
      </c>
      <c r="AO974" s="15">
        <f t="shared" si="602"/>
        <v>1</v>
      </c>
      <c r="AP974" s="15">
        <f t="shared" si="603"/>
        <v>1</v>
      </c>
      <c r="AQ974" s="15">
        <f t="shared" si="604"/>
        <v>1</v>
      </c>
      <c r="AR974" s="15">
        <f t="shared" si="605"/>
        <v>1</v>
      </c>
      <c r="AS974" s="15">
        <f t="shared" si="606"/>
        <v>1</v>
      </c>
      <c r="AT974" s="15">
        <f t="shared" si="607"/>
        <v>1</v>
      </c>
      <c r="AU974" s="15">
        <f t="shared" si="608"/>
        <v>1</v>
      </c>
      <c r="AV974" s="15">
        <f t="shared" si="609"/>
        <v>1</v>
      </c>
      <c r="AW974" s="15">
        <f t="shared" si="610"/>
        <v>1</v>
      </c>
      <c r="AX974" s="15">
        <f t="shared" si="611"/>
        <v>1</v>
      </c>
      <c r="AY974" s="15">
        <f t="shared" si="612"/>
        <v>1</v>
      </c>
      <c r="AZ974" s="15">
        <f t="shared" si="613"/>
        <v>1</v>
      </c>
      <c r="BA974" s="15">
        <f t="shared" si="614"/>
        <v>1</v>
      </c>
      <c r="BB974" s="15">
        <f t="shared" si="621"/>
        <v>0</v>
      </c>
      <c r="BC974" s="15" t="str">
        <f t="shared" si="622"/>
        <v/>
      </c>
      <c r="BD974" s="15" t="str">
        <f t="shared" si="623"/>
        <v/>
      </c>
      <c r="BE974" s="11" t="e">
        <f t="shared" si="615"/>
        <v>#VALUE!</v>
      </c>
      <c r="BF974" s="11" t="e">
        <f t="shared" si="616"/>
        <v>#VALUE!</v>
      </c>
      <c r="BG974" s="11" t="e">
        <f t="shared" si="617"/>
        <v>#VALUE!</v>
      </c>
      <c r="BH974" t="str">
        <f t="shared" si="618"/>
        <v/>
      </c>
      <c r="BI974" t="str" cm="1">
        <f t="array" ref="BI974">_xlfn.IFS(
  L974&gt;0,"Critical Fail",
  M974&gt;0,"Important (Coaching)",
  TRUE,"Clean Pass"
)</f>
        <v>Clean Pass</v>
      </c>
      <c r="BJ974" t="str">
        <f t="shared" si="619"/>
        <v>NA</v>
      </c>
    </row>
    <row r="975" spans="1:62" x14ac:dyDescent="0.3">
      <c r="A975">
        <v>148008</v>
      </c>
      <c r="K975" t="str">
        <f t="shared" si="620"/>
        <v>Pass</v>
      </c>
      <c r="L975" s="15">
        <f t="shared" si="585"/>
        <v>0</v>
      </c>
      <c r="M975" s="15">
        <f t="shared" si="586"/>
        <v>0</v>
      </c>
      <c r="Z975" s="15">
        <f t="shared" si="587"/>
        <v>1</v>
      </c>
      <c r="AA975" s="15">
        <f t="shared" si="588"/>
        <v>1</v>
      </c>
      <c r="AB975" s="15">
        <f t="shared" si="589"/>
        <v>1</v>
      </c>
      <c r="AC975" s="15">
        <f t="shared" si="590"/>
        <v>1</v>
      </c>
      <c r="AD975" s="15">
        <f t="shared" si="591"/>
        <v>1</v>
      </c>
      <c r="AE975" s="15">
        <f t="shared" si="592"/>
        <v>1</v>
      </c>
      <c r="AF975" s="15">
        <f t="shared" si="593"/>
        <v>1</v>
      </c>
      <c r="AG975" s="15">
        <f t="shared" si="594"/>
        <v>1</v>
      </c>
      <c r="AH975" s="15">
        <f t="shared" si="595"/>
        <v>1</v>
      </c>
      <c r="AI975" s="15">
        <f t="shared" si="596"/>
        <v>1</v>
      </c>
      <c r="AJ975" s="15">
        <f t="shared" si="597"/>
        <v>1</v>
      </c>
      <c r="AK975" s="15">
        <f t="shared" si="598"/>
        <v>1</v>
      </c>
      <c r="AL975" s="15">
        <f t="shared" si="599"/>
        <v>1</v>
      </c>
      <c r="AM975" s="15">
        <f t="shared" si="600"/>
        <v>1</v>
      </c>
      <c r="AN975" s="15">
        <f t="shared" si="601"/>
        <v>1</v>
      </c>
      <c r="AO975" s="15">
        <f t="shared" si="602"/>
        <v>1</v>
      </c>
      <c r="AP975" s="15">
        <f t="shared" si="603"/>
        <v>1</v>
      </c>
      <c r="AQ975" s="15">
        <f t="shared" si="604"/>
        <v>1</v>
      </c>
      <c r="AR975" s="15">
        <f t="shared" si="605"/>
        <v>1</v>
      </c>
      <c r="AS975" s="15">
        <f t="shared" si="606"/>
        <v>1</v>
      </c>
      <c r="AT975" s="15">
        <f t="shared" si="607"/>
        <v>1</v>
      </c>
      <c r="AU975" s="15">
        <f t="shared" si="608"/>
        <v>1</v>
      </c>
      <c r="AV975" s="15">
        <f t="shared" si="609"/>
        <v>1</v>
      </c>
      <c r="AW975" s="15">
        <f t="shared" si="610"/>
        <v>1</v>
      </c>
      <c r="AX975" s="15">
        <f t="shared" si="611"/>
        <v>1</v>
      </c>
      <c r="AY975" s="15">
        <f t="shared" si="612"/>
        <v>1</v>
      </c>
      <c r="AZ975" s="15">
        <f t="shared" si="613"/>
        <v>1</v>
      </c>
      <c r="BA975" s="15">
        <f t="shared" si="614"/>
        <v>1</v>
      </c>
      <c r="BB975" s="15">
        <f t="shared" si="621"/>
        <v>0</v>
      </c>
      <c r="BC975" s="15" t="str">
        <f t="shared" si="622"/>
        <v/>
      </c>
      <c r="BD975" s="15" t="str">
        <f t="shared" si="623"/>
        <v/>
      </c>
      <c r="BE975" s="11" t="e">
        <f t="shared" si="615"/>
        <v>#VALUE!</v>
      </c>
      <c r="BF975" s="11" t="e">
        <f t="shared" si="616"/>
        <v>#VALUE!</v>
      </c>
      <c r="BG975" s="11" t="e">
        <f t="shared" si="617"/>
        <v>#VALUE!</v>
      </c>
      <c r="BH975" t="str">
        <f t="shared" si="618"/>
        <v/>
      </c>
      <c r="BI975" t="str" cm="1">
        <f t="array" ref="BI975">_xlfn.IFS(
  L975&gt;0,"Critical Fail",
  M975&gt;0,"Important (Coaching)",
  TRUE,"Clean Pass"
)</f>
        <v>Clean Pass</v>
      </c>
      <c r="BJ975" t="str">
        <f t="shared" si="619"/>
        <v>NA</v>
      </c>
    </row>
    <row r="976" spans="1:62" x14ac:dyDescent="0.3">
      <c r="A976">
        <v>422178</v>
      </c>
      <c r="K976" t="str">
        <f t="shared" si="620"/>
        <v>Pass</v>
      </c>
      <c r="L976" s="15">
        <f t="shared" si="585"/>
        <v>0</v>
      </c>
      <c r="M976" s="15">
        <f t="shared" si="586"/>
        <v>0</v>
      </c>
      <c r="Z976" s="15">
        <f t="shared" si="587"/>
        <v>1</v>
      </c>
      <c r="AA976" s="15">
        <f t="shared" si="588"/>
        <v>1</v>
      </c>
      <c r="AB976" s="15">
        <f t="shared" si="589"/>
        <v>1</v>
      </c>
      <c r="AC976" s="15">
        <f t="shared" si="590"/>
        <v>1</v>
      </c>
      <c r="AD976" s="15">
        <f t="shared" si="591"/>
        <v>1</v>
      </c>
      <c r="AE976" s="15">
        <f t="shared" si="592"/>
        <v>1</v>
      </c>
      <c r="AF976" s="15">
        <f t="shared" si="593"/>
        <v>1</v>
      </c>
      <c r="AG976" s="15">
        <f t="shared" si="594"/>
        <v>1</v>
      </c>
      <c r="AH976" s="15">
        <f t="shared" si="595"/>
        <v>1</v>
      </c>
      <c r="AI976" s="15">
        <f t="shared" si="596"/>
        <v>1</v>
      </c>
      <c r="AJ976" s="15">
        <f t="shared" si="597"/>
        <v>1</v>
      </c>
      <c r="AK976" s="15">
        <f t="shared" si="598"/>
        <v>1</v>
      </c>
      <c r="AL976" s="15">
        <f t="shared" si="599"/>
        <v>1</v>
      </c>
      <c r="AM976" s="15">
        <f t="shared" si="600"/>
        <v>1</v>
      </c>
      <c r="AN976" s="15">
        <f t="shared" si="601"/>
        <v>1</v>
      </c>
      <c r="AO976" s="15">
        <f t="shared" si="602"/>
        <v>1</v>
      </c>
      <c r="AP976" s="15">
        <f t="shared" si="603"/>
        <v>1</v>
      </c>
      <c r="AQ976" s="15">
        <f t="shared" si="604"/>
        <v>1</v>
      </c>
      <c r="AR976" s="15">
        <f t="shared" si="605"/>
        <v>1</v>
      </c>
      <c r="AS976" s="15">
        <f t="shared" si="606"/>
        <v>1</v>
      </c>
      <c r="AT976" s="15">
        <f t="shared" si="607"/>
        <v>1</v>
      </c>
      <c r="AU976" s="15">
        <f t="shared" si="608"/>
        <v>1</v>
      </c>
      <c r="AV976" s="15">
        <f t="shared" si="609"/>
        <v>1</v>
      </c>
      <c r="AW976" s="15">
        <f t="shared" si="610"/>
        <v>1</v>
      </c>
      <c r="AX976" s="15">
        <f t="shared" si="611"/>
        <v>1</v>
      </c>
      <c r="AY976" s="15">
        <f t="shared" si="612"/>
        <v>1</v>
      </c>
      <c r="AZ976" s="15">
        <f t="shared" si="613"/>
        <v>1</v>
      </c>
      <c r="BA976" s="15">
        <f t="shared" si="614"/>
        <v>1</v>
      </c>
      <c r="BB976" s="15">
        <f t="shared" si="621"/>
        <v>0</v>
      </c>
      <c r="BC976" s="15" t="str">
        <f t="shared" si="622"/>
        <v/>
      </c>
      <c r="BD976" s="15" t="str">
        <f t="shared" si="623"/>
        <v/>
      </c>
      <c r="BE976" s="11" t="e">
        <f t="shared" si="615"/>
        <v>#VALUE!</v>
      </c>
      <c r="BF976" s="11" t="e">
        <f t="shared" si="616"/>
        <v>#VALUE!</v>
      </c>
      <c r="BG976" s="11" t="e">
        <f t="shared" si="617"/>
        <v>#VALUE!</v>
      </c>
      <c r="BH976" t="str">
        <f t="shared" si="618"/>
        <v/>
      </c>
      <c r="BI976" t="str" cm="1">
        <f t="array" ref="BI976">_xlfn.IFS(
  L976&gt;0,"Critical Fail",
  M976&gt;0,"Important (Coaching)",
  TRUE,"Clean Pass"
)</f>
        <v>Clean Pass</v>
      </c>
      <c r="BJ976" t="str">
        <f t="shared" si="619"/>
        <v>NA</v>
      </c>
    </row>
    <row r="977" spans="1:62" x14ac:dyDescent="0.3">
      <c r="A977">
        <v>396423</v>
      </c>
      <c r="K977" t="str">
        <f t="shared" si="620"/>
        <v>Pass</v>
      </c>
      <c r="L977" s="15">
        <f t="shared" si="585"/>
        <v>0</v>
      </c>
      <c r="M977" s="15">
        <f t="shared" si="586"/>
        <v>0</v>
      </c>
      <c r="Z977" s="15">
        <f t="shared" si="587"/>
        <v>1</v>
      </c>
      <c r="AA977" s="15">
        <f t="shared" si="588"/>
        <v>1</v>
      </c>
      <c r="AB977" s="15">
        <f t="shared" si="589"/>
        <v>1</v>
      </c>
      <c r="AC977" s="15">
        <f t="shared" si="590"/>
        <v>1</v>
      </c>
      <c r="AD977" s="15">
        <f t="shared" si="591"/>
        <v>1</v>
      </c>
      <c r="AE977" s="15">
        <f t="shared" si="592"/>
        <v>1</v>
      </c>
      <c r="AF977" s="15">
        <f t="shared" si="593"/>
        <v>1</v>
      </c>
      <c r="AG977" s="15">
        <f t="shared" si="594"/>
        <v>1</v>
      </c>
      <c r="AH977" s="15">
        <f t="shared" si="595"/>
        <v>1</v>
      </c>
      <c r="AI977" s="15">
        <f t="shared" si="596"/>
        <v>1</v>
      </c>
      <c r="AJ977" s="15">
        <f t="shared" si="597"/>
        <v>1</v>
      </c>
      <c r="AK977" s="15">
        <f t="shared" si="598"/>
        <v>1</v>
      </c>
      <c r="AL977" s="15">
        <f t="shared" si="599"/>
        <v>1</v>
      </c>
      <c r="AM977" s="15">
        <f t="shared" si="600"/>
        <v>1</v>
      </c>
      <c r="AN977" s="15">
        <f t="shared" si="601"/>
        <v>1</v>
      </c>
      <c r="AO977" s="15">
        <f t="shared" si="602"/>
        <v>1</v>
      </c>
      <c r="AP977" s="15">
        <f t="shared" si="603"/>
        <v>1</v>
      </c>
      <c r="AQ977" s="15">
        <f t="shared" si="604"/>
        <v>1</v>
      </c>
      <c r="AR977" s="15">
        <f t="shared" si="605"/>
        <v>1</v>
      </c>
      <c r="AS977" s="15">
        <f t="shared" si="606"/>
        <v>1</v>
      </c>
      <c r="AT977" s="15">
        <f t="shared" si="607"/>
        <v>1</v>
      </c>
      <c r="AU977" s="15">
        <f t="shared" si="608"/>
        <v>1</v>
      </c>
      <c r="AV977" s="15">
        <f t="shared" si="609"/>
        <v>1</v>
      </c>
      <c r="AW977" s="15">
        <f t="shared" si="610"/>
        <v>1</v>
      </c>
      <c r="AX977" s="15">
        <f t="shared" si="611"/>
        <v>1</v>
      </c>
      <c r="AY977" s="15">
        <f t="shared" si="612"/>
        <v>1</v>
      </c>
      <c r="AZ977" s="15">
        <f t="shared" si="613"/>
        <v>1</v>
      </c>
      <c r="BA977" s="15">
        <f t="shared" si="614"/>
        <v>1</v>
      </c>
      <c r="BB977" s="15">
        <f t="shared" si="621"/>
        <v>0</v>
      </c>
      <c r="BC977" s="15" t="str">
        <f t="shared" si="622"/>
        <v/>
      </c>
      <c r="BD977" s="15" t="str">
        <f t="shared" si="623"/>
        <v/>
      </c>
      <c r="BE977" s="11" t="e">
        <f t="shared" si="615"/>
        <v>#VALUE!</v>
      </c>
      <c r="BF977" s="11" t="e">
        <f t="shared" si="616"/>
        <v>#VALUE!</v>
      </c>
      <c r="BG977" s="11" t="e">
        <f t="shared" si="617"/>
        <v>#VALUE!</v>
      </c>
      <c r="BH977" t="str">
        <f t="shared" si="618"/>
        <v/>
      </c>
      <c r="BI977" t="str" cm="1">
        <f t="array" ref="BI977">_xlfn.IFS(
  L977&gt;0,"Critical Fail",
  M977&gt;0,"Important (Coaching)",
  TRUE,"Clean Pass"
)</f>
        <v>Clean Pass</v>
      </c>
      <c r="BJ977" t="str">
        <f t="shared" si="619"/>
        <v>NA</v>
      </c>
    </row>
    <row r="978" spans="1:62" x14ac:dyDescent="0.3">
      <c r="A978">
        <v>295481</v>
      </c>
      <c r="K978" t="str">
        <f t="shared" si="620"/>
        <v>Pass</v>
      </c>
      <c r="L978" s="15">
        <f t="shared" si="585"/>
        <v>0</v>
      </c>
      <c r="M978" s="15">
        <f t="shared" si="586"/>
        <v>0</v>
      </c>
      <c r="Z978" s="15">
        <f t="shared" si="587"/>
        <v>1</v>
      </c>
      <c r="AA978" s="15">
        <f t="shared" si="588"/>
        <v>1</v>
      </c>
      <c r="AB978" s="15">
        <f t="shared" si="589"/>
        <v>1</v>
      </c>
      <c r="AC978" s="15">
        <f t="shared" si="590"/>
        <v>1</v>
      </c>
      <c r="AD978" s="15">
        <f t="shared" si="591"/>
        <v>1</v>
      </c>
      <c r="AE978" s="15">
        <f t="shared" si="592"/>
        <v>1</v>
      </c>
      <c r="AF978" s="15">
        <f t="shared" si="593"/>
        <v>1</v>
      </c>
      <c r="AG978" s="15">
        <f t="shared" si="594"/>
        <v>1</v>
      </c>
      <c r="AH978" s="15">
        <f t="shared" si="595"/>
        <v>1</v>
      </c>
      <c r="AI978" s="15">
        <f t="shared" si="596"/>
        <v>1</v>
      </c>
      <c r="AJ978" s="15">
        <f t="shared" si="597"/>
        <v>1</v>
      </c>
      <c r="AK978" s="15">
        <f t="shared" si="598"/>
        <v>1</v>
      </c>
      <c r="AL978" s="15">
        <f t="shared" si="599"/>
        <v>1</v>
      </c>
      <c r="AM978" s="15">
        <f t="shared" si="600"/>
        <v>1</v>
      </c>
      <c r="AN978" s="15">
        <f t="shared" si="601"/>
        <v>1</v>
      </c>
      <c r="AO978" s="15">
        <f t="shared" si="602"/>
        <v>1</v>
      </c>
      <c r="AP978" s="15">
        <f t="shared" si="603"/>
        <v>1</v>
      </c>
      <c r="AQ978" s="15">
        <f t="shared" si="604"/>
        <v>1</v>
      </c>
      <c r="AR978" s="15">
        <f t="shared" si="605"/>
        <v>1</v>
      </c>
      <c r="AS978" s="15">
        <f t="shared" si="606"/>
        <v>1</v>
      </c>
      <c r="AT978" s="15">
        <f t="shared" si="607"/>
        <v>1</v>
      </c>
      <c r="AU978" s="15">
        <f t="shared" si="608"/>
        <v>1</v>
      </c>
      <c r="AV978" s="15">
        <f t="shared" si="609"/>
        <v>1</v>
      </c>
      <c r="AW978" s="15">
        <f t="shared" si="610"/>
        <v>1</v>
      </c>
      <c r="AX978" s="15">
        <f t="shared" si="611"/>
        <v>1</v>
      </c>
      <c r="AY978" s="15">
        <f t="shared" si="612"/>
        <v>1</v>
      </c>
      <c r="AZ978" s="15">
        <f t="shared" si="613"/>
        <v>1</v>
      </c>
      <c r="BA978" s="15">
        <f t="shared" si="614"/>
        <v>1</v>
      </c>
      <c r="BB978" s="15">
        <f t="shared" si="621"/>
        <v>0</v>
      </c>
      <c r="BC978" s="15" t="str">
        <f t="shared" si="622"/>
        <v/>
      </c>
      <c r="BD978" s="15" t="str">
        <f t="shared" si="623"/>
        <v/>
      </c>
      <c r="BE978" s="11" t="e">
        <f t="shared" si="615"/>
        <v>#VALUE!</v>
      </c>
      <c r="BF978" s="11" t="e">
        <f t="shared" si="616"/>
        <v>#VALUE!</v>
      </c>
      <c r="BG978" s="11" t="e">
        <f t="shared" si="617"/>
        <v>#VALUE!</v>
      </c>
      <c r="BH978" t="str">
        <f t="shared" si="618"/>
        <v/>
      </c>
      <c r="BI978" t="str" cm="1">
        <f t="array" ref="BI978">_xlfn.IFS(
  L978&gt;0,"Critical Fail",
  M978&gt;0,"Important (Coaching)",
  TRUE,"Clean Pass"
)</f>
        <v>Clean Pass</v>
      </c>
      <c r="BJ978" t="str">
        <f t="shared" si="619"/>
        <v>NA</v>
      </c>
    </row>
    <row r="979" spans="1:62" x14ac:dyDescent="0.3">
      <c r="A979">
        <v>401958</v>
      </c>
      <c r="K979" t="str">
        <f t="shared" si="620"/>
        <v>Pass</v>
      </c>
      <c r="L979" s="15">
        <f t="shared" si="585"/>
        <v>0</v>
      </c>
      <c r="M979" s="15">
        <f t="shared" si="586"/>
        <v>0</v>
      </c>
      <c r="Z979" s="15">
        <f t="shared" si="587"/>
        <v>1</v>
      </c>
      <c r="AA979" s="15">
        <f t="shared" si="588"/>
        <v>1</v>
      </c>
      <c r="AB979" s="15">
        <f t="shared" si="589"/>
        <v>1</v>
      </c>
      <c r="AC979" s="15">
        <f t="shared" si="590"/>
        <v>1</v>
      </c>
      <c r="AD979" s="15">
        <f t="shared" si="591"/>
        <v>1</v>
      </c>
      <c r="AE979" s="15">
        <f t="shared" si="592"/>
        <v>1</v>
      </c>
      <c r="AF979" s="15">
        <f t="shared" si="593"/>
        <v>1</v>
      </c>
      <c r="AG979" s="15">
        <f t="shared" si="594"/>
        <v>1</v>
      </c>
      <c r="AH979" s="15">
        <f t="shared" si="595"/>
        <v>1</v>
      </c>
      <c r="AI979" s="15">
        <f t="shared" si="596"/>
        <v>1</v>
      </c>
      <c r="AJ979" s="15">
        <f t="shared" si="597"/>
        <v>1</v>
      </c>
      <c r="AK979" s="15">
        <f t="shared" si="598"/>
        <v>1</v>
      </c>
      <c r="AL979" s="15">
        <f t="shared" si="599"/>
        <v>1</v>
      </c>
      <c r="AM979" s="15">
        <f t="shared" si="600"/>
        <v>1</v>
      </c>
      <c r="AN979" s="15">
        <f t="shared" si="601"/>
        <v>1</v>
      </c>
      <c r="AO979" s="15">
        <f t="shared" si="602"/>
        <v>1</v>
      </c>
      <c r="AP979" s="15">
        <f t="shared" si="603"/>
        <v>1</v>
      </c>
      <c r="AQ979" s="15">
        <f t="shared" si="604"/>
        <v>1</v>
      </c>
      <c r="AR979" s="15">
        <f t="shared" si="605"/>
        <v>1</v>
      </c>
      <c r="AS979" s="15">
        <f t="shared" si="606"/>
        <v>1</v>
      </c>
      <c r="AT979" s="15">
        <f t="shared" si="607"/>
        <v>1</v>
      </c>
      <c r="AU979" s="15">
        <f t="shared" si="608"/>
        <v>1</v>
      </c>
      <c r="AV979" s="15">
        <f t="shared" si="609"/>
        <v>1</v>
      </c>
      <c r="AW979" s="15">
        <f t="shared" si="610"/>
        <v>1</v>
      </c>
      <c r="AX979" s="15">
        <f t="shared" si="611"/>
        <v>1</v>
      </c>
      <c r="AY979" s="15">
        <f t="shared" si="612"/>
        <v>1</v>
      </c>
      <c r="AZ979" s="15">
        <f t="shared" si="613"/>
        <v>1</v>
      </c>
      <c r="BA979" s="15">
        <f t="shared" si="614"/>
        <v>1</v>
      </c>
      <c r="BB979" s="15">
        <f t="shared" si="621"/>
        <v>0</v>
      </c>
      <c r="BC979" s="15" t="str">
        <f t="shared" si="622"/>
        <v/>
      </c>
      <c r="BD979" s="15" t="str">
        <f t="shared" si="623"/>
        <v/>
      </c>
      <c r="BE979" s="11" t="e">
        <f t="shared" si="615"/>
        <v>#VALUE!</v>
      </c>
      <c r="BF979" s="11" t="e">
        <f t="shared" si="616"/>
        <v>#VALUE!</v>
      </c>
      <c r="BG979" s="11" t="e">
        <f t="shared" si="617"/>
        <v>#VALUE!</v>
      </c>
      <c r="BH979" t="str">
        <f t="shared" si="618"/>
        <v/>
      </c>
      <c r="BI979" t="str" cm="1">
        <f t="array" ref="BI979">_xlfn.IFS(
  L979&gt;0,"Critical Fail",
  M979&gt;0,"Important (Coaching)",
  TRUE,"Clean Pass"
)</f>
        <v>Clean Pass</v>
      </c>
      <c r="BJ979" t="str">
        <f t="shared" si="619"/>
        <v>NA</v>
      </c>
    </row>
    <row r="980" spans="1:62" x14ac:dyDescent="0.3">
      <c r="A980">
        <v>650533</v>
      </c>
      <c r="K980" t="str">
        <f t="shared" si="620"/>
        <v>Pass</v>
      </c>
      <c r="L980" s="15">
        <f t="shared" si="585"/>
        <v>0</v>
      </c>
      <c r="M980" s="15">
        <f t="shared" si="586"/>
        <v>0</v>
      </c>
      <c r="Z980" s="15">
        <f t="shared" si="587"/>
        <v>1</v>
      </c>
      <c r="AA980" s="15">
        <f t="shared" si="588"/>
        <v>1</v>
      </c>
      <c r="AB980" s="15">
        <f t="shared" si="589"/>
        <v>1</v>
      </c>
      <c r="AC980" s="15">
        <f t="shared" si="590"/>
        <v>1</v>
      </c>
      <c r="AD980" s="15">
        <f t="shared" si="591"/>
        <v>1</v>
      </c>
      <c r="AE980" s="15">
        <f t="shared" si="592"/>
        <v>1</v>
      </c>
      <c r="AF980" s="15">
        <f t="shared" si="593"/>
        <v>1</v>
      </c>
      <c r="AG980" s="15">
        <f t="shared" si="594"/>
        <v>1</v>
      </c>
      <c r="AH980" s="15">
        <f t="shared" si="595"/>
        <v>1</v>
      </c>
      <c r="AI980" s="15">
        <f t="shared" si="596"/>
        <v>1</v>
      </c>
      <c r="AJ980" s="15">
        <f t="shared" si="597"/>
        <v>1</v>
      </c>
      <c r="AK980" s="15">
        <f t="shared" si="598"/>
        <v>1</v>
      </c>
      <c r="AL980" s="15">
        <f t="shared" si="599"/>
        <v>1</v>
      </c>
      <c r="AM980" s="15">
        <f t="shared" si="600"/>
        <v>1</v>
      </c>
      <c r="AN980" s="15">
        <f t="shared" si="601"/>
        <v>1</v>
      </c>
      <c r="AO980" s="15">
        <f t="shared" si="602"/>
        <v>1</v>
      </c>
      <c r="AP980" s="15">
        <f t="shared" si="603"/>
        <v>1</v>
      </c>
      <c r="AQ980" s="15">
        <f t="shared" si="604"/>
        <v>1</v>
      </c>
      <c r="AR980" s="15">
        <f t="shared" si="605"/>
        <v>1</v>
      </c>
      <c r="AS980" s="15">
        <f t="shared" si="606"/>
        <v>1</v>
      </c>
      <c r="AT980" s="15">
        <f t="shared" si="607"/>
        <v>1</v>
      </c>
      <c r="AU980" s="15">
        <f t="shared" si="608"/>
        <v>1</v>
      </c>
      <c r="AV980" s="15">
        <f t="shared" si="609"/>
        <v>1</v>
      </c>
      <c r="AW980" s="15">
        <f t="shared" si="610"/>
        <v>1</v>
      </c>
      <c r="AX980" s="15">
        <f t="shared" si="611"/>
        <v>1</v>
      </c>
      <c r="AY980" s="15">
        <f t="shared" si="612"/>
        <v>1</v>
      </c>
      <c r="AZ980" s="15">
        <f t="shared" si="613"/>
        <v>1</v>
      </c>
      <c r="BA980" s="15">
        <f t="shared" si="614"/>
        <v>1</v>
      </c>
      <c r="BB980" s="15">
        <f t="shared" si="621"/>
        <v>0</v>
      </c>
      <c r="BC980" s="15" t="str">
        <f t="shared" si="622"/>
        <v/>
      </c>
      <c r="BD980" s="15" t="str">
        <f t="shared" si="623"/>
        <v/>
      </c>
      <c r="BE980" s="11" t="e">
        <f t="shared" si="615"/>
        <v>#VALUE!</v>
      </c>
      <c r="BF980" s="11" t="e">
        <f t="shared" si="616"/>
        <v>#VALUE!</v>
      </c>
      <c r="BG980" s="11" t="e">
        <f t="shared" si="617"/>
        <v>#VALUE!</v>
      </c>
      <c r="BH980" t="str">
        <f t="shared" si="618"/>
        <v/>
      </c>
      <c r="BI980" t="str" cm="1">
        <f t="array" ref="BI980">_xlfn.IFS(
  L980&gt;0,"Critical Fail",
  M980&gt;0,"Important (Coaching)",
  TRUE,"Clean Pass"
)</f>
        <v>Clean Pass</v>
      </c>
      <c r="BJ980" t="str">
        <f t="shared" si="619"/>
        <v>NA</v>
      </c>
    </row>
    <row r="981" spans="1:62" x14ac:dyDescent="0.3">
      <c r="A981">
        <v>123873</v>
      </c>
      <c r="K981" t="str">
        <f t="shared" si="620"/>
        <v>Pass</v>
      </c>
      <c r="L981" s="15">
        <f t="shared" si="585"/>
        <v>0</v>
      </c>
      <c r="M981" s="15">
        <f t="shared" si="586"/>
        <v>0</v>
      </c>
      <c r="Z981" s="15">
        <f t="shared" si="587"/>
        <v>1</v>
      </c>
      <c r="AA981" s="15">
        <f t="shared" si="588"/>
        <v>1</v>
      </c>
      <c r="AB981" s="15">
        <f t="shared" si="589"/>
        <v>1</v>
      </c>
      <c r="AC981" s="15">
        <f t="shared" si="590"/>
        <v>1</v>
      </c>
      <c r="AD981" s="15">
        <f t="shared" si="591"/>
        <v>1</v>
      </c>
      <c r="AE981" s="15">
        <f t="shared" si="592"/>
        <v>1</v>
      </c>
      <c r="AF981" s="15">
        <f t="shared" si="593"/>
        <v>1</v>
      </c>
      <c r="AG981" s="15">
        <f t="shared" si="594"/>
        <v>1</v>
      </c>
      <c r="AH981" s="15">
        <f t="shared" si="595"/>
        <v>1</v>
      </c>
      <c r="AI981" s="15">
        <f t="shared" si="596"/>
        <v>1</v>
      </c>
      <c r="AJ981" s="15">
        <f t="shared" si="597"/>
        <v>1</v>
      </c>
      <c r="AK981" s="15">
        <f t="shared" si="598"/>
        <v>1</v>
      </c>
      <c r="AL981" s="15">
        <f t="shared" si="599"/>
        <v>1</v>
      </c>
      <c r="AM981" s="15">
        <f t="shared" si="600"/>
        <v>1</v>
      </c>
      <c r="AN981" s="15">
        <f t="shared" si="601"/>
        <v>1</v>
      </c>
      <c r="AO981" s="15">
        <f t="shared" si="602"/>
        <v>1</v>
      </c>
      <c r="AP981" s="15">
        <f t="shared" si="603"/>
        <v>1</v>
      </c>
      <c r="AQ981" s="15">
        <f t="shared" si="604"/>
        <v>1</v>
      </c>
      <c r="AR981" s="15">
        <f t="shared" si="605"/>
        <v>1</v>
      </c>
      <c r="AS981" s="15">
        <f t="shared" si="606"/>
        <v>1</v>
      </c>
      <c r="AT981" s="15">
        <f t="shared" si="607"/>
        <v>1</v>
      </c>
      <c r="AU981" s="15">
        <f t="shared" si="608"/>
        <v>1</v>
      </c>
      <c r="AV981" s="15">
        <f t="shared" si="609"/>
        <v>1</v>
      </c>
      <c r="AW981" s="15">
        <f t="shared" si="610"/>
        <v>1</v>
      </c>
      <c r="AX981" s="15">
        <f t="shared" si="611"/>
        <v>1</v>
      </c>
      <c r="AY981" s="15">
        <f t="shared" si="612"/>
        <v>1</v>
      </c>
      <c r="AZ981" s="15">
        <f t="shared" si="613"/>
        <v>1</v>
      </c>
      <c r="BA981" s="15">
        <f t="shared" si="614"/>
        <v>1</v>
      </c>
      <c r="BB981" s="15">
        <f t="shared" si="621"/>
        <v>0</v>
      </c>
      <c r="BC981" s="15" t="str">
        <f t="shared" si="622"/>
        <v/>
      </c>
      <c r="BD981" s="15" t="str">
        <f t="shared" si="623"/>
        <v/>
      </c>
      <c r="BE981" s="11" t="e">
        <f t="shared" si="615"/>
        <v>#VALUE!</v>
      </c>
      <c r="BF981" s="11" t="e">
        <f t="shared" si="616"/>
        <v>#VALUE!</v>
      </c>
      <c r="BG981" s="11" t="e">
        <f t="shared" si="617"/>
        <v>#VALUE!</v>
      </c>
      <c r="BH981" t="str">
        <f t="shared" si="618"/>
        <v/>
      </c>
      <c r="BI981" t="str" cm="1">
        <f t="array" ref="BI981">_xlfn.IFS(
  L981&gt;0,"Critical Fail",
  M981&gt;0,"Important (Coaching)",
  TRUE,"Clean Pass"
)</f>
        <v>Clean Pass</v>
      </c>
      <c r="BJ981" t="str">
        <f t="shared" si="619"/>
        <v>NA</v>
      </c>
    </row>
    <row r="982" spans="1:62" x14ac:dyDescent="0.3">
      <c r="A982">
        <v>578427</v>
      </c>
      <c r="K982" t="str">
        <f t="shared" si="620"/>
        <v>Pass</v>
      </c>
      <c r="L982" s="15">
        <f t="shared" si="585"/>
        <v>0</v>
      </c>
      <c r="M982" s="15">
        <f t="shared" si="586"/>
        <v>0</v>
      </c>
      <c r="Z982" s="15">
        <f t="shared" si="587"/>
        <v>1</v>
      </c>
      <c r="AA982" s="15">
        <f t="shared" si="588"/>
        <v>1</v>
      </c>
      <c r="AB982" s="15">
        <f t="shared" si="589"/>
        <v>1</v>
      </c>
      <c r="AC982" s="15">
        <f t="shared" si="590"/>
        <v>1</v>
      </c>
      <c r="AD982" s="15">
        <f t="shared" si="591"/>
        <v>1</v>
      </c>
      <c r="AE982" s="15">
        <f t="shared" si="592"/>
        <v>1</v>
      </c>
      <c r="AF982" s="15">
        <f t="shared" si="593"/>
        <v>1</v>
      </c>
      <c r="AG982" s="15">
        <f t="shared" si="594"/>
        <v>1</v>
      </c>
      <c r="AH982" s="15">
        <f t="shared" si="595"/>
        <v>1</v>
      </c>
      <c r="AI982" s="15">
        <f t="shared" si="596"/>
        <v>1</v>
      </c>
      <c r="AJ982" s="15">
        <f t="shared" si="597"/>
        <v>1</v>
      </c>
      <c r="AK982" s="15">
        <f t="shared" si="598"/>
        <v>1</v>
      </c>
      <c r="AL982" s="15">
        <f t="shared" si="599"/>
        <v>1</v>
      </c>
      <c r="AM982" s="15">
        <f t="shared" si="600"/>
        <v>1</v>
      </c>
      <c r="AN982" s="15">
        <f t="shared" si="601"/>
        <v>1</v>
      </c>
      <c r="AO982" s="15">
        <f t="shared" si="602"/>
        <v>1</v>
      </c>
      <c r="AP982" s="15">
        <f t="shared" si="603"/>
        <v>1</v>
      </c>
      <c r="AQ982" s="15">
        <f t="shared" si="604"/>
        <v>1</v>
      </c>
      <c r="AR982" s="15">
        <f t="shared" si="605"/>
        <v>1</v>
      </c>
      <c r="AS982" s="15">
        <f t="shared" si="606"/>
        <v>1</v>
      </c>
      <c r="AT982" s="15">
        <f t="shared" si="607"/>
        <v>1</v>
      </c>
      <c r="AU982" s="15">
        <f t="shared" si="608"/>
        <v>1</v>
      </c>
      <c r="AV982" s="15">
        <f t="shared" si="609"/>
        <v>1</v>
      </c>
      <c r="AW982" s="15">
        <f t="shared" si="610"/>
        <v>1</v>
      </c>
      <c r="AX982" s="15">
        <f t="shared" si="611"/>
        <v>1</v>
      </c>
      <c r="AY982" s="15">
        <f t="shared" si="612"/>
        <v>1</v>
      </c>
      <c r="AZ982" s="15">
        <f t="shared" si="613"/>
        <v>1</v>
      </c>
      <c r="BA982" s="15">
        <f t="shared" si="614"/>
        <v>1</v>
      </c>
      <c r="BB982" s="15">
        <f t="shared" si="621"/>
        <v>0</v>
      </c>
      <c r="BC982" s="15" t="str">
        <f t="shared" si="622"/>
        <v/>
      </c>
      <c r="BD982" s="15" t="str">
        <f t="shared" si="623"/>
        <v/>
      </c>
      <c r="BE982" s="11" t="e">
        <f t="shared" si="615"/>
        <v>#VALUE!</v>
      </c>
      <c r="BF982" s="11" t="e">
        <f t="shared" si="616"/>
        <v>#VALUE!</v>
      </c>
      <c r="BG982" s="11" t="e">
        <f t="shared" si="617"/>
        <v>#VALUE!</v>
      </c>
      <c r="BH982" t="str">
        <f t="shared" si="618"/>
        <v/>
      </c>
      <c r="BI982" t="str" cm="1">
        <f t="array" ref="BI982">_xlfn.IFS(
  L982&gt;0,"Critical Fail",
  M982&gt;0,"Important (Coaching)",
  TRUE,"Clean Pass"
)</f>
        <v>Clean Pass</v>
      </c>
      <c r="BJ982" t="str">
        <f t="shared" si="619"/>
        <v>NA</v>
      </c>
    </row>
    <row r="983" spans="1:62" x14ac:dyDescent="0.3">
      <c r="A983">
        <v>669275</v>
      </c>
      <c r="K983" t="str">
        <f t="shared" si="620"/>
        <v>Pass</v>
      </c>
      <c r="L983" s="15">
        <f t="shared" si="585"/>
        <v>0</v>
      </c>
      <c r="M983" s="15">
        <f t="shared" si="586"/>
        <v>0</v>
      </c>
      <c r="Z983" s="15">
        <f t="shared" si="587"/>
        <v>1</v>
      </c>
      <c r="AA983" s="15">
        <f t="shared" si="588"/>
        <v>1</v>
      </c>
      <c r="AB983" s="15">
        <f t="shared" si="589"/>
        <v>1</v>
      </c>
      <c r="AC983" s="15">
        <f t="shared" si="590"/>
        <v>1</v>
      </c>
      <c r="AD983" s="15">
        <f t="shared" si="591"/>
        <v>1</v>
      </c>
      <c r="AE983" s="15">
        <f t="shared" si="592"/>
        <v>1</v>
      </c>
      <c r="AF983" s="15">
        <f t="shared" si="593"/>
        <v>1</v>
      </c>
      <c r="AG983" s="15">
        <f t="shared" si="594"/>
        <v>1</v>
      </c>
      <c r="AH983" s="15">
        <f t="shared" si="595"/>
        <v>1</v>
      </c>
      <c r="AI983" s="15">
        <f t="shared" si="596"/>
        <v>1</v>
      </c>
      <c r="AJ983" s="15">
        <f t="shared" si="597"/>
        <v>1</v>
      </c>
      <c r="AK983" s="15">
        <f t="shared" si="598"/>
        <v>1</v>
      </c>
      <c r="AL983" s="15">
        <f t="shared" si="599"/>
        <v>1</v>
      </c>
      <c r="AM983" s="15">
        <f t="shared" si="600"/>
        <v>1</v>
      </c>
      <c r="AN983" s="15">
        <f t="shared" si="601"/>
        <v>1</v>
      </c>
      <c r="AO983" s="15">
        <f t="shared" si="602"/>
        <v>1</v>
      </c>
      <c r="AP983" s="15">
        <f t="shared" si="603"/>
        <v>1</v>
      </c>
      <c r="AQ983" s="15">
        <f t="shared" si="604"/>
        <v>1</v>
      </c>
      <c r="AR983" s="15">
        <f t="shared" si="605"/>
        <v>1</v>
      </c>
      <c r="AS983" s="15">
        <f t="shared" si="606"/>
        <v>1</v>
      </c>
      <c r="AT983" s="15">
        <f t="shared" si="607"/>
        <v>1</v>
      </c>
      <c r="AU983" s="15">
        <f t="shared" si="608"/>
        <v>1</v>
      </c>
      <c r="AV983" s="15">
        <f t="shared" si="609"/>
        <v>1</v>
      </c>
      <c r="AW983" s="15">
        <f t="shared" si="610"/>
        <v>1</v>
      </c>
      <c r="AX983" s="15">
        <f t="shared" si="611"/>
        <v>1</v>
      </c>
      <c r="AY983" s="15">
        <f t="shared" si="612"/>
        <v>1</v>
      </c>
      <c r="AZ983" s="15">
        <f t="shared" si="613"/>
        <v>1</v>
      </c>
      <c r="BA983" s="15">
        <f t="shared" si="614"/>
        <v>1</v>
      </c>
      <c r="BB983" s="15">
        <f t="shared" si="621"/>
        <v>0</v>
      </c>
      <c r="BC983" s="15" t="str">
        <f t="shared" si="622"/>
        <v/>
      </c>
      <c r="BD983" s="15" t="str">
        <f t="shared" si="623"/>
        <v/>
      </c>
      <c r="BE983" s="11" t="e">
        <f t="shared" si="615"/>
        <v>#VALUE!</v>
      </c>
      <c r="BF983" s="11" t="e">
        <f t="shared" si="616"/>
        <v>#VALUE!</v>
      </c>
      <c r="BG983" s="11" t="e">
        <f t="shared" si="617"/>
        <v>#VALUE!</v>
      </c>
      <c r="BH983" t="str">
        <f t="shared" si="618"/>
        <v/>
      </c>
      <c r="BI983" t="str" cm="1">
        <f t="array" ref="BI983">_xlfn.IFS(
  L983&gt;0,"Critical Fail",
  M983&gt;0,"Important (Coaching)",
  TRUE,"Clean Pass"
)</f>
        <v>Clean Pass</v>
      </c>
      <c r="BJ983" t="str">
        <f t="shared" si="619"/>
        <v>NA</v>
      </c>
    </row>
    <row r="984" spans="1:62" x14ac:dyDescent="0.3">
      <c r="A984">
        <v>418558</v>
      </c>
      <c r="K984" t="str">
        <f t="shared" si="620"/>
        <v>Pass</v>
      </c>
      <c r="L984" s="15">
        <f t="shared" si="585"/>
        <v>0</v>
      </c>
      <c r="M984" s="15">
        <f t="shared" si="586"/>
        <v>0</v>
      </c>
      <c r="Z984" s="15">
        <f t="shared" si="587"/>
        <v>1</v>
      </c>
      <c r="AA984" s="15">
        <f t="shared" si="588"/>
        <v>1</v>
      </c>
      <c r="AB984" s="15">
        <f t="shared" si="589"/>
        <v>1</v>
      </c>
      <c r="AC984" s="15">
        <f t="shared" si="590"/>
        <v>1</v>
      </c>
      <c r="AD984" s="15">
        <f t="shared" si="591"/>
        <v>1</v>
      </c>
      <c r="AE984" s="15">
        <f t="shared" si="592"/>
        <v>1</v>
      </c>
      <c r="AF984" s="15">
        <f t="shared" si="593"/>
        <v>1</v>
      </c>
      <c r="AG984" s="15">
        <f t="shared" si="594"/>
        <v>1</v>
      </c>
      <c r="AH984" s="15">
        <f t="shared" si="595"/>
        <v>1</v>
      </c>
      <c r="AI984" s="15">
        <f t="shared" si="596"/>
        <v>1</v>
      </c>
      <c r="AJ984" s="15">
        <f t="shared" si="597"/>
        <v>1</v>
      </c>
      <c r="AK984" s="15">
        <f t="shared" si="598"/>
        <v>1</v>
      </c>
      <c r="AL984" s="15">
        <f t="shared" si="599"/>
        <v>1</v>
      </c>
      <c r="AM984" s="15">
        <f t="shared" si="600"/>
        <v>1</v>
      </c>
      <c r="AN984" s="15">
        <f t="shared" si="601"/>
        <v>1</v>
      </c>
      <c r="AO984" s="15">
        <f t="shared" si="602"/>
        <v>1</v>
      </c>
      <c r="AP984" s="15">
        <f t="shared" si="603"/>
        <v>1</v>
      </c>
      <c r="AQ984" s="15">
        <f t="shared" si="604"/>
        <v>1</v>
      </c>
      <c r="AR984" s="15">
        <f t="shared" si="605"/>
        <v>1</v>
      </c>
      <c r="AS984" s="15">
        <f t="shared" si="606"/>
        <v>1</v>
      </c>
      <c r="AT984" s="15">
        <f t="shared" si="607"/>
        <v>1</v>
      </c>
      <c r="AU984" s="15">
        <f t="shared" si="608"/>
        <v>1</v>
      </c>
      <c r="AV984" s="15">
        <f t="shared" si="609"/>
        <v>1</v>
      </c>
      <c r="AW984" s="15">
        <f t="shared" si="610"/>
        <v>1</v>
      </c>
      <c r="AX984" s="15">
        <f t="shared" si="611"/>
        <v>1</v>
      </c>
      <c r="AY984" s="15">
        <f t="shared" si="612"/>
        <v>1</v>
      </c>
      <c r="AZ984" s="15">
        <f t="shared" si="613"/>
        <v>1</v>
      </c>
      <c r="BA984" s="15">
        <f t="shared" si="614"/>
        <v>1</v>
      </c>
      <c r="BB984" s="15">
        <f t="shared" si="621"/>
        <v>0</v>
      </c>
      <c r="BC984" s="15" t="str">
        <f t="shared" si="622"/>
        <v/>
      </c>
      <c r="BD984" s="15" t="str">
        <f t="shared" si="623"/>
        <v/>
      </c>
      <c r="BE984" s="11" t="e">
        <f t="shared" si="615"/>
        <v>#VALUE!</v>
      </c>
      <c r="BF984" s="11" t="e">
        <f t="shared" si="616"/>
        <v>#VALUE!</v>
      </c>
      <c r="BG984" s="11" t="e">
        <f t="shared" si="617"/>
        <v>#VALUE!</v>
      </c>
      <c r="BH984" t="str">
        <f t="shared" si="618"/>
        <v/>
      </c>
      <c r="BI984" t="str" cm="1">
        <f t="array" ref="BI984">_xlfn.IFS(
  L984&gt;0,"Critical Fail",
  M984&gt;0,"Important (Coaching)",
  TRUE,"Clean Pass"
)</f>
        <v>Clean Pass</v>
      </c>
      <c r="BJ984" t="str">
        <f t="shared" si="619"/>
        <v>NA</v>
      </c>
    </row>
    <row r="985" spans="1:62" x14ac:dyDescent="0.3">
      <c r="A985">
        <v>215796</v>
      </c>
      <c r="K985" t="str">
        <f t="shared" si="620"/>
        <v>Pass</v>
      </c>
      <c r="L985" s="15">
        <f t="shared" si="585"/>
        <v>0</v>
      </c>
      <c r="M985" s="15">
        <f t="shared" si="586"/>
        <v>0</v>
      </c>
      <c r="Z985" s="15">
        <f t="shared" si="587"/>
        <v>1</v>
      </c>
      <c r="AA985" s="15">
        <f t="shared" si="588"/>
        <v>1</v>
      </c>
      <c r="AB985" s="15">
        <f t="shared" si="589"/>
        <v>1</v>
      </c>
      <c r="AC985" s="15">
        <f t="shared" si="590"/>
        <v>1</v>
      </c>
      <c r="AD985" s="15">
        <f t="shared" si="591"/>
        <v>1</v>
      </c>
      <c r="AE985" s="15">
        <f t="shared" si="592"/>
        <v>1</v>
      </c>
      <c r="AF985" s="15">
        <f t="shared" si="593"/>
        <v>1</v>
      </c>
      <c r="AG985" s="15">
        <f t="shared" si="594"/>
        <v>1</v>
      </c>
      <c r="AH985" s="15">
        <f t="shared" si="595"/>
        <v>1</v>
      </c>
      <c r="AI985" s="15">
        <f t="shared" si="596"/>
        <v>1</v>
      </c>
      <c r="AJ985" s="15">
        <f t="shared" si="597"/>
        <v>1</v>
      </c>
      <c r="AK985" s="15">
        <f t="shared" si="598"/>
        <v>1</v>
      </c>
      <c r="AL985" s="15">
        <f t="shared" si="599"/>
        <v>1</v>
      </c>
      <c r="AM985" s="15">
        <f t="shared" si="600"/>
        <v>1</v>
      </c>
      <c r="AN985" s="15">
        <f t="shared" si="601"/>
        <v>1</v>
      </c>
      <c r="AO985" s="15">
        <f t="shared" si="602"/>
        <v>1</v>
      </c>
      <c r="AP985" s="15">
        <f t="shared" si="603"/>
        <v>1</v>
      </c>
      <c r="AQ985" s="15">
        <f t="shared" si="604"/>
        <v>1</v>
      </c>
      <c r="AR985" s="15">
        <f t="shared" si="605"/>
        <v>1</v>
      </c>
      <c r="AS985" s="15">
        <f t="shared" si="606"/>
        <v>1</v>
      </c>
      <c r="AT985" s="15">
        <f t="shared" si="607"/>
        <v>1</v>
      </c>
      <c r="AU985" s="15">
        <f t="shared" si="608"/>
        <v>1</v>
      </c>
      <c r="AV985" s="15">
        <f t="shared" si="609"/>
        <v>1</v>
      </c>
      <c r="AW985" s="15">
        <f t="shared" si="610"/>
        <v>1</v>
      </c>
      <c r="AX985" s="15">
        <f t="shared" si="611"/>
        <v>1</v>
      </c>
      <c r="AY985" s="15">
        <f t="shared" si="612"/>
        <v>1</v>
      </c>
      <c r="AZ985" s="15">
        <f t="shared" si="613"/>
        <v>1</v>
      </c>
      <c r="BA985" s="15">
        <f t="shared" si="614"/>
        <v>1</v>
      </c>
      <c r="BB985" s="15">
        <f t="shared" si="621"/>
        <v>0</v>
      </c>
      <c r="BC985" s="15" t="str">
        <f t="shared" si="622"/>
        <v/>
      </c>
      <c r="BD985" s="15" t="str">
        <f t="shared" si="623"/>
        <v/>
      </c>
      <c r="BE985" s="11" t="e">
        <f t="shared" si="615"/>
        <v>#VALUE!</v>
      </c>
      <c r="BF985" s="11" t="e">
        <f t="shared" si="616"/>
        <v>#VALUE!</v>
      </c>
      <c r="BG985" s="11" t="e">
        <f t="shared" si="617"/>
        <v>#VALUE!</v>
      </c>
      <c r="BH985" t="str">
        <f t="shared" si="618"/>
        <v/>
      </c>
      <c r="BI985" t="str" cm="1">
        <f t="array" ref="BI985">_xlfn.IFS(
  L985&gt;0,"Critical Fail",
  M985&gt;0,"Important (Coaching)",
  TRUE,"Clean Pass"
)</f>
        <v>Clean Pass</v>
      </c>
      <c r="BJ985" t="str">
        <f t="shared" si="619"/>
        <v>NA</v>
      </c>
    </row>
    <row r="986" spans="1:62" x14ac:dyDescent="0.3">
      <c r="A986">
        <v>970437</v>
      </c>
      <c r="K986" t="str">
        <f t="shared" si="620"/>
        <v>Pass</v>
      </c>
      <c r="L986" s="15">
        <f t="shared" ref="L986:L1000" si="624">COUNTA(N986,P986,R986)</f>
        <v>0</v>
      </c>
      <c r="M986" s="15">
        <f t="shared" ref="M986:M1000" si="625">COUNTA(T986,V986,X986)</f>
        <v>0</v>
      </c>
      <c r="Z986" s="15">
        <f t="shared" ref="Z986:Z1000" si="626">IF(AND(G986="DV",ISNUMBER(SEARCH("C1",N986&amp;P986&amp;R986&amp;T986&amp;V986&amp;X986))),0,1)</f>
        <v>1</v>
      </c>
      <c r="AA986" s="15">
        <f t="shared" ref="AA986:AA1000" si="627">IF(AND(G986="DV",ISNUMBER(SEARCH("C2",N986&amp;P986&amp;R986&amp;T986&amp;V986&amp;X986))),0,1)</f>
        <v>1</v>
      </c>
      <c r="AB986" s="15">
        <f t="shared" ref="AB986:AB1000" si="628">IF(AND(G986="DV",ISNUMBER(SEARCH("C3",N986&amp;P986&amp;R986&amp;T986&amp;V986&amp;X986))),0,1)</f>
        <v>1</v>
      </c>
      <c r="AC986" s="15">
        <f t="shared" ref="AC986:AC1000" si="629">IF(AND(G986="DV",ISNUMBER(SEARCH("C4",N986&amp;P986&amp;R986&amp;T986&amp;V986&amp;X986))),0,1)</f>
        <v>1</v>
      </c>
      <c r="AD986" s="15">
        <f t="shared" ref="AD986:AD1000" si="630">IF(AND(G986="DV",ISNUMBER(SEARCH("C5",N986&amp;P986&amp;R986&amp;T986&amp;V986&amp;X986))),0,1)</f>
        <v>1</v>
      </c>
      <c r="AE986" s="15">
        <f t="shared" ref="AE986:AE1000" si="631">IF(AND(G986="DV",ISNUMBER(SEARCH("C6",N986&amp;P986&amp;R986&amp;T986&amp;V986&amp;X986))),0,1)</f>
        <v>1</v>
      </c>
      <c r="AF986" s="15">
        <f t="shared" ref="AF986:AF1000" si="632">IF(AND(G986="DV",ISNUMBER(SEARCH("C7",N986&amp;P986&amp;R986&amp;T986&amp;V986&amp;X986))),0,1)</f>
        <v>1</v>
      </c>
      <c r="AG986" s="15">
        <f t="shared" ref="AG986:AG1000" si="633">IF(AND(G986="DV",ISNUMBER(SEARCH("C8",N986&amp;P986&amp;R986&amp;T986&amp;V986&amp;X986))),0,1)</f>
        <v>1</v>
      </c>
      <c r="AH986" s="15">
        <f t="shared" ref="AH986:AH1000" si="634">IF(AND(G986="DV",ISNUMBER(SEARCH("C9",N986&amp;P986&amp;R986&amp;T986&amp;V986&amp;X986))),0,1)</f>
        <v>1</v>
      </c>
      <c r="AI986" s="15">
        <f t="shared" ref="AI986:AI1000" si="635">IF(AND(G986="DV",ISNUMBER(SEARCH("I1",N986&amp;P986&amp;R986&amp;T986&amp;V986&amp;X986))),0,1)</f>
        <v>1</v>
      </c>
      <c r="AJ986" s="15">
        <f t="shared" ref="AJ986:AJ1000" si="636">IF(AND(G986="DV",ISNUMBER(SEARCH("I2",N986&amp;P986&amp;R986&amp;T986&amp;V986&amp;X986))),0,1)</f>
        <v>1</v>
      </c>
      <c r="AK986" s="15">
        <f t="shared" ref="AK986:AK1000" si="637">IF(AND(G986="DV",ISNUMBER(SEARCH("I3",N986&amp;P986&amp;R986&amp;T986&amp;V986&amp;X986))),0,1)</f>
        <v>1</v>
      </c>
      <c r="AL986" s="15">
        <f t="shared" ref="AL986:AL1000" si="638">IF(AND(G986="AL",ISNUMBER(SEARCH("C1",N986&amp;P986&amp;R986&amp;T986&amp;V986&amp;X986))),0,1)</f>
        <v>1</v>
      </c>
      <c r="AM986" s="15">
        <f t="shared" ref="AM986:AM1000" si="639">IF(AND(G986="AL",ISNUMBER(SEARCH("C2",N986&amp;P986&amp;R986&amp;T986&amp;V986&amp;X986))),0,1)</f>
        <v>1</v>
      </c>
      <c r="AN986" s="15">
        <f t="shared" ref="AN986:AN1000" si="640">IF(AND(G986="AL",ISNUMBER(SEARCH("C3",N986&amp;P986&amp;R986&amp;T986&amp;V986&amp;X986))),0,1)</f>
        <v>1</v>
      </c>
      <c r="AO986" s="15">
        <f t="shared" ref="AO986:AO1000" si="641">IF(AND(G986="AL",ISNUMBER(SEARCH("C4",N986&amp;P986&amp;R986&amp;T986&amp;V986&amp;X986))),0,1)</f>
        <v>1</v>
      </c>
      <c r="AP986" s="15">
        <f t="shared" ref="AP986:AP1000" si="642">IF(AND(G986="AL",ISNUMBER(SEARCH("C5",N986&amp;P986&amp;R986&amp;T986&amp;V986&amp;X986))),0,1)</f>
        <v>1</v>
      </c>
      <c r="AQ986" s="15">
        <f t="shared" ref="AQ986:AQ1000" si="643">IF(AND(G986="AL",ISNUMBER(SEARCH("C6",N986&amp;P986&amp;R986&amp;T986&amp;V986&amp;X986))),0,1)</f>
        <v>1</v>
      </c>
      <c r="AR986" s="15">
        <f t="shared" ref="AR986:AR1000" si="644">IF(AND(G986="AL",ISNUMBER(SEARCH("C7",N986&amp;P986&amp;R986&amp;T986&amp;V986&amp;X986))),0,1)</f>
        <v>1</v>
      </c>
      <c r="AS986" s="15">
        <f t="shared" ref="AS986:AS1000" si="645">IF(AND(G986="AL",ISNUMBER(SEARCH("C8",N986&amp;P986&amp;R986&amp;T986&amp;V986&amp;X986))),0,1)</f>
        <v>1</v>
      </c>
      <c r="AT986" s="15">
        <f t="shared" ref="AT986:AT1000" si="646">IF(AND(G986="AL",ISNUMBER(SEARCH("C9",N986&amp;P986&amp;R986&amp;T986&amp;V986&amp;X986))),0,1)</f>
        <v>1</v>
      </c>
      <c r="AU986" s="15">
        <f t="shared" ref="AU986:AU1000" si="647">IF(AND(G986="AL",ISNUMBER(SEARCH("C10",N986&amp;P986&amp;R986&amp;T986&amp;V986&amp;X986))),0,1)</f>
        <v>1</v>
      </c>
      <c r="AV986" s="15">
        <f t="shared" ref="AV986:AV1000" si="648">IF(AND(G986="AL",ISNUMBER(SEARCH("C11",N986&amp;P986&amp;R986&amp;T986&amp;V986&amp;X986))),0,1)</f>
        <v>1</v>
      </c>
      <c r="AW986" s="15">
        <f t="shared" ref="AW986:AW1000" si="649">IF(AND(G986="AL",ISNUMBER(SEARCH("C12",N986&amp;P986&amp;R986&amp;T986&amp;V986&amp;X986))),0,1)</f>
        <v>1</v>
      </c>
      <c r="AX986" s="15">
        <f t="shared" ref="AX986:AX1000" si="650">IF(AND(G986="AL",ISNUMBER(SEARCH("C13",N986&amp;P986&amp;R986&amp;T986&amp;V986&amp;X986))),0,1)</f>
        <v>1</v>
      </c>
      <c r="AY986" s="15">
        <f t="shared" ref="AY986:AY1000" si="651">IF(AND(G986="AL",ISNUMBER(SEARCH("I1",N986&amp;P986&amp;R986&amp;T986&amp;V986&amp;X986))),0,1)</f>
        <v>1</v>
      </c>
      <c r="AZ986" s="15">
        <f t="shared" ref="AZ986:AZ1000" si="652">IF(AND(G986="AL",ISNUMBER(SEARCH("I2",N986&amp;P986&amp;R986&amp;T986&amp;V986&amp;X986))),0,1)</f>
        <v>1</v>
      </c>
      <c r="BA986" s="15">
        <f t="shared" ref="BA986:BA1000" si="653">IF(AND(G986="AL",ISNUMBER(SEARCH("I3",N986&amp;P986&amp;R986&amp;T986&amp;V986&amp;X986))),0,1)</f>
        <v>1</v>
      </c>
      <c r="BB986" s="15">
        <f t="shared" si="621"/>
        <v>0</v>
      </c>
      <c r="BC986" s="15" t="str">
        <f t="shared" si="622"/>
        <v/>
      </c>
      <c r="BD986" s="15" t="str">
        <f t="shared" si="623"/>
        <v/>
      </c>
      <c r="BE986" s="11" t="e">
        <f t="shared" ref="BE986:BE1000" si="654">IF(BC986=0,1,(BC986-L986)/BC986)</f>
        <v>#VALUE!</v>
      </c>
      <c r="BF986" s="11" t="e">
        <f t="shared" ref="BF986:BF1000" si="655">IF(BD986=0,1,(BD986-M986)/BD986)</f>
        <v>#VALUE!</v>
      </c>
      <c r="BG986" s="11" t="e">
        <f t="shared" ref="BG986:BG1000" si="656">(BE986*0.7)+(BF986*0.3)</f>
        <v>#VALUE!</v>
      </c>
      <c r="BH986" t="str">
        <f t="shared" ref="BH986:BH1000" si="657">_xlfn.TEXTJOIN(",",TRUE,N986,P986,R986)</f>
        <v/>
      </c>
      <c r="BI986" t="str" cm="1">
        <f t="array" ref="BI986">_xlfn.IFS(
  L986&gt;0,"Critical Fail",
  M986&gt;0,"Important (Coaching)",
  TRUE,"Clean Pass"
)</f>
        <v>Clean Pass</v>
      </c>
      <c r="BJ986" t="str">
        <f t="shared" ref="BJ986:BJ1000" si="658">IF(COUNTA(N986:Y986)=0,"NA",_xlfn.TEXTJOIN(",",TRUE,N986:Y986))</f>
        <v>NA</v>
      </c>
    </row>
    <row r="987" spans="1:62" x14ac:dyDescent="0.3">
      <c r="A987">
        <v>373311</v>
      </c>
      <c r="K987" t="str">
        <f t="shared" si="620"/>
        <v>Pass</v>
      </c>
      <c r="L987" s="15">
        <f t="shared" si="624"/>
        <v>0</v>
      </c>
      <c r="M987" s="15">
        <f t="shared" si="625"/>
        <v>0</v>
      </c>
      <c r="Z987" s="15">
        <f t="shared" si="626"/>
        <v>1</v>
      </c>
      <c r="AA987" s="15">
        <f t="shared" si="627"/>
        <v>1</v>
      </c>
      <c r="AB987" s="15">
        <f t="shared" si="628"/>
        <v>1</v>
      </c>
      <c r="AC987" s="15">
        <f t="shared" si="629"/>
        <v>1</v>
      </c>
      <c r="AD987" s="15">
        <f t="shared" si="630"/>
        <v>1</v>
      </c>
      <c r="AE987" s="15">
        <f t="shared" si="631"/>
        <v>1</v>
      </c>
      <c r="AF987" s="15">
        <f t="shared" si="632"/>
        <v>1</v>
      </c>
      <c r="AG987" s="15">
        <f t="shared" si="633"/>
        <v>1</v>
      </c>
      <c r="AH987" s="15">
        <f t="shared" si="634"/>
        <v>1</v>
      </c>
      <c r="AI987" s="15">
        <f t="shared" si="635"/>
        <v>1</v>
      </c>
      <c r="AJ987" s="15">
        <f t="shared" si="636"/>
        <v>1</v>
      </c>
      <c r="AK987" s="15">
        <f t="shared" si="637"/>
        <v>1</v>
      </c>
      <c r="AL987" s="15">
        <f t="shared" si="638"/>
        <v>1</v>
      </c>
      <c r="AM987" s="15">
        <f t="shared" si="639"/>
        <v>1</v>
      </c>
      <c r="AN987" s="15">
        <f t="shared" si="640"/>
        <v>1</v>
      </c>
      <c r="AO987" s="15">
        <f t="shared" si="641"/>
        <v>1</v>
      </c>
      <c r="AP987" s="15">
        <f t="shared" si="642"/>
        <v>1</v>
      </c>
      <c r="AQ987" s="15">
        <f t="shared" si="643"/>
        <v>1</v>
      </c>
      <c r="AR987" s="15">
        <f t="shared" si="644"/>
        <v>1</v>
      </c>
      <c r="AS987" s="15">
        <f t="shared" si="645"/>
        <v>1</v>
      </c>
      <c r="AT987" s="15">
        <f t="shared" si="646"/>
        <v>1</v>
      </c>
      <c r="AU987" s="15">
        <f t="shared" si="647"/>
        <v>1</v>
      </c>
      <c r="AV987" s="15">
        <f t="shared" si="648"/>
        <v>1</v>
      </c>
      <c r="AW987" s="15">
        <f t="shared" si="649"/>
        <v>1</v>
      </c>
      <c r="AX987" s="15">
        <f t="shared" si="650"/>
        <v>1</v>
      </c>
      <c r="AY987" s="15">
        <f t="shared" si="651"/>
        <v>1</v>
      </c>
      <c r="AZ987" s="15">
        <f t="shared" si="652"/>
        <v>1</v>
      </c>
      <c r="BA987" s="15">
        <f t="shared" si="653"/>
        <v>1</v>
      </c>
      <c r="BB987" s="15">
        <f t="shared" si="621"/>
        <v>0</v>
      </c>
      <c r="BC987" s="15" t="str">
        <f t="shared" si="622"/>
        <v/>
      </c>
      <c r="BD987" s="15" t="str">
        <f t="shared" si="623"/>
        <v/>
      </c>
      <c r="BE987" s="11" t="e">
        <f t="shared" si="654"/>
        <v>#VALUE!</v>
      </c>
      <c r="BF987" s="11" t="e">
        <f t="shared" si="655"/>
        <v>#VALUE!</v>
      </c>
      <c r="BG987" s="11" t="e">
        <f t="shared" si="656"/>
        <v>#VALUE!</v>
      </c>
      <c r="BH987" t="str">
        <f t="shared" si="657"/>
        <v/>
      </c>
      <c r="BI987" t="str" cm="1">
        <f t="array" ref="BI987">_xlfn.IFS(
  L987&gt;0,"Critical Fail",
  M987&gt;0,"Important (Coaching)",
  TRUE,"Clean Pass"
)</f>
        <v>Clean Pass</v>
      </c>
      <c r="BJ987" t="str">
        <f t="shared" si="658"/>
        <v>NA</v>
      </c>
    </row>
    <row r="988" spans="1:62" x14ac:dyDescent="0.3">
      <c r="A988">
        <v>211039</v>
      </c>
      <c r="K988" t="str">
        <f t="shared" si="620"/>
        <v>Pass</v>
      </c>
      <c r="L988" s="15">
        <f t="shared" si="624"/>
        <v>0</v>
      </c>
      <c r="M988" s="15">
        <f t="shared" si="625"/>
        <v>0</v>
      </c>
      <c r="Z988" s="15">
        <f t="shared" si="626"/>
        <v>1</v>
      </c>
      <c r="AA988" s="15">
        <f t="shared" si="627"/>
        <v>1</v>
      </c>
      <c r="AB988" s="15">
        <f t="shared" si="628"/>
        <v>1</v>
      </c>
      <c r="AC988" s="15">
        <f t="shared" si="629"/>
        <v>1</v>
      </c>
      <c r="AD988" s="15">
        <f t="shared" si="630"/>
        <v>1</v>
      </c>
      <c r="AE988" s="15">
        <f t="shared" si="631"/>
        <v>1</v>
      </c>
      <c r="AF988" s="15">
        <f t="shared" si="632"/>
        <v>1</v>
      </c>
      <c r="AG988" s="15">
        <f t="shared" si="633"/>
        <v>1</v>
      </c>
      <c r="AH988" s="15">
        <f t="shared" si="634"/>
        <v>1</v>
      </c>
      <c r="AI988" s="15">
        <f t="shared" si="635"/>
        <v>1</v>
      </c>
      <c r="AJ988" s="15">
        <f t="shared" si="636"/>
        <v>1</v>
      </c>
      <c r="AK988" s="15">
        <f t="shared" si="637"/>
        <v>1</v>
      </c>
      <c r="AL988" s="15">
        <f t="shared" si="638"/>
        <v>1</v>
      </c>
      <c r="AM988" s="15">
        <f t="shared" si="639"/>
        <v>1</v>
      </c>
      <c r="AN988" s="15">
        <f t="shared" si="640"/>
        <v>1</v>
      </c>
      <c r="AO988" s="15">
        <f t="shared" si="641"/>
        <v>1</v>
      </c>
      <c r="AP988" s="15">
        <f t="shared" si="642"/>
        <v>1</v>
      </c>
      <c r="AQ988" s="15">
        <f t="shared" si="643"/>
        <v>1</v>
      </c>
      <c r="AR988" s="15">
        <f t="shared" si="644"/>
        <v>1</v>
      </c>
      <c r="AS988" s="15">
        <f t="shared" si="645"/>
        <v>1</v>
      </c>
      <c r="AT988" s="15">
        <f t="shared" si="646"/>
        <v>1</v>
      </c>
      <c r="AU988" s="15">
        <f t="shared" si="647"/>
        <v>1</v>
      </c>
      <c r="AV988" s="15">
        <f t="shared" si="648"/>
        <v>1</v>
      </c>
      <c r="AW988" s="15">
        <f t="shared" si="649"/>
        <v>1</v>
      </c>
      <c r="AX988" s="15">
        <f t="shared" si="650"/>
        <v>1</v>
      </c>
      <c r="AY988" s="15">
        <f t="shared" si="651"/>
        <v>1</v>
      </c>
      <c r="AZ988" s="15">
        <f t="shared" si="652"/>
        <v>1</v>
      </c>
      <c r="BA988" s="15">
        <f t="shared" si="653"/>
        <v>1</v>
      </c>
      <c r="BB988" s="15">
        <f t="shared" si="621"/>
        <v>0</v>
      </c>
      <c r="BC988" s="15" t="str">
        <f t="shared" si="622"/>
        <v/>
      </c>
      <c r="BD988" s="15" t="str">
        <f t="shared" si="623"/>
        <v/>
      </c>
      <c r="BE988" s="11" t="e">
        <f t="shared" si="654"/>
        <v>#VALUE!</v>
      </c>
      <c r="BF988" s="11" t="e">
        <f t="shared" si="655"/>
        <v>#VALUE!</v>
      </c>
      <c r="BG988" s="11" t="e">
        <f t="shared" si="656"/>
        <v>#VALUE!</v>
      </c>
      <c r="BH988" t="str">
        <f t="shared" si="657"/>
        <v/>
      </c>
      <c r="BI988" t="str" cm="1">
        <f t="array" ref="BI988">_xlfn.IFS(
  L988&gt;0,"Critical Fail",
  M988&gt;0,"Important (Coaching)",
  TRUE,"Clean Pass"
)</f>
        <v>Clean Pass</v>
      </c>
      <c r="BJ988" t="str">
        <f t="shared" si="658"/>
        <v>NA</v>
      </c>
    </row>
    <row r="989" spans="1:62" x14ac:dyDescent="0.3">
      <c r="A989">
        <v>853546</v>
      </c>
      <c r="K989" t="str">
        <f t="shared" si="620"/>
        <v>Pass</v>
      </c>
      <c r="L989" s="15">
        <f t="shared" si="624"/>
        <v>0</v>
      </c>
      <c r="M989" s="15">
        <f t="shared" si="625"/>
        <v>0</v>
      </c>
      <c r="Z989" s="15">
        <f t="shared" si="626"/>
        <v>1</v>
      </c>
      <c r="AA989" s="15">
        <f t="shared" si="627"/>
        <v>1</v>
      </c>
      <c r="AB989" s="15">
        <f t="shared" si="628"/>
        <v>1</v>
      </c>
      <c r="AC989" s="15">
        <f t="shared" si="629"/>
        <v>1</v>
      </c>
      <c r="AD989" s="15">
        <f t="shared" si="630"/>
        <v>1</v>
      </c>
      <c r="AE989" s="15">
        <f t="shared" si="631"/>
        <v>1</v>
      </c>
      <c r="AF989" s="15">
        <f t="shared" si="632"/>
        <v>1</v>
      </c>
      <c r="AG989" s="15">
        <f t="shared" si="633"/>
        <v>1</v>
      </c>
      <c r="AH989" s="15">
        <f t="shared" si="634"/>
        <v>1</v>
      </c>
      <c r="AI989" s="15">
        <f t="shared" si="635"/>
        <v>1</v>
      </c>
      <c r="AJ989" s="15">
        <f t="shared" si="636"/>
        <v>1</v>
      </c>
      <c r="AK989" s="15">
        <f t="shared" si="637"/>
        <v>1</v>
      </c>
      <c r="AL989" s="15">
        <f t="shared" si="638"/>
        <v>1</v>
      </c>
      <c r="AM989" s="15">
        <f t="shared" si="639"/>
        <v>1</v>
      </c>
      <c r="AN989" s="15">
        <f t="shared" si="640"/>
        <v>1</v>
      </c>
      <c r="AO989" s="15">
        <f t="shared" si="641"/>
        <v>1</v>
      </c>
      <c r="AP989" s="15">
        <f t="shared" si="642"/>
        <v>1</v>
      </c>
      <c r="AQ989" s="15">
        <f t="shared" si="643"/>
        <v>1</v>
      </c>
      <c r="AR989" s="15">
        <f t="shared" si="644"/>
        <v>1</v>
      </c>
      <c r="AS989" s="15">
        <f t="shared" si="645"/>
        <v>1</v>
      </c>
      <c r="AT989" s="15">
        <f t="shared" si="646"/>
        <v>1</v>
      </c>
      <c r="AU989" s="15">
        <f t="shared" si="647"/>
        <v>1</v>
      </c>
      <c r="AV989" s="15">
        <f t="shared" si="648"/>
        <v>1</v>
      </c>
      <c r="AW989" s="15">
        <f t="shared" si="649"/>
        <v>1</v>
      </c>
      <c r="AX989" s="15">
        <f t="shared" si="650"/>
        <v>1</v>
      </c>
      <c r="AY989" s="15">
        <f t="shared" si="651"/>
        <v>1</v>
      </c>
      <c r="AZ989" s="15">
        <f t="shared" si="652"/>
        <v>1</v>
      </c>
      <c r="BA989" s="15">
        <f t="shared" si="653"/>
        <v>1</v>
      </c>
      <c r="BB989" s="15">
        <f t="shared" si="621"/>
        <v>0</v>
      </c>
      <c r="BC989" s="15" t="str">
        <f t="shared" si="622"/>
        <v/>
      </c>
      <c r="BD989" s="15" t="str">
        <f t="shared" si="623"/>
        <v/>
      </c>
      <c r="BE989" s="11" t="e">
        <f t="shared" si="654"/>
        <v>#VALUE!</v>
      </c>
      <c r="BF989" s="11" t="e">
        <f t="shared" si="655"/>
        <v>#VALUE!</v>
      </c>
      <c r="BG989" s="11" t="e">
        <f t="shared" si="656"/>
        <v>#VALUE!</v>
      </c>
      <c r="BH989" t="str">
        <f t="shared" si="657"/>
        <v/>
      </c>
      <c r="BI989" t="str" cm="1">
        <f t="array" ref="BI989">_xlfn.IFS(
  L989&gt;0,"Critical Fail",
  M989&gt;0,"Important (Coaching)",
  TRUE,"Clean Pass"
)</f>
        <v>Clean Pass</v>
      </c>
      <c r="BJ989" t="str">
        <f t="shared" si="658"/>
        <v>NA</v>
      </c>
    </row>
    <row r="990" spans="1:62" x14ac:dyDescent="0.3">
      <c r="A990">
        <v>611718</v>
      </c>
      <c r="K990" t="str">
        <f t="shared" si="620"/>
        <v>Pass</v>
      </c>
      <c r="L990" s="15">
        <f t="shared" si="624"/>
        <v>0</v>
      </c>
      <c r="M990" s="15">
        <f t="shared" si="625"/>
        <v>0</v>
      </c>
      <c r="Z990" s="15">
        <f t="shared" si="626"/>
        <v>1</v>
      </c>
      <c r="AA990" s="15">
        <f t="shared" si="627"/>
        <v>1</v>
      </c>
      <c r="AB990" s="15">
        <f t="shared" si="628"/>
        <v>1</v>
      </c>
      <c r="AC990" s="15">
        <f t="shared" si="629"/>
        <v>1</v>
      </c>
      <c r="AD990" s="15">
        <f t="shared" si="630"/>
        <v>1</v>
      </c>
      <c r="AE990" s="15">
        <f t="shared" si="631"/>
        <v>1</v>
      </c>
      <c r="AF990" s="15">
        <f t="shared" si="632"/>
        <v>1</v>
      </c>
      <c r="AG990" s="15">
        <f t="shared" si="633"/>
        <v>1</v>
      </c>
      <c r="AH990" s="15">
        <f t="shared" si="634"/>
        <v>1</v>
      </c>
      <c r="AI990" s="15">
        <f t="shared" si="635"/>
        <v>1</v>
      </c>
      <c r="AJ990" s="15">
        <f t="shared" si="636"/>
        <v>1</v>
      </c>
      <c r="AK990" s="15">
        <f t="shared" si="637"/>
        <v>1</v>
      </c>
      <c r="AL990" s="15">
        <f t="shared" si="638"/>
        <v>1</v>
      </c>
      <c r="AM990" s="15">
        <f t="shared" si="639"/>
        <v>1</v>
      </c>
      <c r="AN990" s="15">
        <f t="shared" si="640"/>
        <v>1</v>
      </c>
      <c r="AO990" s="15">
        <f t="shared" si="641"/>
        <v>1</v>
      </c>
      <c r="AP990" s="15">
        <f t="shared" si="642"/>
        <v>1</v>
      </c>
      <c r="AQ990" s="15">
        <f t="shared" si="643"/>
        <v>1</v>
      </c>
      <c r="AR990" s="15">
        <f t="shared" si="644"/>
        <v>1</v>
      </c>
      <c r="AS990" s="15">
        <f t="shared" si="645"/>
        <v>1</v>
      </c>
      <c r="AT990" s="15">
        <f t="shared" si="646"/>
        <v>1</v>
      </c>
      <c r="AU990" s="15">
        <f t="shared" si="647"/>
        <v>1</v>
      </c>
      <c r="AV990" s="15">
        <f t="shared" si="648"/>
        <v>1</v>
      </c>
      <c r="AW990" s="15">
        <f t="shared" si="649"/>
        <v>1</v>
      </c>
      <c r="AX990" s="15">
        <f t="shared" si="650"/>
        <v>1</v>
      </c>
      <c r="AY990" s="15">
        <f t="shared" si="651"/>
        <v>1</v>
      </c>
      <c r="AZ990" s="15">
        <f t="shared" si="652"/>
        <v>1</v>
      </c>
      <c r="BA990" s="15">
        <f t="shared" si="653"/>
        <v>1</v>
      </c>
      <c r="BB990" s="15">
        <f t="shared" si="621"/>
        <v>0</v>
      </c>
      <c r="BC990" s="15" t="str">
        <f t="shared" si="622"/>
        <v/>
      </c>
      <c r="BD990" s="15" t="str">
        <f t="shared" si="623"/>
        <v/>
      </c>
      <c r="BE990" s="11" t="e">
        <f t="shared" si="654"/>
        <v>#VALUE!</v>
      </c>
      <c r="BF990" s="11" t="e">
        <f t="shared" si="655"/>
        <v>#VALUE!</v>
      </c>
      <c r="BG990" s="11" t="e">
        <f t="shared" si="656"/>
        <v>#VALUE!</v>
      </c>
      <c r="BH990" t="str">
        <f t="shared" si="657"/>
        <v/>
      </c>
      <c r="BI990" t="str" cm="1">
        <f t="array" ref="BI990">_xlfn.IFS(
  L990&gt;0,"Critical Fail",
  M990&gt;0,"Important (Coaching)",
  TRUE,"Clean Pass"
)</f>
        <v>Clean Pass</v>
      </c>
      <c r="BJ990" t="str">
        <f t="shared" si="658"/>
        <v>NA</v>
      </c>
    </row>
    <row r="991" spans="1:62" x14ac:dyDescent="0.3">
      <c r="A991">
        <v>702394</v>
      </c>
      <c r="K991" t="str">
        <f t="shared" si="620"/>
        <v>Pass</v>
      </c>
      <c r="L991" s="15">
        <f t="shared" si="624"/>
        <v>0</v>
      </c>
      <c r="M991" s="15">
        <f t="shared" si="625"/>
        <v>0</v>
      </c>
      <c r="Z991" s="15">
        <f t="shared" si="626"/>
        <v>1</v>
      </c>
      <c r="AA991" s="15">
        <f t="shared" si="627"/>
        <v>1</v>
      </c>
      <c r="AB991" s="15">
        <f t="shared" si="628"/>
        <v>1</v>
      </c>
      <c r="AC991" s="15">
        <f t="shared" si="629"/>
        <v>1</v>
      </c>
      <c r="AD991" s="15">
        <f t="shared" si="630"/>
        <v>1</v>
      </c>
      <c r="AE991" s="15">
        <f t="shared" si="631"/>
        <v>1</v>
      </c>
      <c r="AF991" s="15">
        <f t="shared" si="632"/>
        <v>1</v>
      </c>
      <c r="AG991" s="15">
        <f t="shared" si="633"/>
        <v>1</v>
      </c>
      <c r="AH991" s="15">
        <f t="shared" si="634"/>
        <v>1</v>
      </c>
      <c r="AI991" s="15">
        <f t="shared" si="635"/>
        <v>1</v>
      </c>
      <c r="AJ991" s="15">
        <f t="shared" si="636"/>
        <v>1</v>
      </c>
      <c r="AK991" s="15">
        <f t="shared" si="637"/>
        <v>1</v>
      </c>
      <c r="AL991" s="15">
        <f t="shared" si="638"/>
        <v>1</v>
      </c>
      <c r="AM991" s="15">
        <f t="shared" si="639"/>
        <v>1</v>
      </c>
      <c r="AN991" s="15">
        <f t="shared" si="640"/>
        <v>1</v>
      </c>
      <c r="AO991" s="15">
        <f t="shared" si="641"/>
        <v>1</v>
      </c>
      <c r="AP991" s="15">
        <f t="shared" si="642"/>
        <v>1</v>
      </c>
      <c r="AQ991" s="15">
        <f t="shared" si="643"/>
        <v>1</v>
      </c>
      <c r="AR991" s="15">
        <f t="shared" si="644"/>
        <v>1</v>
      </c>
      <c r="AS991" s="15">
        <f t="shared" si="645"/>
        <v>1</v>
      </c>
      <c r="AT991" s="15">
        <f t="shared" si="646"/>
        <v>1</v>
      </c>
      <c r="AU991" s="15">
        <f t="shared" si="647"/>
        <v>1</v>
      </c>
      <c r="AV991" s="15">
        <f t="shared" si="648"/>
        <v>1</v>
      </c>
      <c r="AW991" s="15">
        <f t="shared" si="649"/>
        <v>1</v>
      </c>
      <c r="AX991" s="15">
        <f t="shared" si="650"/>
        <v>1</v>
      </c>
      <c r="AY991" s="15">
        <f t="shared" si="651"/>
        <v>1</v>
      </c>
      <c r="AZ991" s="15">
        <f t="shared" si="652"/>
        <v>1</v>
      </c>
      <c r="BA991" s="15">
        <f t="shared" si="653"/>
        <v>1</v>
      </c>
      <c r="BB991" s="15">
        <f t="shared" si="621"/>
        <v>0</v>
      </c>
      <c r="BC991" s="15" t="str">
        <f t="shared" si="622"/>
        <v/>
      </c>
      <c r="BD991" s="15" t="str">
        <f t="shared" si="623"/>
        <v/>
      </c>
      <c r="BE991" s="11" t="e">
        <f t="shared" si="654"/>
        <v>#VALUE!</v>
      </c>
      <c r="BF991" s="11" t="e">
        <f t="shared" si="655"/>
        <v>#VALUE!</v>
      </c>
      <c r="BG991" s="11" t="e">
        <f t="shared" si="656"/>
        <v>#VALUE!</v>
      </c>
      <c r="BH991" t="str">
        <f t="shared" si="657"/>
        <v/>
      </c>
      <c r="BI991" t="str" cm="1">
        <f t="array" ref="BI991">_xlfn.IFS(
  L991&gt;0,"Critical Fail",
  M991&gt;0,"Important (Coaching)",
  TRUE,"Clean Pass"
)</f>
        <v>Clean Pass</v>
      </c>
      <c r="BJ991" t="str">
        <f t="shared" si="658"/>
        <v>NA</v>
      </c>
    </row>
    <row r="992" spans="1:62" x14ac:dyDescent="0.3">
      <c r="A992">
        <v>508295</v>
      </c>
      <c r="K992" t="str">
        <f t="shared" si="620"/>
        <v>Pass</v>
      </c>
      <c r="L992" s="15">
        <f t="shared" si="624"/>
        <v>0</v>
      </c>
      <c r="M992" s="15">
        <f t="shared" si="625"/>
        <v>0</v>
      </c>
      <c r="Z992" s="15">
        <f t="shared" si="626"/>
        <v>1</v>
      </c>
      <c r="AA992" s="15">
        <f t="shared" si="627"/>
        <v>1</v>
      </c>
      <c r="AB992" s="15">
        <f t="shared" si="628"/>
        <v>1</v>
      </c>
      <c r="AC992" s="15">
        <f t="shared" si="629"/>
        <v>1</v>
      </c>
      <c r="AD992" s="15">
        <f t="shared" si="630"/>
        <v>1</v>
      </c>
      <c r="AE992" s="15">
        <f t="shared" si="631"/>
        <v>1</v>
      </c>
      <c r="AF992" s="15">
        <f t="shared" si="632"/>
        <v>1</v>
      </c>
      <c r="AG992" s="15">
        <f t="shared" si="633"/>
        <v>1</v>
      </c>
      <c r="AH992" s="15">
        <f t="shared" si="634"/>
        <v>1</v>
      </c>
      <c r="AI992" s="15">
        <f t="shared" si="635"/>
        <v>1</v>
      </c>
      <c r="AJ992" s="15">
        <f t="shared" si="636"/>
        <v>1</v>
      </c>
      <c r="AK992" s="15">
        <f t="shared" si="637"/>
        <v>1</v>
      </c>
      <c r="AL992" s="15">
        <f t="shared" si="638"/>
        <v>1</v>
      </c>
      <c r="AM992" s="15">
        <f t="shared" si="639"/>
        <v>1</v>
      </c>
      <c r="AN992" s="15">
        <f t="shared" si="640"/>
        <v>1</v>
      </c>
      <c r="AO992" s="15">
        <f t="shared" si="641"/>
        <v>1</v>
      </c>
      <c r="AP992" s="15">
        <f t="shared" si="642"/>
        <v>1</v>
      </c>
      <c r="AQ992" s="15">
        <f t="shared" si="643"/>
        <v>1</v>
      </c>
      <c r="AR992" s="15">
        <f t="shared" si="644"/>
        <v>1</v>
      </c>
      <c r="AS992" s="15">
        <f t="shared" si="645"/>
        <v>1</v>
      </c>
      <c r="AT992" s="15">
        <f t="shared" si="646"/>
        <v>1</v>
      </c>
      <c r="AU992" s="15">
        <f t="shared" si="647"/>
        <v>1</v>
      </c>
      <c r="AV992" s="15">
        <f t="shared" si="648"/>
        <v>1</v>
      </c>
      <c r="AW992" s="15">
        <f t="shared" si="649"/>
        <v>1</v>
      </c>
      <c r="AX992" s="15">
        <f t="shared" si="650"/>
        <v>1</v>
      </c>
      <c r="AY992" s="15">
        <f t="shared" si="651"/>
        <v>1</v>
      </c>
      <c r="AZ992" s="15">
        <f t="shared" si="652"/>
        <v>1</v>
      </c>
      <c r="BA992" s="15">
        <f t="shared" si="653"/>
        <v>1</v>
      </c>
      <c r="BB992" s="15">
        <f t="shared" si="621"/>
        <v>0</v>
      </c>
      <c r="BC992" s="15" t="str">
        <f t="shared" si="622"/>
        <v/>
      </c>
      <c r="BD992" s="15" t="str">
        <f t="shared" si="623"/>
        <v/>
      </c>
      <c r="BE992" s="11" t="e">
        <f t="shared" si="654"/>
        <v>#VALUE!</v>
      </c>
      <c r="BF992" s="11" t="e">
        <f t="shared" si="655"/>
        <v>#VALUE!</v>
      </c>
      <c r="BG992" s="11" t="e">
        <f t="shared" si="656"/>
        <v>#VALUE!</v>
      </c>
      <c r="BH992" t="str">
        <f t="shared" si="657"/>
        <v/>
      </c>
      <c r="BI992" t="str" cm="1">
        <f t="array" ref="BI992">_xlfn.IFS(
  L992&gt;0,"Critical Fail",
  M992&gt;0,"Important (Coaching)",
  TRUE,"Clean Pass"
)</f>
        <v>Clean Pass</v>
      </c>
      <c r="BJ992" t="str">
        <f t="shared" si="658"/>
        <v>NA</v>
      </c>
    </row>
    <row r="993" spans="1:62" x14ac:dyDescent="0.3">
      <c r="A993">
        <v>227988</v>
      </c>
      <c r="K993" t="str">
        <f t="shared" si="620"/>
        <v>Pass</v>
      </c>
      <c r="L993" s="15">
        <f t="shared" si="624"/>
        <v>0</v>
      </c>
      <c r="M993" s="15">
        <f t="shared" si="625"/>
        <v>0</v>
      </c>
      <c r="Z993" s="15">
        <f t="shared" si="626"/>
        <v>1</v>
      </c>
      <c r="AA993" s="15">
        <f t="shared" si="627"/>
        <v>1</v>
      </c>
      <c r="AB993" s="15">
        <f t="shared" si="628"/>
        <v>1</v>
      </c>
      <c r="AC993" s="15">
        <f t="shared" si="629"/>
        <v>1</v>
      </c>
      <c r="AD993" s="15">
        <f t="shared" si="630"/>
        <v>1</v>
      </c>
      <c r="AE993" s="15">
        <f t="shared" si="631"/>
        <v>1</v>
      </c>
      <c r="AF993" s="15">
        <f t="shared" si="632"/>
        <v>1</v>
      </c>
      <c r="AG993" s="15">
        <f t="shared" si="633"/>
        <v>1</v>
      </c>
      <c r="AH993" s="15">
        <f t="shared" si="634"/>
        <v>1</v>
      </c>
      <c r="AI993" s="15">
        <f t="shared" si="635"/>
        <v>1</v>
      </c>
      <c r="AJ993" s="15">
        <f t="shared" si="636"/>
        <v>1</v>
      </c>
      <c r="AK993" s="15">
        <f t="shared" si="637"/>
        <v>1</v>
      </c>
      <c r="AL993" s="15">
        <f t="shared" si="638"/>
        <v>1</v>
      </c>
      <c r="AM993" s="15">
        <f t="shared" si="639"/>
        <v>1</v>
      </c>
      <c r="AN993" s="15">
        <f t="shared" si="640"/>
        <v>1</v>
      </c>
      <c r="AO993" s="15">
        <f t="shared" si="641"/>
        <v>1</v>
      </c>
      <c r="AP993" s="15">
        <f t="shared" si="642"/>
        <v>1</v>
      </c>
      <c r="AQ993" s="15">
        <f t="shared" si="643"/>
        <v>1</v>
      </c>
      <c r="AR993" s="15">
        <f t="shared" si="644"/>
        <v>1</v>
      </c>
      <c r="AS993" s="15">
        <f t="shared" si="645"/>
        <v>1</v>
      </c>
      <c r="AT993" s="15">
        <f t="shared" si="646"/>
        <v>1</v>
      </c>
      <c r="AU993" s="15">
        <f t="shared" si="647"/>
        <v>1</v>
      </c>
      <c r="AV993" s="15">
        <f t="shared" si="648"/>
        <v>1</v>
      </c>
      <c r="AW993" s="15">
        <f t="shared" si="649"/>
        <v>1</v>
      </c>
      <c r="AX993" s="15">
        <f t="shared" si="650"/>
        <v>1</v>
      </c>
      <c r="AY993" s="15">
        <f t="shared" si="651"/>
        <v>1</v>
      </c>
      <c r="AZ993" s="15">
        <f t="shared" si="652"/>
        <v>1</v>
      </c>
      <c r="BA993" s="15">
        <f t="shared" si="653"/>
        <v>1</v>
      </c>
      <c r="BB993" s="15">
        <f t="shared" si="621"/>
        <v>0</v>
      </c>
      <c r="BC993" s="15" t="str">
        <f t="shared" si="622"/>
        <v/>
      </c>
      <c r="BD993" s="15" t="str">
        <f t="shared" si="623"/>
        <v/>
      </c>
      <c r="BE993" s="11" t="e">
        <f t="shared" si="654"/>
        <v>#VALUE!</v>
      </c>
      <c r="BF993" s="11" t="e">
        <f t="shared" si="655"/>
        <v>#VALUE!</v>
      </c>
      <c r="BG993" s="11" t="e">
        <f t="shared" si="656"/>
        <v>#VALUE!</v>
      </c>
      <c r="BH993" t="str">
        <f t="shared" si="657"/>
        <v/>
      </c>
      <c r="BI993" t="str" cm="1">
        <f t="array" ref="BI993">_xlfn.IFS(
  L993&gt;0,"Critical Fail",
  M993&gt;0,"Important (Coaching)",
  TRUE,"Clean Pass"
)</f>
        <v>Clean Pass</v>
      </c>
      <c r="BJ993" t="str">
        <f t="shared" si="658"/>
        <v>NA</v>
      </c>
    </row>
    <row r="994" spans="1:62" x14ac:dyDescent="0.3">
      <c r="A994">
        <v>494340</v>
      </c>
      <c r="K994" t="str">
        <f t="shared" si="620"/>
        <v>Pass</v>
      </c>
      <c r="L994" s="15">
        <f t="shared" si="624"/>
        <v>0</v>
      </c>
      <c r="M994" s="15">
        <f t="shared" si="625"/>
        <v>0</v>
      </c>
      <c r="Z994" s="15">
        <f t="shared" si="626"/>
        <v>1</v>
      </c>
      <c r="AA994" s="15">
        <f t="shared" si="627"/>
        <v>1</v>
      </c>
      <c r="AB994" s="15">
        <f t="shared" si="628"/>
        <v>1</v>
      </c>
      <c r="AC994" s="15">
        <f t="shared" si="629"/>
        <v>1</v>
      </c>
      <c r="AD994" s="15">
        <f t="shared" si="630"/>
        <v>1</v>
      </c>
      <c r="AE994" s="15">
        <f t="shared" si="631"/>
        <v>1</v>
      </c>
      <c r="AF994" s="15">
        <f t="shared" si="632"/>
        <v>1</v>
      </c>
      <c r="AG994" s="15">
        <f t="shared" si="633"/>
        <v>1</v>
      </c>
      <c r="AH994" s="15">
        <f t="shared" si="634"/>
        <v>1</v>
      </c>
      <c r="AI994" s="15">
        <f t="shared" si="635"/>
        <v>1</v>
      </c>
      <c r="AJ994" s="15">
        <f t="shared" si="636"/>
        <v>1</v>
      </c>
      <c r="AK994" s="15">
        <f t="shared" si="637"/>
        <v>1</v>
      </c>
      <c r="AL994" s="15">
        <f t="shared" si="638"/>
        <v>1</v>
      </c>
      <c r="AM994" s="15">
        <f t="shared" si="639"/>
        <v>1</v>
      </c>
      <c r="AN994" s="15">
        <f t="shared" si="640"/>
        <v>1</v>
      </c>
      <c r="AO994" s="15">
        <f t="shared" si="641"/>
        <v>1</v>
      </c>
      <c r="AP994" s="15">
        <f t="shared" si="642"/>
        <v>1</v>
      </c>
      <c r="AQ994" s="15">
        <f t="shared" si="643"/>
        <v>1</v>
      </c>
      <c r="AR994" s="15">
        <f t="shared" si="644"/>
        <v>1</v>
      </c>
      <c r="AS994" s="15">
        <f t="shared" si="645"/>
        <v>1</v>
      </c>
      <c r="AT994" s="15">
        <f t="shared" si="646"/>
        <v>1</v>
      </c>
      <c r="AU994" s="15">
        <f t="shared" si="647"/>
        <v>1</v>
      </c>
      <c r="AV994" s="15">
        <f t="shared" si="648"/>
        <v>1</v>
      </c>
      <c r="AW994" s="15">
        <f t="shared" si="649"/>
        <v>1</v>
      </c>
      <c r="AX994" s="15">
        <f t="shared" si="650"/>
        <v>1</v>
      </c>
      <c r="AY994" s="15">
        <f t="shared" si="651"/>
        <v>1</v>
      </c>
      <c r="AZ994" s="15">
        <f t="shared" si="652"/>
        <v>1</v>
      </c>
      <c r="BA994" s="15">
        <f t="shared" si="653"/>
        <v>1</v>
      </c>
      <c r="BB994" s="15">
        <f t="shared" si="621"/>
        <v>0</v>
      </c>
      <c r="BC994" s="15" t="str">
        <f t="shared" si="622"/>
        <v/>
      </c>
      <c r="BD994" s="15" t="str">
        <f t="shared" si="623"/>
        <v/>
      </c>
      <c r="BE994" s="11" t="e">
        <f t="shared" si="654"/>
        <v>#VALUE!</v>
      </c>
      <c r="BF994" s="11" t="e">
        <f t="shared" si="655"/>
        <v>#VALUE!</v>
      </c>
      <c r="BG994" s="11" t="e">
        <f t="shared" si="656"/>
        <v>#VALUE!</v>
      </c>
      <c r="BH994" t="str">
        <f t="shared" si="657"/>
        <v/>
      </c>
      <c r="BI994" t="str" cm="1">
        <f t="array" ref="BI994">_xlfn.IFS(
  L994&gt;0,"Critical Fail",
  M994&gt;0,"Important (Coaching)",
  TRUE,"Clean Pass"
)</f>
        <v>Clean Pass</v>
      </c>
      <c r="BJ994" t="str">
        <f t="shared" si="658"/>
        <v>NA</v>
      </c>
    </row>
    <row r="995" spans="1:62" x14ac:dyDescent="0.3">
      <c r="A995">
        <v>678521</v>
      </c>
      <c r="K995" t="str">
        <f t="shared" si="620"/>
        <v>Pass</v>
      </c>
      <c r="L995" s="15">
        <f t="shared" si="624"/>
        <v>0</v>
      </c>
      <c r="M995" s="15">
        <f t="shared" si="625"/>
        <v>0</v>
      </c>
      <c r="Z995" s="15">
        <f t="shared" si="626"/>
        <v>1</v>
      </c>
      <c r="AA995" s="15">
        <f t="shared" si="627"/>
        <v>1</v>
      </c>
      <c r="AB995" s="15">
        <f t="shared" si="628"/>
        <v>1</v>
      </c>
      <c r="AC995" s="15">
        <f t="shared" si="629"/>
        <v>1</v>
      </c>
      <c r="AD995" s="15">
        <f t="shared" si="630"/>
        <v>1</v>
      </c>
      <c r="AE995" s="15">
        <f t="shared" si="631"/>
        <v>1</v>
      </c>
      <c r="AF995" s="15">
        <f t="shared" si="632"/>
        <v>1</v>
      </c>
      <c r="AG995" s="15">
        <f t="shared" si="633"/>
        <v>1</v>
      </c>
      <c r="AH995" s="15">
        <f t="shared" si="634"/>
        <v>1</v>
      </c>
      <c r="AI995" s="15">
        <f t="shared" si="635"/>
        <v>1</v>
      </c>
      <c r="AJ995" s="15">
        <f t="shared" si="636"/>
        <v>1</v>
      </c>
      <c r="AK995" s="15">
        <f t="shared" si="637"/>
        <v>1</v>
      </c>
      <c r="AL995" s="15">
        <f t="shared" si="638"/>
        <v>1</v>
      </c>
      <c r="AM995" s="15">
        <f t="shared" si="639"/>
        <v>1</v>
      </c>
      <c r="AN995" s="15">
        <f t="shared" si="640"/>
        <v>1</v>
      </c>
      <c r="AO995" s="15">
        <f t="shared" si="641"/>
        <v>1</v>
      </c>
      <c r="AP995" s="15">
        <f t="shared" si="642"/>
        <v>1</v>
      </c>
      <c r="AQ995" s="15">
        <f t="shared" si="643"/>
        <v>1</v>
      </c>
      <c r="AR995" s="15">
        <f t="shared" si="644"/>
        <v>1</v>
      </c>
      <c r="AS995" s="15">
        <f t="shared" si="645"/>
        <v>1</v>
      </c>
      <c r="AT995" s="15">
        <f t="shared" si="646"/>
        <v>1</v>
      </c>
      <c r="AU995" s="15">
        <f t="shared" si="647"/>
        <v>1</v>
      </c>
      <c r="AV995" s="15">
        <f t="shared" si="648"/>
        <v>1</v>
      </c>
      <c r="AW995" s="15">
        <f t="shared" si="649"/>
        <v>1</v>
      </c>
      <c r="AX995" s="15">
        <f t="shared" si="650"/>
        <v>1</v>
      </c>
      <c r="AY995" s="15">
        <f t="shared" si="651"/>
        <v>1</v>
      </c>
      <c r="AZ995" s="15">
        <f t="shared" si="652"/>
        <v>1</v>
      </c>
      <c r="BA995" s="15">
        <f t="shared" si="653"/>
        <v>1</v>
      </c>
      <c r="BB995" s="15">
        <f t="shared" si="621"/>
        <v>0</v>
      </c>
      <c r="BC995" s="15" t="str">
        <f t="shared" si="622"/>
        <v/>
      </c>
      <c r="BD995" s="15" t="str">
        <f t="shared" si="623"/>
        <v/>
      </c>
      <c r="BE995" s="11" t="e">
        <f t="shared" si="654"/>
        <v>#VALUE!</v>
      </c>
      <c r="BF995" s="11" t="e">
        <f t="shared" si="655"/>
        <v>#VALUE!</v>
      </c>
      <c r="BG995" s="11" t="e">
        <f t="shared" si="656"/>
        <v>#VALUE!</v>
      </c>
      <c r="BH995" t="str">
        <f t="shared" si="657"/>
        <v/>
      </c>
      <c r="BI995" t="str" cm="1">
        <f t="array" ref="BI995">_xlfn.IFS(
  L995&gt;0,"Critical Fail",
  M995&gt;0,"Important (Coaching)",
  TRUE,"Clean Pass"
)</f>
        <v>Clean Pass</v>
      </c>
      <c r="BJ995" t="str">
        <f t="shared" si="658"/>
        <v>NA</v>
      </c>
    </row>
    <row r="996" spans="1:62" x14ac:dyDescent="0.3">
      <c r="A996">
        <v>548444</v>
      </c>
      <c r="K996" t="str">
        <f t="shared" si="620"/>
        <v>Pass</v>
      </c>
      <c r="L996" s="15">
        <f t="shared" si="624"/>
        <v>0</v>
      </c>
      <c r="M996" s="15">
        <f t="shared" si="625"/>
        <v>0</v>
      </c>
      <c r="Z996" s="15">
        <f t="shared" si="626"/>
        <v>1</v>
      </c>
      <c r="AA996" s="15">
        <f t="shared" si="627"/>
        <v>1</v>
      </c>
      <c r="AB996" s="15">
        <f t="shared" si="628"/>
        <v>1</v>
      </c>
      <c r="AC996" s="15">
        <f t="shared" si="629"/>
        <v>1</v>
      </c>
      <c r="AD996" s="15">
        <f t="shared" si="630"/>
        <v>1</v>
      </c>
      <c r="AE996" s="15">
        <f t="shared" si="631"/>
        <v>1</v>
      </c>
      <c r="AF996" s="15">
        <f t="shared" si="632"/>
        <v>1</v>
      </c>
      <c r="AG996" s="15">
        <f t="shared" si="633"/>
        <v>1</v>
      </c>
      <c r="AH996" s="15">
        <f t="shared" si="634"/>
        <v>1</v>
      </c>
      <c r="AI996" s="15">
        <f t="shared" si="635"/>
        <v>1</v>
      </c>
      <c r="AJ996" s="15">
        <f t="shared" si="636"/>
        <v>1</v>
      </c>
      <c r="AK996" s="15">
        <f t="shared" si="637"/>
        <v>1</v>
      </c>
      <c r="AL996" s="15">
        <f t="shared" si="638"/>
        <v>1</v>
      </c>
      <c r="AM996" s="15">
        <f t="shared" si="639"/>
        <v>1</v>
      </c>
      <c r="AN996" s="15">
        <f t="shared" si="640"/>
        <v>1</v>
      </c>
      <c r="AO996" s="15">
        <f t="shared" si="641"/>
        <v>1</v>
      </c>
      <c r="AP996" s="15">
        <f t="shared" si="642"/>
        <v>1</v>
      </c>
      <c r="AQ996" s="15">
        <f t="shared" si="643"/>
        <v>1</v>
      </c>
      <c r="AR996" s="15">
        <f t="shared" si="644"/>
        <v>1</v>
      </c>
      <c r="AS996" s="15">
        <f t="shared" si="645"/>
        <v>1</v>
      </c>
      <c r="AT996" s="15">
        <f t="shared" si="646"/>
        <v>1</v>
      </c>
      <c r="AU996" s="15">
        <f t="shared" si="647"/>
        <v>1</v>
      </c>
      <c r="AV996" s="15">
        <f t="shared" si="648"/>
        <v>1</v>
      </c>
      <c r="AW996" s="15">
        <f t="shared" si="649"/>
        <v>1</v>
      </c>
      <c r="AX996" s="15">
        <f t="shared" si="650"/>
        <v>1</v>
      </c>
      <c r="AY996" s="15">
        <f t="shared" si="651"/>
        <v>1</v>
      </c>
      <c r="AZ996" s="15">
        <f t="shared" si="652"/>
        <v>1</v>
      </c>
      <c r="BA996" s="15">
        <f t="shared" si="653"/>
        <v>1</v>
      </c>
      <c r="BB996" s="15">
        <f t="shared" si="621"/>
        <v>0</v>
      </c>
      <c r="BC996" s="15" t="str">
        <f t="shared" si="622"/>
        <v/>
      </c>
      <c r="BD996" s="15" t="str">
        <f t="shared" si="623"/>
        <v/>
      </c>
      <c r="BE996" s="11" t="e">
        <f t="shared" si="654"/>
        <v>#VALUE!</v>
      </c>
      <c r="BF996" s="11" t="e">
        <f t="shared" si="655"/>
        <v>#VALUE!</v>
      </c>
      <c r="BG996" s="11" t="e">
        <f t="shared" si="656"/>
        <v>#VALUE!</v>
      </c>
      <c r="BH996" t="str">
        <f t="shared" si="657"/>
        <v/>
      </c>
      <c r="BI996" t="str" cm="1">
        <f t="array" ref="BI996">_xlfn.IFS(
  L996&gt;0,"Critical Fail",
  M996&gt;0,"Important (Coaching)",
  TRUE,"Clean Pass"
)</f>
        <v>Clean Pass</v>
      </c>
      <c r="BJ996" t="str">
        <f t="shared" si="658"/>
        <v>NA</v>
      </c>
    </row>
    <row r="997" spans="1:62" x14ac:dyDescent="0.3">
      <c r="A997">
        <v>398356</v>
      </c>
      <c r="K997" t="str">
        <f t="shared" si="620"/>
        <v>Pass</v>
      </c>
      <c r="L997" s="15">
        <f t="shared" si="624"/>
        <v>0</v>
      </c>
      <c r="M997" s="15">
        <f t="shared" si="625"/>
        <v>0</v>
      </c>
      <c r="Z997" s="15">
        <f t="shared" si="626"/>
        <v>1</v>
      </c>
      <c r="AA997" s="15">
        <f t="shared" si="627"/>
        <v>1</v>
      </c>
      <c r="AB997" s="15">
        <f t="shared" si="628"/>
        <v>1</v>
      </c>
      <c r="AC997" s="15">
        <f t="shared" si="629"/>
        <v>1</v>
      </c>
      <c r="AD997" s="15">
        <f t="shared" si="630"/>
        <v>1</v>
      </c>
      <c r="AE997" s="15">
        <f t="shared" si="631"/>
        <v>1</v>
      </c>
      <c r="AF997" s="15">
        <f t="shared" si="632"/>
        <v>1</v>
      </c>
      <c r="AG997" s="15">
        <f t="shared" si="633"/>
        <v>1</v>
      </c>
      <c r="AH997" s="15">
        <f t="shared" si="634"/>
        <v>1</v>
      </c>
      <c r="AI997" s="15">
        <f t="shared" si="635"/>
        <v>1</v>
      </c>
      <c r="AJ997" s="15">
        <f t="shared" si="636"/>
        <v>1</v>
      </c>
      <c r="AK997" s="15">
        <f t="shared" si="637"/>
        <v>1</v>
      </c>
      <c r="AL997" s="15">
        <f t="shared" si="638"/>
        <v>1</v>
      </c>
      <c r="AM997" s="15">
        <f t="shared" si="639"/>
        <v>1</v>
      </c>
      <c r="AN997" s="15">
        <f t="shared" si="640"/>
        <v>1</v>
      </c>
      <c r="AO997" s="15">
        <f t="shared" si="641"/>
        <v>1</v>
      </c>
      <c r="AP997" s="15">
        <f t="shared" si="642"/>
        <v>1</v>
      </c>
      <c r="AQ997" s="15">
        <f t="shared" si="643"/>
        <v>1</v>
      </c>
      <c r="AR997" s="15">
        <f t="shared" si="644"/>
        <v>1</v>
      </c>
      <c r="AS997" s="15">
        <f t="shared" si="645"/>
        <v>1</v>
      </c>
      <c r="AT997" s="15">
        <f t="shared" si="646"/>
        <v>1</v>
      </c>
      <c r="AU997" s="15">
        <f t="shared" si="647"/>
        <v>1</v>
      </c>
      <c r="AV997" s="15">
        <f t="shared" si="648"/>
        <v>1</v>
      </c>
      <c r="AW997" s="15">
        <f t="shared" si="649"/>
        <v>1</v>
      </c>
      <c r="AX997" s="15">
        <f t="shared" si="650"/>
        <v>1</v>
      </c>
      <c r="AY997" s="15">
        <f t="shared" si="651"/>
        <v>1</v>
      </c>
      <c r="AZ997" s="15">
        <f t="shared" si="652"/>
        <v>1</v>
      </c>
      <c r="BA997" s="15">
        <f t="shared" si="653"/>
        <v>1</v>
      </c>
      <c r="BB997" s="15">
        <f t="shared" si="621"/>
        <v>0</v>
      </c>
      <c r="BC997" s="15" t="str">
        <f t="shared" si="622"/>
        <v/>
      </c>
      <c r="BD997" s="15" t="str">
        <f t="shared" si="623"/>
        <v/>
      </c>
      <c r="BE997" s="11" t="e">
        <f t="shared" si="654"/>
        <v>#VALUE!</v>
      </c>
      <c r="BF997" s="11" t="e">
        <f t="shared" si="655"/>
        <v>#VALUE!</v>
      </c>
      <c r="BG997" s="11" t="e">
        <f t="shared" si="656"/>
        <v>#VALUE!</v>
      </c>
      <c r="BH997" t="str">
        <f t="shared" si="657"/>
        <v/>
      </c>
      <c r="BI997" t="str" cm="1">
        <f t="array" ref="BI997">_xlfn.IFS(
  L997&gt;0,"Critical Fail",
  M997&gt;0,"Important (Coaching)",
  TRUE,"Clean Pass"
)</f>
        <v>Clean Pass</v>
      </c>
      <c r="BJ997" t="str">
        <f t="shared" si="658"/>
        <v>NA</v>
      </c>
    </row>
    <row r="998" spans="1:62" x14ac:dyDescent="0.3">
      <c r="A998">
        <v>855452</v>
      </c>
      <c r="K998" t="str">
        <f t="shared" si="620"/>
        <v>Pass</v>
      </c>
      <c r="L998" s="15">
        <f t="shared" si="624"/>
        <v>0</v>
      </c>
      <c r="M998" s="15">
        <f t="shared" si="625"/>
        <v>0</v>
      </c>
      <c r="Z998" s="15">
        <f t="shared" si="626"/>
        <v>1</v>
      </c>
      <c r="AA998" s="15">
        <f t="shared" si="627"/>
        <v>1</v>
      </c>
      <c r="AB998" s="15">
        <f t="shared" si="628"/>
        <v>1</v>
      </c>
      <c r="AC998" s="15">
        <f t="shared" si="629"/>
        <v>1</v>
      </c>
      <c r="AD998" s="15">
        <f t="shared" si="630"/>
        <v>1</v>
      </c>
      <c r="AE998" s="15">
        <f t="shared" si="631"/>
        <v>1</v>
      </c>
      <c r="AF998" s="15">
        <f t="shared" si="632"/>
        <v>1</v>
      </c>
      <c r="AG998" s="15">
        <f t="shared" si="633"/>
        <v>1</v>
      </c>
      <c r="AH998" s="15">
        <f t="shared" si="634"/>
        <v>1</v>
      </c>
      <c r="AI998" s="15">
        <f t="shared" si="635"/>
        <v>1</v>
      </c>
      <c r="AJ998" s="15">
        <f t="shared" si="636"/>
        <v>1</v>
      </c>
      <c r="AK998" s="15">
        <f t="shared" si="637"/>
        <v>1</v>
      </c>
      <c r="AL998" s="15">
        <f t="shared" si="638"/>
        <v>1</v>
      </c>
      <c r="AM998" s="15">
        <f t="shared" si="639"/>
        <v>1</v>
      </c>
      <c r="AN998" s="15">
        <f t="shared" si="640"/>
        <v>1</v>
      </c>
      <c r="AO998" s="15">
        <f t="shared" si="641"/>
        <v>1</v>
      </c>
      <c r="AP998" s="15">
        <f t="shared" si="642"/>
        <v>1</v>
      </c>
      <c r="AQ998" s="15">
        <f t="shared" si="643"/>
        <v>1</v>
      </c>
      <c r="AR998" s="15">
        <f t="shared" si="644"/>
        <v>1</v>
      </c>
      <c r="AS998" s="15">
        <f t="shared" si="645"/>
        <v>1</v>
      </c>
      <c r="AT998" s="15">
        <f t="shared" si="646"/>
        <v>1</v>
      </c>
      <c r="AU998" s="15">
        <f t="shared" si="647"/>
        <v>1</v>
      </c>
      <c r="AV998" s="15">
        <f t="shared" si="648"/>
        <v>1</v>
      </c>
      <c r="AW998" s="15">
        <f t="shared" si="649"/>
        <v>1</v>
      </c>
      <c r="AX998" s="15">
        <f t="shared" si="650"/>
        <v>1</v>
      </c>
      <c r="AY998" s="15">
        <f t="shared" si="651"/>
        <v>1</v>
      </c>
      <c r="AZ998" s="15">
        <f t="shared" si="652"/>
        <v>1</v>
      </c>
      <c r="BA998" s="15">
        <f t="shared" si="653"/>
        <v>1</v>
      </c>
      <c r="BB998" s="15">
        <f t="shared" si="621"/>
        <v>0</v>
      </c>
      <c r="BC998" s="15" t="str">
        <f t="shared" si="622"/>
        <v/>
      </c>
      <c r="BD998" s="15" t="str">
        <f t="shared" si="623"/>
        <v/>
      </c>
      <c r="BE998" s="11" t="e">
        <f t="shared" si="654"/>
        <v>#VALUE!</v>
      </c>
      <c r="BF998" s="11" t="e">
        <f t="shared" si="655"/>
        <v>#VALUE!</v>
      </c>
      <c r="BG998" s="11" t="e">
        <f t="shared" si="656"/>
        <v>#VALUE!</v>
      </c>
      <c r="BH998" t="str">
        <f t="shared" si="657"/>
        <v/>
      </c>
      <c r="BI998" t="str" cm="1">
        <f t="array" ref="BI998">_xlfn.IFS(
  L998&gt;0,"Critical Fail",
  M998&gt;0,"Important (Coaching)",
  TRUE,"Clean Pass"
)</f>
        <v>Clean Pass</v>
      </c>
      <c r="BJ998" t="str">
        <f t="shared" si="658"/>
        <v>NA</v>
      </c>
    </row>
    <row r="999" spans="1:62" x14ac:dyDescent="0.3">
      <c r="A999">
        <v>640186</v>
      </c>
      <c r="K999" t="str">
        <f t="shared" si="620"/>
        <v>Pass</v>
      </c>
      <c r="L999" s="15">
        <f t="shared" si="624"/>
        <v>0</v>
      </c>
      <c r="M999" s="15">
        <f t="shared" si="625"/>
        <v>0</v>
      </c>
      <c r="Z999" s="15">
        <f t="shared" si="626"/>
        <v>1</v>
      </c>
      <c r="AA999" s="15">
        <f t="shared" si="627"/>
        <v>1</v>
      </c>
      <c r="AB999" s="15">
        <f t="shared" si="628"/>
        <v>1</v>
      </c>
      <c r="AC999" s="15">
        <f t="shared" si="629"/>
        <v>1</v>
      </c>
      <c r="AD999" s="15">
        <f t="shared" si="630"/>
        <v>1</v>
      </c>
      <c r="AE999" s="15">
        <f t="shared" si="631"/>
        <v>1</v>
      </c>
      <c r="AF999" s="15">
        <f t="shared" si="632"/>
        <v>1</v>
      </c>
      <c r="AG999" s="15">
        <f t="shared" si="633"/>
        <v>1</v>
      </c>
      <c r="AH999" s="15">
        <f t="shared" si="634"/>
        <v>1</v>
      </c>
      <c r="AI999" s="15">
        <f t="shared" si="635"/>
        <v>1</v>
      </c>
      <c r="AJ999" s="15">
        <f t="shared" si="636"/>
        <v>1</v>
      </c>
      <c r="AK999" s="15">
        <f t="shared" si="637"/>
        <v>1</v>
      </c>
      <c r="AL999" s="15">
        <f t="shared" si="638"/>
        <v>1</v>
      </c>
      <c r="AM999" s="15">
        <f t="shared" si="639"/>
        <v>1</v>
      </c>
      <c r="AN999" s="15">
        <f t="shared" si="640"/>
        <v>1</v>
      </c>
      <c r="AO999" s="15">
        <f t="shared" si="641"/>
        <v>1</v>
      </c>
      <c r="AP999" s="15">
        <f t="shared" si="642"/>
        <v>1</v>
      </c>
      <c r="AQ999" s="15">
        <f t="shared" si="643"/>
        <v>1</v>
      </c>
      <c r="AR999" s="15">
        <f t="shared" si="644"/>
        <v>1</v>
      </c>
      <c r="AS999" s="15">
        <f t="shared" si="645"/>
        <v>1</v>
      </c>
      <c r="AT999" s="15">
        <f t="shared" si="646"/>
        <v>1</v>
      </c>
      <c r="AU999" s="15">
        <f t="shared" si="647"/>
        <v>1</v>
      </c>
      <c r="AV999" s="15">
        <f t="shared" si="648"/>
        <v>1</v>
      </c>
      <c r="AW999" s="15">
        <f t="shared" si="649"/>
        <v>1</v>
      </c>
      <c r="AX999" s="15">
        <f t="shared" si="650"/>
        <v>1</v>
      </c>
      <c r="AY999" s="15">
        <f t="shared" si="651"/>
        <v>1</v>
      </c>
      <c r="AZ999" s="15">
        <f t="shared" si="652"/>
        <v>1</v>
      </c>
      <c r="BA999" s="15">
        <f t="shared" si="653"/>
        <v>1</v>
      </c>
      <c r="BB999" s="15">
        <f t="shared" si="621"/>
        <v>0</v>
      </c>
      <c r="BC999" s="15" t="str">
        <f t="shared" si="622"/>
        <v/>
      </c>
      <c r="BD999" s="15" t="str">
        <f t="shared" si="623"/>
        <v/>
      </c>
      <c r="BE999" s="11" t="e">
        <f t="shared" si="654"/>
        <v>#VALUE!</v>
      </c>
      <c r="BF999" s="11" t="e">
        <f t="shared" si="655"/>
        <v>#VALUE!</v>
      </c>
      <c r="BG999" s="11" t="e">
        <f t="shared" si="656"/>
        <v>#VALUE!</v>
      </c>
      <c r="BH999" t="str">
        <f t="shared" si="657"/>
        <v/>
      </c>
      <c r="BI999" t="str" cm="1">
        <f t="array" ref="BI999">_xlfn.IFS(
  L999&gt;0,"Critical Fail",
  M999&gt;0,"Important (Coaching)",
  TRUE,"Clean Pass"
)</f>
        <v>Clean Pass</v>
      </c>
      <c r="BJ999" t="str">
        <f t="shared" si="658"/>
        <v>NA</v>
      </c>
    </row>
    <row r="1000" spans="1:62" x14ac:dyDescent="0.3">
      <c r="A1000">
        <v>694801</v>
      </c>
      <c r="K1000" t="str">
        <f t="shared" si="620"/>
        <v>Pass</v>
      </c>
      <c r="L1000" s="15">
        <f t="shared" si="624"/>
        <v>0</v>
      </c>
      <c r="M1000" s="15">
        <f t="shared" si="625"/>
        <v>0</v>
      </c>
      <c r="Z1000" s="15">
        <f t="shared" si="626"/>
        <v>1</v>
      </c>
      <c r="AA1000" s="15">
        <f t="shared" si="627"/>
        <v>1</v>
      </c>
      <c r="AB1000" s="15">
        <f t="shared" si="628"/>
        <v>1</v>
      </c>
      <c r="AC1000" s="15">
        <f t="shared" si="629"/>
        <v>1</v>
      </c>
      <c r="AD1000" s="15">
        <f t="shared" si="630"/>
        <v>1</v>
      </c>
      <c r="AE1000" s="15">
        <f t="shared" si="631"/>
        <v>1</v>
      </c>
      <c r="AF1000" s="15">
        <f t="shared" si="632"/>
        <v>1</v>
      </c>
      <c r="AG1000" s="15">
        <f t="shared" si="633"/>
        <v>1</v>
      </c>
      <c r="AH1000" s="15">
        <f t="shared" si="634"/>
        <v>1</v>
      </c>
      <c r="AI1000" s="15">
        <f t="shared" si="635"/>
        <v>1</v>
      </c>
      <c r="AJ1000" s="15">
        <f t="shared" si="636"/>
        <v>1</v>
      </c>
      <c r="AK1000" s="15">
        <f t="shared" si="637"/>
        <v>1</v>
      </c>
      <c r="AL1000" s="15">
        <f t="shared" si="638"/>
        <v>1</v>
      </c>
      <c r="AM1000" s="15">
        <f t="shared" si="639"/>
        <v>1</v>
      </c>
      <c r="AN1000" s="15">
        <f t="shared" si="640"/>
        <v>1</v>
      </c>
      <c r="AO1000" s="15">
        <f t="shared" si="641"/>
        <v>1</v>
      </c>
      <c r="AP1000" s="15">
        <f t="shared" si="642"/>
        <v>1</v>
      </c>
      <c r="AQ1000" s="15">
        <f t="shared" si="643"/>
        <v>1</v>
      </c>
      <c r="AR1000" s="15">
        <f t="shared" si="644"/>
        <v>1</v>
      </c>
      <c r="AS1000" s="15">
        <f t="shared" si="645"/>
        <v>1</v>
      </c>
      <c r="AT1000" s="15">
        <f t="shared" si="646"/>
        <v>1</v>
      </c>
      <c r="AU1000" s="15">
        <f t="shared" si="647"/>
        <v>1</v>
      </c>
      <c r="AV1000" s="15">
        <f t="shared" si="648"/>
        <v>1</v>
      </c>
      <c r="AW1000" s="15">
        <f t="shared" si="649"/>
        <v>1</v>
      </c>
      <c r="AX1000" s="15">
        <f t="shared" si="650"/>
        <v>1</v>
      </c>
      <c r="AY1000" s="15">
        <f t="shared" si="651"/>
        <v>1</v>
      </c>
      <c r="AZ1000" s="15">
        <f t="shared" si="652"/>
        <v>1</v>
      </c>
      <c r="BA1000" s="15">
        <f t="shared" si="653"/>
        <v>1</v>
      </c>
      <c r="BB1000" s="15">
        <f t="shared" si="621"/>
        <v>0</v>
      </c>
      <c r="BC1000" s="15" t="str">
        <f t="shared" si="622"/>
        <v/>
      </c>
      <c r="BD1000" s="15" t="str">
        <f t="shared" si="623"/>
        <v/>
      </c>
      <c r="BE1000" s="11" t="e">
        <f t="shared" si="654"/>
        <v>#VALUE!</v>
      </c>
      <c r="BF1000" s="11" t="e">
        <f t="shared" si="655"/>
        <v>#VALUE!</v>
      </c>
      <c r="BG1000" s="11" t="e">
        <f t="shared" si="656"/>
        <v>#VALUE!</v>
      </c>
      <c r="BH1000" t="str">
        <f t="shared" si="657"/>
        <v/>
      </c>
      <c r="BI1000" t="str" cm="1">
        <f t="array" ref="BI1000">_xlfn.IFS(
  L1000&gt;0,"Critical Fail",
  M1000&gt;0,"Important (Coaching)",
  TRUE,"Clean Pass"
)</f>
        <v>Clean Pass</v>
      </c>
      <c r="BJ1000" t="str">
        <f t="shared" si="658"/>
        <v>NA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38CE-93A3-492B-8C59-184991ADCB2B}">
  <dimension ref="A1:K21"/>
  <sheetViews>
    <sheetView workbookViewId="0">
      <selection activeCell="K1" sqref="K1"/>
    </sheetView>
  </sheetViews>
  <sheetFormatPr defaultRowHeight="14.4" x14ac:dyDescent="0.3"/>
  <cols>
    <col min="1" max="7" width="16.5546875" customWidth="1"/>
    <col min="11" max="11" width="10" customWidth="1"/>
  </cols>
  <sheetData>
    <row r="1" spans="1:11" x14ac:dyDescent="0.3">
      <c r="A1" t="s">
        <v>171</v>
      </c>
      <c r="B1" t="s">
        <v>8</v>
      </c>
      <c r="C1" t="s">
        <v>4</v>
      </c>
      <c r="D1" t="s">
        <v>180</v>
      </c>
      <c r="E1" t="s">
        <v>172</v>
      </c>
      <c r="F1" t="s">
        <v>173</v>
      </c>
      <c r="G1" t="s">
        <v>174</v>
      </c>
      <c r="K1" t="s">
        <v>165</v>
      </c>
    </row>
    <row r="2" spans="1:11" x14ac:dyDescent="0.3">
      <c r="A2" s="22">
        <v>46113</v>
      </c>
      <c r="B2" t="s">
        <v>67</v>
      </c>
      <c r="C2" t="s">
        <v>63</v>
      </c>
      <c r="E2" t="str">
        <f>IF(Table2[[#This Row],[Supervisor Update]]="","Present",Table2[[#This Row],[Supervisor Update]])</f>
        <v>Present</v>
      </c>
      <c r="F2">
        <v>8</v>
      </c>
      <c r="K2" t="s">
        <v>166</v>
      </c>
    </row>
    <row r="3" spans="1:11" x14ac:dyDescent="0.3">
      <c r="A3" s="22">
        <v>46113</v>
      </c>
      <c r="B3" t="s">
        <v>74</v>
      </c>
      <c r="C3" t="s">
        <v>72</v>
      </c>
      <c r="E3" t="str">
        <f>IF(Table2[[#This Row],[Supervisor Update]]="","Present",Table2[[#This Row],[Supervisor Update]])</f>
        <v>Present</v>
      </c>
      <c r="F3">
        <v>8</v>
      </c>
      <c r="K3" t="s">
        <v>167</v>
      </c>
    </row>
    <row r="4" spans="1:11" x14ac:dyDescent="0.3">
      <c r="A4" s="22">
        <v>46113</v>
      </c>
      <c r="B4" t="s">
        <v>77</v>
      </c>
      <c r="C4" t="s">
        <v>63</v>
      </c>
      <c r="D4" t="s">
        <v>167</v>
      </c>
      <c r="E4" t="str">
        <f>IF(Table2[[#This Row],[Supervisor Update]]="","Present",Table2[[#This Row],[Supervisor Update]])</f>
        <v>Absent</v>
      </c>
      <c r="F4">
        <v>0</v>
      </c>
      <c r="K4" t="s">
        <v>175</v>
      </c>
    </row>
    <row r="5" spans="1:11" x14ac:dyDescent="0.3">
      <c r="A5" s="22">
        <v>46113</v>
      </c>
      <c r="B5" t="s">
        <v>82</v>
      </c>
      <c r="C5" t="s">
        <v>72</v>
      </c>
      <c r="D5" t="s">
        <v>168</v>
      </c>
      <c r="E5" t="str">
        <f>IF(Table2[[#This Row],[Supervisor Update]]="","Present",Table2[[#This Row],[Supervisor Update]])</f>
        <v>Late</v>
      </c>
      <c r="F5">
        <v>5</v>
      </c>
      <c r="K5" t="s">
        <v>168</v>
      </c>
    </row>
    <row r="6" spans="1:11" x14ac:dyDescent="0.3">
      <c r="A6" s="22">
        <v>46113</v>
      </c>
      <c r="B6" t="s">
        <v>87</v>
      </c>
      <c r="C6" t="s">
        <v>85</v>
      </c>
      <c r="E6" t="str">
        <f>IF(Table2[[#This Row],[Supervisor Update]]="","Present",Table2[[#This Row],[Supervisor Update]])</f>
        <v>Present</v>
      </c>
      <c r="F6">
        <v>8</v>
      </c>
      <c r="K6" t="s">
        <v>169</v>
      </c>
    </row>
    <row r="7" spans="1:11" x14ac:dyDescent="0.3">
      <c r="A7" s="22">
        <v>46114</v>
      </c>
      <c r="B7" t="s">
        <v>67</v>
      </c>
      <c r="C7" t="s">
        <v>63</v>
      </c>
      <c r="D7" t="s">
        <v>169</v>
      </c>
      <c r="E7" t="str">
        <f>IF(Table2[[#This Row],[Supervisor Update]]="","Present",Table2[[#This Row],[Supervisor Update]])</f>
        <v>PTO</v>
      </c>
      <c r="F7">
        <v>0</v>
      </c>
      <c r="G7" t="s">
        <v>177</v>
      </c>
      <c r="K7" t="s">
        <v>170</v>
      </c>
    </row>
    <row r="8" spans="1:11" x14ac:dyDescent="0.3">
      <c r="A8" s="22">
        <v>46114</v>
      </c>
      <c r="B8" t="s">
        <v>74</v>
      </c>
      <c r="C8" t="s">
        <v>72</v>
      </c>
      <c r="D8" t="s">
        <v>170</v>
      </c>
      <c r="E8" t="str">
        <f>IF(Table2[[#This Row],[Supervisor Update]]="","Present",Table2[[#This Row],[Supervisor Update]])</f>
        <v>Sick</v>
      </c>
      <c r="F8">
        <v>0</v>
      </c>
      <c r="G8" t="s">
        <v>176</v>
      </c>
    </row>
    <row r="9" spans="1:11" x14ac:dyDescent="0.3">
      <c r="A9" s="22">
        <v>46114</v>
      </c>
      <c r="B9" t="s">
        <v>77</v>
      </c>
      <c r="C9" t="s">
        <v>63</v>
      </c>
      <c r="E9" t="str">
        <f>IF(Table2[[#This Row],[Supervisor Update]]="","Present",Table2[[#This Row],[Supervisor Update]])</f>
        <v>Present</v>
      </c>
      <c r="F9">
        <v>8</v>
      </c>
    </row>
    <row r="10" spans="1:11" x14ac:dyDescent="0.3">
      <c r="A10" s="22">
        <v>46114</v>
      </c>
      <c r="B10" t="s">
        <v>82</v>
      </c>
      <c r="C10" t="s">
        <v>72</v>
      </c>
      <c r="E10" t="str">
        <f>IF(Table2[[#This Row],[Supervisor Update]]="","Present",Table2[[#This Row],[Supervisor Update]])</f>
        <v>Present</v>
      </c>
      <c r="F10">
        <v>8</v>
      </c>
    </row>
    <row r="11" spans="1:11" x14ac:dyDescent="0.3">
      <c r="A11" s="22">
        <v>46114</v>
      </c>
      <c r="B11" t="s">
        <v>87</v>
      </c>
      <c r="C11" t="s">
        <v>85</v>
      </c>
      <c r="E11" t="str">
        <f>IF(Table2[[#This Row],[Supervisor Update]]="","Present",Table2[[#This Row],[Supervisor Update]])</f>
        <v>Present</v>
      </c>
      <c r="F11">
        <v>8</v>
      </c>
    </row>
    <row r="12" spans="1:11" x14ac:dyDescent="0.3">
      <c r="A12" s="22">
        <v>46115</v>
      </c>
      <c r="B12" t="s">
        <v>67</v>
      </c>
      <c r="C12" t="s">
        <v>63</v>
      </c>
      <c r="D12" t="s">
        <v>175</v>
      </c>
      <c r="E12" t="str">
        <f>IF(Table2[[#This Row],[Supervisor Update]]="","Present",Table2[[#This Row],[Supervisor Update]])</f>
        <v>Left Early</v>
      </c>
      <c r="F12">
        <v>6</v>
      </c>
      <c r="G12" t="s">
        <v>179</v>
      </c>
    </row>
    <row r="13" spans="1:11" x14ac:dyDescent="0.3">
      <c r="A13" s="22">
        <v>46115</v>
      </c>
      <c r="B13" t="s">
        <v>74</v>
      </c>
      <c r="C13" t="s">
        <v>72</v>
      </c>
      <c r="D13" t="s">
        <v>168</v>
      </c>
      <c r="E13" t="str">
        <f>IF(Table2[[#This Row],[Supervisor Update]]="","Present",Table2[[#This Row],[Supervisor Update]])</f>
        <v>Late</v>
      </c>
      <c r="F13">
        <v>7</v>
      </c>
    </row>
    <row r="14" spans="1:11" x14ac:dyDescent="0.3">
      <c r="A14" s="22">
        <v>46115</v>
      </c>
      <c r="B14" t="s">
        <v>77</v>
      </c>
      <c r="C14" t="s">
        <v>63</v>
      </c>
      <c r="E14" t="str">
        <f>IF(Table2[[#This Row],[Supervisor Update]]="","Present",Table2[[#This Row],[Supervisor Update]])</f>
        <v>Present</v>
      </c>
      <c r="F14">
        <v>8</v>
      </c>
    </row>
    <row r="15" spans="1:11" x14ac:dyDescent="0.3">
      <c r="A15" s="22">
        <v>46115</v>
      </c>
      <c r="B15" t="s">
        <v>82</v>
      </c>
      <c r="C15" t="s">
        <v>72</v>
      </c>
      <c r="D15" t="s">
        <v>169</v>
      </c>
      <c r="E15" t="str">
        <f>IF(Table2[[#This Row],[Supervisor Update]]="","Present",Table2[[#This Row],[Supervisor Update]])</f>
        <v>PTO</v>
      </c>
      <c r="F15">
        <v>0</v>
      </c>
      <c r="G15" t="s">
        <v>178</v>
      </c>
    </row>
    <row r="16" spans="1:11" x14ac:dyDescent="0.3">
      <c r="A16" s="22">
        <v>46115</v>
      </c>
      <c r="B16" t="s">
        <v>87</v>
      </c>
      <c r="C16" t="s">
        <v>85</v>
      </c>
      <c r="E16" t="str">
        <f>IF(Table2[[#This Row],[Supervisor Update]]="","Present",Table2[[#This Row],[Supervisor Update]])</f>
        <v>Present</v>
      </c>
      <c r="F16">
        <v>8</v>
      </c>
    </row>
    <row r="17" spans="1:6" x14ac:dyDescent="0.3">
      <c r="A17" s="22">
        <v>46116</v>
      </c>
      <c r="B17" t="s">
        <v>67</v>
      </c>
      <c r="C17" t="s">
        <v>63</v>
      </c>
      <c r="E17" t="str">
        <f>IF(Table2[[#This Row],[Supervisor Update]]="","Present",Table2[[#This Row],[Supervisor Update]])</f>
        <v>Present</v>
      </c>
      <c r="F17">
        <v>8</v>
      </c>
    </row>
    <row r="18" spans="1:6" x14ac:dyDescent="0.3">
      <c r="A18" s="22">
        <v>46116</v>
      </c>
      <c r="B18" t="s">
        <v>74</v>
      </c>
      <c r="C18" t="s">
        <v>72</v>
      </c>
      <c r="E18" t="str">
        <f>IF(Table2[[#This Row],[Supervisor Update]]="","Present",Table2[[#This Row],[Supervisor Update]])</f>
        <v>Present</v>
      </c>
      <c r="F18">
        <v>8</v>
      </c>
    </row>
    <row r="19" spans="1:6" x14ac:dyDescent="0.3">
      <c r="A19" s="22">
        <v>46116</v>
      </c>
      <c r="B19" t="s">
        <v>77</v>
      </c>
      <c r="C19" t="s">
        <v>63</v>
      </c>
      <c r="E19" t="str">
        <f>IF(Table2[[#This Row],[Supervisor Update]]="","Present",Table2[[#This Row],[Supervisor Update]])</f>
        <v>Present</v>
      </c>
      <c r="F19">
        <v>8</v>
      </c>
    </row>
    <row r="20" spans="1:6" x14ac:dyDescent="0.3">
      <c r="A20" s="22">
        <v>46116</v>
      </c>
      <c r="B20" t="s">
        <v>82</v>
      </c>
      <c r="C20" t="s">
        <v>72</v>
      </c>
      <c r="E20" t="str">
        <f>IF(Table2[[#This Row],[Supervisor Update]]="","Present",Table2[[#This Row],[Supervisor Update]])</f>
        <v>Present</v>
      </c>
      <c r="F20">
        <v>8</v>
      </c>
    </row>
    <row r="21" spans="1:6" x14ac:dyDescent="0.3">
      <c r="A21" s="22">
        <v>46116</v>
      </c>
      <c r="B21" t="s">
        <v>87</v>
      </c>
      <c r="C21" t="s">
        <v>85</v>
      </c>
      <c r="E21" t="str">
        <f>IF(Table2[[#This Row],[Supervisor Update]]="","Present",Table2[[#This Row],[Supervisor Update]])</f>
        <v>Present</v>
      </c>
      <c r="F21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86501-BEE9-457A-9499-03158169A90D}">
  <dimension ref="A1:J6"/>
  <sheetViews>
    <sheetView tabSelected="1" workbookViewId="0">
      <selection activeCell="A2" sqref="A2:A6"/>
    </sheetView>
  </sheetViews>
  <sheetFormatPr defaultRowHeight="14.4" x14ac:dyDescent="0.3"/>
  <cols>
    <col min="1" max="1" width="16.6640625" customWidth="1"/>
    <col min="2" max="2" width="19" customWidth="1"/>
    <col min="3" max="3" width="23.88671875" customWidth="1"/>
    <col min="4" max="4" width="20.44140625" customWidth="1"/>
    <col min="5" max="5" width="25.33203125" customWidth="1"/>
    <col min="6" max="6" width="15.44140625" customWidth="1"/>
    <col min="7" max="7" width="22.5546875" customWidth="1"/>
    <col min="8" max="8" width="9.77734375" customWidth="1"/>
    <col min="9" max="9" width="12.21875" customWidth="1"/>
  </cols>
  <sheetData>
    <row r="1" spans="1:10" ht="43.2" x14ac:dyDescent="0.3">
      <c r="A1" s="26" t="s">
        <v>207</v>
      </c>
      <c r="B1" s="28" t="s">
        <v>8</v>
      </c>
      <c r="C1" s="25" t="s">
        <v>181</v>
      </c>
      <c r="D1" s="26" t="s">
        <v>182</v>
      </c>
      <c r="E1" s="25" t="s">
        <v>183</v>
      </c>
      <c r="F1" s="26" t="s">
        <v>184</v>
      </c>
      <c r="G1" s="26" t="s">
        <v>185</v>
      </c>
      <c r="H1" s="26" t="s">
        <v>186</v>
      </c>
      <c r="I1" s="25" t="s">
        <v>187</v>
      </c>
      <c r="J1" s="26" t="s">
        <v>188</v>
      </c>
    </row>
    <row r="2" spans="1:10" x14ac:dyDescent="0.3">
      <c r="A2" s="30">
        <v>46119</v>
      </c>
      <c r="B2" t="s">
        <v>67</v>
      </c>
      <c r="C2" s="27">
        <v>0</v>
      </c>
      <c r="D2" s="24" t="s">
        <v>189</v>
      </c>
      <c r="E2" s="23">
        <v>1</v>
      </c>
      <c r="F2" s="24" t="s">
        <v>190</v>
      </c>
      <c r="G2" s="24" t="s">
        <v>189</v>
      </c>
      <c r="H2" s="24" t="s">
        <v>191</v>
      </c>
      <c r="I2" s="23">
        <v>0</v>
      </c>
      <c r="J2" s="24" t="s">
        <v>192</v>
      </c>
    </row>
    <row r="3" spans="1:10" x14ac:dyDescent="0.3">
      <c r="A3" s="31">
        <v>46119</v>
      </c>
      <c r="B3" t="s">
        <v>74</v>
      </c>
      <c r="C3" s="27">
        <v>5</v>
      </c>
      <c r="D3" s="24" t="s">
        <v>193</v>
      </c>
      <c r="E3" s="23">
        <v>1</v>
      </c>
      <c r="F3" s="24" t="s">
        <v>194</v>
      </c>
      <c r="G3" s="24" t="s">
        <v>195</v>
      </c>
      <c r="H3" s="24" t="s">
        <v>196</v>
      </c>
      <c r="I3" s="23">
        <v>0</v>
      </c>
      <c r="J3" s="24" t="s">
        <v>197</v>
      </c>
    </row>
    <row r="4" spans="1:10" x14ac:dyDescent="0.3">
      <c r="A4" s="30">
        <v>46119</v>
      </c>
      <c r="B4" t="s">
        <v>77</v>
      </c>
      <c r="C4" s="27">
        <v>2</v>
      </c>
      <c r="D4" s="24" t="s">
        <v>198</v>
      </c>
      <c r="E4" s="23">
        <v>0</v>
      </c>
      <c r="F4" s="24" t="s">
        <v>189</v>
      </c>
      <c r="G4" s="24" t="s">
        <v>199</v>
      </c>
      <c r="H4" s="24" t="s">
        <v>200</v>
      </c>
      <c r="I4" s="23">
        <v>0</v>
      </c>
      <c r="J4" s="24" t="s">
        <v>201</v>
      </c>
    </row>
    <row r="5" spans="1:10" x14ac:dyDescent="0.3">
      <c r="A5" s="31">
        <v>46119</v>
      </c>
      <c r="B5" t="s">
        <v>82</v>
      </c>
      <c r="C5" s="27">
        <v>0</v>
      </c>
      <c r="D5" s="24" t="s">
        <v>189</v>
      </c>
      <c r="E5" s="23">
        <v>0</v>
      </c>
      <c r="F5" s="24" t="s">
        <v>189</v>
      </c>
      <c r="G5" s="24" t="s">
        <v>189</v>
      </c>
      <c r="H5" s="24" t="s">
        <v>202</v>
      </c>
      <c r="I5" s="23">
        <v>0</v>
      </c>
      <c r="J5" s="24" t="s">
        <v>202</v>
      </c>
    </row>
    <row r="6" spans="1:10" x14ac:dyDescent="0.3">
      <c r="A6" s="30">
        <v>46119</v>
      </c>
      <c r="B6" s="29" t="s">
        <v>87</v>
      </c>
      <c r="C6" s="27">
        <v>2</v>
      </c>
      <c r="D6" s="24" t="s">
        <v>203</v>
      </c>
      <c r="E6" s="23">
        <v>0</v>
      </c>
      <c r="F6" s="24" t="s">
        <v>189</v>
      </c>
      <c r="G6" s="24" t="s">
        <v>204</v>
      </c>
      <c r="H6" s="24" t="s">
        <v>205</v>
      </c>
      <c r="I6" s="23">
        <v>0</v>
      </c>
      <c r="J6" s="24" t="s">
        <v>206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DB849-441D-4D5F-9C52-15BD01A0B5B1}">
  <sheetPr codeName="Sheet2"/>
  <dimension ref="A1:D29"/>
  <sheetViews>
    <sheetView workbookViewId="0">
      <selection activeCell="F8" sqref="F8:O8"/>
    </sheetView>
  </sheetViews>
  <sheetFormatPr defaultRowHeight="14.4" x14ac:dyDescent="0.3"/>
  <cols>
    <col min="4" max="4" width="30.33203125" customWidth="1"/>
    <col min="7" max="17" width="13.33203125" customWidth="1"/>
  </cols>
  <sheetData>
    <row r="1" spans="1:4" x14ac:dyDescent="0.3">
      <c r="A1" s="6" t="s">
        <v>90</v>
      </c>
      <c r="B1" s="6" t="s">
        <v>91</v>
      </c>
      <c r="C1" s="6" t="s">
        <v>92</v>
      </c>
      <c r="D1" s="6" t="s">
        <v>93</v>
      </c>
    </row>
    <row r="2" spans="1:4" x14ac:dyDescent="0.3">
      <c r="A2" s="7" t="s">
        <v>73</v>
      </c>
      <c r="B2" s="7" t="s">
        <v>94</v>
      </c>
      <c r="C2" s="7" t="s">
        <v>95</v>
      </c>
      <c r="D2" s="7" t="s">
        <v>96</v>
      </c>
    </row>
    <row r="3" spans="1:4" x14ac:dyDescent="0.3">
      <c r="A3" s="7" t="s">
        <v>73</v>
      </c>
      <c r="B3" s="7" t="s">
        <v>97</v>
      </c>
      <c r="C3" s="7" t="s">
        <v>98</v>
      </c>
      <c r="D3" s="7" t="s">
        <v>99</v>
      </c>
    </row>
    <row r="4" spans="1:4" x14ac:dyDescent="0.3">
      <c r="A4" s="7" t="s">
        <v>73</v>
      </c>
      <c r="B4" s="7" t="s">
        <v>100</v>
      </c>
      <c r="C4" s="7" t="s">
        <v>101</v>
      </c>
      <c r="D4" s="7" t="s">
        <v>102</v>
      </c>
    </row>
    <row r="5" spans="1:4" x14ac:dyDescent="0.3">
      <c r="A5" s="7" t="s">
        <v>73</v>
      </c>
      <c r="B5" s="7" t="s">
        <v>103</v>
      </c>
      <c r="C5" s="7" t="s">
        <v>104</v>
      </c>
      <c r="D5" s="7" t="s">
        <v>105</v>
      </c>
    </row>
    <row r="6" spans="1:4" x14ac:dyDescent="0.3">
      <c r="A6" s="7" t="s">
        <v>73</v>
      </c>
      <c r="B6" s="7" t="s">
        <v>106</v>
      </c>
      <c r="C6" s="7" t="s">
        <v>107</v>
      </c>
      <c r="D6" s="7" t="s">
        <v>108</v>
      </c>
    </row>
    <row r="7" spans="1:4" x14ac:dyDescent="0.3">
      <c r="A7" s="7" t="s">
        <v>73</v>
      </c>
      <c r="B7" s="7" t="s">
        <v>109</v>
      </c>
      <c r="C7" s="7" t="s">
        <v>110</v>
      </c>
      <c r="D7" s="7" t="s">
        <v>111</v>
      </c>
    </row>
    <row r="8" spans="1:4" x14ac:dyDescent="0.3">
      <c r="A8" s="7" t="s">
        <v>73</v>
      </c>
      <c r="B8" s="7" t="s">
        <v>112</v>
      </c>
      <c r="C8" s="7" t="s">
        <v>113</v>
      </c>
      <c r="D8" s="7" t="s">
        <v>114</v>
      </c>
    </row>
    <row r="9" spans="1:4" x14ac:dyDescent="0.3">
      <c r="A9" s="7" t="s">
        <v>73</v>
      </c>
      <c r="B9" s="7" t="s">
        <v>115</v>
      </c>
      <c r="C9" s="7" t="s">
        <v>116</v>
      </c>
      <c r="D9" s="7" t="s">
        <v>117</v>
      </c>
    </row>
    <row r="10" spans="1:4" x14ac:dyDescent="0.3">
      <c r="A10" s="7" t="s">
        <v>73</v>
      </c>
      <c r="B10" s="7" t="s">
        <v>118</v>
      </c>
      <c r="C10" s="7" t="s">
        <v>119</v>
      </c>
      <c r="D10" s="7" t="s">
        <v>120</v>
      </c>
    </row>
    <row r="11" spans="1:4" x14ac:dyDescent="0.3">
      <c r="A11" s="7" t="s">
        <v>73</v>
      </c>
      <c r="B11" s="7" t="s">
        <v>121</v>
      </c>
      <c r="C11" s="7" t="s">
        <v>122</v>
      </c>
      <c r="D11" s="7" t="s">
        <v>123</v>
      </c>
    </row>
    <row r="12" spans="1:4" x14ac:dyDescent="0.3">
      <c r="A12" s="7" t="s">
        <v>73</v>
      </c>
      <c r="B12" s="7" t="s">
        <v>124</v>
      </c>
      <c r="C12" s="7" t="s">
        <v>125</v>
      </c>
      <c r="D12" s="7" t="s">
        <v>126</v>
      </c>
    </row>
    <row r="13" spans="1:4" x14ac:dyDescent="0.3">
      <c r="A13" s="7" t="s">
        <v>73</v>
      </c>
      <c r="B13" s="7" t="s">
        <v>127</v>
      </c>
      <c r="C13" s="7" t="s">
        <v>128</v>
      </c>
      <c r="D13" s="7" t="s">
        <v>129</v>
      </c>
    </row>
    <row r="14" spans="1:4" x14ac:dyDescent="0.3">
      <c r="A14" s="7" t="s">
        <v>65</v>
      </c>
      <c r="B14" s="7" t="s">
        <v>94</v>
      </c>
      <c r="C14" s="7" t="s">
        <v>65</v>
      </c>
      <c r="D14" s="7" t="s">
        <v>130</v>
      </c>
    </row>
    <row r="15" spans="1:4" x14ac:dyDescent="0.3">
      <c r="A15" s="7" t="s">
        <v>65</v>
      </c>
      <c r="B15" s="7" t="s">
        <v>97</v>
      </c>
      <c r="C15" s="7" t="s">
        <v>131</v>
      </c>
      <c r="D15" s="7" t="s">
        <v>132</v>
      </c>
    </row>
    <row r="16" spans="1:4" x14ac:dyDescent="0.3">
      <c r="A16" s="7" t="s">
        <v>65</v>
      </c>
      <c r="B16" s="7" t="s">
        <v>100</v>
      </c>
      <c r="C16" s="7" t="s">
        <v>133</v>
      </c>
      <c r="D16" s="7" t="s">
        <v>134</v>
      </c>
    </row>
    <row r="17" spans="1:4" x14ac:dyDescent="0.3">
      <c r="A17" s="7" t="s">
        <v>65</v>
      </c>
      <c r="B17" s="7" t="s">
        <v>103</v>
      </c>
      <c r="C17" s="7" t="s">
        <v>135</v>
      </c>
      <c r="D17" s="7" t="s">
        <v>136</v>
      </c>
    </row>
    <row r="18" spans="1:4" ht="28.8" x14ac:dyDescent="0.3">
      <c r="A18" s="7" t="s">
        <v>65</v>
      </c>
      <c r="B18" s="7" t="s">
        <v>106</v>
      </c>
      <c r="C18" s="7" t="s">
        <v>137</v>
      </c>
      <c r="D18" s="7" t="s">
        <v>138</v>
      </c>
    </row>
    <row r="19" spans="1:4" x14ac:dyDescent="0.3">
      <c r="A19" s="7" t="s">
        <v>65</v>
      </c>
      <c r="B19" s="7" t="s">
        <v>109</v>
      </c>
      <c r="C19" s="7" t="s">
        <v>139</v>
      </c>
      <c r="D19" s="7" t="s">
        <v>140</v>
      </c>
    </row>
    <row r="20" spans="1:4" ht="28.8" x14ac:dyDescent="0.3">
      <c r="A20" s="7" t="s">
        <v>65</v>
      </c>
      <c r="B20" s="7" t="s">
        <v>112</v>
      </c>
      <c r="C20" s="7" t="s">
        <v>141</v>
      </c>
      <c r="D20" s="7" t="s">
        <v>142</v>
      </c>
    </row>
    <row r="21" spans="1:4" x14ac:dyDescent="0.3">
      <c r="A21" s="7" t="s">
        <v>65</v>
      </c>
      <c r="B21" s="7" t="s">
        <v>115</v>
      </c>
      <c r="C21" s="7" t="s">
        <v>143</v>
      </c>
      <c r="D21" s="7" t="s">
        <v>144</v>
      </c>
    </row>
    <row r="22" spans="1:4" x14ac:dyDescent="0.3">
      <c r="A22" s="7" t="s">
        <v>65</v>
      </c>
      <c r="B22" s="7" t="s">
        <v>118</v>
      </c>
      <c r="C22" s="7" t="s">
        <v>145</v>
      </c>
      <c r="D22" s="7" t="s">
        <v>146</v>
      </c>
    </row>
    <row r="23" spans="1:4" x14ac:dyDescent="0.3">
      <c r="A23" s="7" t="s">
        <v>65</v>
      </c>
      <c r="B23" s="7" t="s">
        <v>147</v>
      </c>
      <c r="C23" s="7" t="s">
        <v>148</v>
      </c>
      <c r="D23" s="7" t="s">
        <v>149</v>
      </c>
    </row>
    <row r="24" spans="1:4" ht="28.8" x14ac:dyDescent="0.3">
      <c r="A24" s="7" t="s">
        <v>65</v>
      </c>
      <c r="B24" s="7" t="s">
        <v>150</v>
      </c>
      <c r="C24" s="7" t="s">
        <v>151</v>
      </c>
      <c r="D24" s="7" t="s">
        <v>152</v>
      </c>
    </row>
    <row r="25" spans="1:4" ht="28.8" x14ac:dyDescent="0.3">
      <c r="A25" s="7" t="s">
        <v>65</v>
      </c>
      <c r="B25" s="7" t="s">
        <v>153</v>
      </c>
      <c r="C25" s="7" t="s">
        <v>154</v>
      </c>
      <c r="D25" s="7" t="s">
        <v>155</v>
      </c>
    </row>
    <row r="26" spans="1:4" ht="28.8" x14ac:dyDescent="0.3">
      <c r="A26" s="7" t="s">
        <v>65</v>
      </c>
      <c r="B26" s="7" t="s">
        <v>156</v>
      </c>
      <c r="C26" s="7" t="s">
        <v>157</v>
      </c>
      <c r="D26" s="7" t="s">
        <v>158</v>
      </c>
    </row>
    <row r="27" spans="1:4" x14ac:dyDescent="0.3">
      <c r="A27" s="7" t="s">
        <v>65</v>
      </c>
      <c r="B27" s="7" t="s">
        <v>121</v>
      </c>
      <c r="C27" s="7" t="s">
        <v>159</v>
      </c>
      <c r="D27" s="7" t="s">
        <v>160</v>
      </c>
    </row>
    <row r="28" spans="1:4" x14ac:dyDescent="0.3">
      <c r="A28" s="7" t="s">
        <v>65</v>
      </c>
      <c r="B28" s="7" t="s">
        <v>124</v>
      </c>
      <c r="C28" s="7" t="s">
        <v>161</v>
      </c>
      <c r="D28" s="7" t="s">
        <v>162</v>
      </c>
    </row>
    <row r="29" spans="1:4" x14ac:dyDescent="0.3">
      <c r="A29" s="7" t="s">
        <v>65</v>
      </c>
      <c r="B29" s="7" t="s">
        <v>127</v>
      </c>
      <c r="C29" s="7" t="s">
        <v>163</v>
      </c>
      <c r="D29" s="7" t="s">
        <v>164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71f643f-35f7-4acd-9562-ec0493195af6">
      <Terms xmlns="http://schemas.microsoft.com/office/infopath/2007/PartnerControls"/>
    </lcf76f155ced4ddcb4097134ff3c332f>
    <TaxCatchAll xmlns="3a41d4b2-f088-42e0-9d7f-e20c4058e3b9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3E205977E0BC4EBD975AC5890FC767" ma:contentTypeVersion="14" ma:contentTypeDescription="Create a new document." ma:contentTypeScope="" ma:versionID="5148638b35455440d514e4b04cca72ac">
  <xsd:schema xmlns:xsd="http://www.w3.org/2001/XMLSchema" xmlns:xs="http://www.w3.org/2001/XMLSchema" xmlns:p="http://schemas.microsoft.com/office/2006/metadata/properties" xmlns:ns2="c71f643f-35f7-4acd-9562-ec0493195af6" xmlns:ns3="3a41d4b2-f088-42e0-9d7f-e20c4058e3b9" targetNamespace="http://schemas.microsoft.com/office/2006/metadata/properties" ma:root="true" ma:fieldsID="2868a77e2e4d2c3d59b01d159a190961" ns2:_="" ns3:_="">
    <xsd:import namespace="c71f643f-35f7-4acd-9562-ec0493195af6"/>
    <xsd:import namespace="3a41d4b2-f088-42e0-9d7f-e20c4058e3b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1f643f-35f7-4acd-9562-ec0493195af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8f5e1f0d-d46c-4fea-8b21-6388a46509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41d4b2-f088-42e0-9d7f-e20c4058e3b9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375ccd3f-b916-424b-a910-b7562d461df6}" ma:internalName="TaxCatchAll" ma:showField="CatchAllData" ma:web="3a41d4b2-f088-42e0-9d7f-e20c4058e3b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0E9722-240A-49EB-85DC-42447EA42F74}">
  <ds:schemaRefs>
    <ds:schemaRef ds:uri="http://schemas.microsoft.com/office/2006/metadata/properties"/>
    <ds:schemaRef ds:uri="http://schemas.microsoft.com/office/infopath/2007/PartnerControls"/>
    <ds:schemaRef ds:uri="c71f643f-35f7-4acd-9562-ec0493195af6"/>
    <ds:schemaRef ds:uri="3a41d4b2-f088-42e0-9d7f-e20c4058e3b9"/>
  </ds:schemaRefs>
</ds:datastoreItem>
</file>

<file path=customXml/itemProps2.xml><?xml version="1.0" encoding="utf-8"?>
<ds:datastoreItem xmlns:ds="http://schemas.openxmlformats.org/officeDocument/2006/customXml" ds:itemID="{631ACF00-6899-4E4B-A7F6-90F61DCAA97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AAFE57F-3CA5-49E1-BE87-758999E517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1f643f-35f7-4acd-9562-ec0493195af6"/>
    <ds:schemaRef ds:uri="3a41d4b2-f088-42e0-9d7f-e20c4058e3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159A666-D8B5-4C18-8D61-BC7D3451D4D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QC_Data</vt:lpstr>
      <vt:lpstr>Attendance</vt:lpstr>
      <vt:lpstr>WFM</vt:lpstr>
      <vt:lpstr>Mapping 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Kelly Conover</dc:creator>
  <cp:keywords/>
  <dc:description/>
  <cp:lastModifiedBy>Kelly Conover</cp:lastModifiedBy>
  <cp:revision/>
  <dcterms:created xsi:type="dcterms:W3CDTF">2026-04-06T20:44:36Z</dcterms:created>
  <dcterms:modified xsi:type="dcterms:W3CDTF">2026-04-23T16:29:32Z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0x0101000F3E205977E0BC4EBD975AC5890FC767</vt:lpwstr>
  </property>
  <property fmtid="{D5CDD505-2E9C-101B-9397-08002B2CF9AE}" pid="3" name="MediaServiceImageTags">
    <vt:lpwstr/>
  </property>
</Properties>
</file>